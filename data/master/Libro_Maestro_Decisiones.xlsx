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cad6e7be1448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cisiones" sheetId="1" r:id="Rcabb946ada65494b"/>
    <x:sheet xmlns:r="http://schemas.openxmlformats.org/officeDocument/2006/relationships" name="Participacion_Junta" sheetId="2" r:id="Rcb7e59c29b08488e"/>
    <x:sheet xmlns:r="http://schemas.openxmlformats.org/officeDocument/2006/relationships" name="Votaciones" sheetId="3" r:id="Rf72334fffcfd4026"/>
    <x:sheet xmlns:r="http://schemas.openxmlformats.org/officeDocument/2006/relationships" name="Personas" sheetId="4" r:id="R82008b6fa1774a3f"/>
    <x:sheet xmlns:r="http://schemas.openxmlformats.org/officeDocument/2006/relationships" name="Validaciones" sheetId="5" r:id="R798c65a9dd33418c"/>
    <x:sheet xmlns:r="http://schemas.openxmlformats.org/officeDocument/2006/relationships" name="Cobertura" sheetId="6" r:id="R440cc0a6fcdd411b"/>
    <x:sheet xmlns:r="http://schemas.openxmlformats.org/officeDocument/2006/relationships" name="Explorador_Decisiones" sheetId="7" r:id="R6e41ac2c9300411d"/>
    <x:sheet xmlns:r="http://schemas.openxmlformats.org/officeDocument/2006/relationships" name="Explorador_Integrantes" sheetId="8" r:id="Ra3f069cf92f547bb"/>
    <x:sheet xmlns:r="http://schemas.openxmlformats.org/officeDocument/2006/relationships" name="GRAPH_DATA_INTEGRANTE" sheetId="10" r:id="R5b07b21436004208"/>
    <x:sheet xmlns:r="http://schemas.openxmlformats.org/officeDocument/2006/relationships" name="GRAPH_DATA" sheetId="9" r:id="Ra176bd964d904d93"/>
    <x:sheet xmlns:r="http://schemas.openxmlformats.org/officeDocument/2006/relationships" name="Instrucciones_Dropdowns" sheetId="11" r:id="R5cbc155d58ed4720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<x:sst xmlns:x="http://schemas.openxmlformats.org/spreadsheetml/2006/main">
  <x:si>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Decision_ID</x:t>
  </x:si>
  <x:si>
    <x:t xml:space="preserve">Fecha_Decision</x:t>
  </x:si>
  <x:si>
    <x:t xml:space="preserve">Hora_Publicacion</x:t>
  </x:si>
  <x:si>
    <x:t xml:space="preserve">Tipo_Reunion</x:t>
  </x:si>
  <x:si>
    <x:t xml:space="preserve">Regimen_Operativo</x:t>
  </x:si>
  <x:si>
    <x:t xml:space="preserve">Tasa_Anterior</x:t>
  </x:si>
  <x:si>
    <x:t xml:space="preserve">Cambio_pb</x:t>
  </x:si>
  <x:si>
    <x:t xml:space="preserve">Tasa_Nueva</x:t>
  </x:si>
  <x:si>
    <x:t xml:space="preserve">Direccion_Decision</x:t>
  </x:si>
  <x:si>
    <x:t xml:space="preserve">Decision_Unanime</x:t>
  </x:si>
  <x:si>
    <x:t xml:space="preserve">Numero_Disensos</x:t>
  </x:si>
  <x:si>
    <x:t xml:space="preserve">Comunicado_URL</x:t>
  </x:si>
  <x:si>
    <x:t xml:space="preserve">Minuta_URL</x:t>
  </x:si>
  <x:si>
    <x:t xml:space="preserve">Observaciones</x:t>
  </x:si>
  <x:si>
    <x:t xml:space="preserve">D20000118</x:t>
  </x:si>
  <x:si>
    <x:t xml:space="preserve">Ordinaria</x:t>
  </x:si>
  <x:si>
    <x:t xml:space="preserve">Objetivo de saldos/condiciones monetarias</x:t>
  </x:si>
  <x:si>
    <x:t xml:space="preserve">No disponible</x:t>
  </x:si>
  <x:si>
    <x:t xml:space="preserve">https://www.banxico.org.mx/publicaciones-y-prensa/anuncios-de-las-decisiones-de-politica-monetaria/{13454A37-A216-337E-9BEE-60EC43BDB91D}.pdf</x:t>
  </x:si>
  <x:si>
    <x:t xml:space="preserve">Régimen: Objetivo de saldos/condiciones monetarias.</x:t>
  </x:si>
  <x:si>
    <x:t xml:space="preserve">D20000516</x:t>
  </x:si>
  <x:si>
    <x:t xml:space="preserve">https://www.banxico.org.mx/publicaciones-y-prensa/anuncios-de-las-decisiones-de-politica-monetaria/{2A7425E0-0B60-E7EC-E099-5384C9A7A018}.pdf</x:t>
  </x:si>
  <x:si>
    <x:t xml:space="preserve">D20000626</x:t>
  </x:si>
  <x:si>
    <x:t xml:space="preserve">https://www.banxico.org.mx/publicaciones-y-prensa/anuncios-de-las-decisiones-de-politica-monetaria/{71B5EA84-D683-03C6-D004-D4E1C4BB9236}.pdf</x:t>
  </x:si>
  <x:si>
    <x:t xml:space="preserve">D20000731</x:t>
  </x:si>
  <x:si>
    <x:t xml:space="preserve">https://www.banxico.org.mx/publicaciones-y-prensa/anuncios-de-las-decisiones-de-politica-monetaria/{4187E97F-C8B7-1EC6-5FCA-8E309EB909FA}.pdf</x:t>
  </x:si>
  <x:si>
    <x:t xml:space="preserve">D20001017</x:t>
  </x:si>
  <x:si>
    <x:t xml:space="preserve">https://www.banxico.org.mx/publicaciones-y-prensa/anuncios-de-las-decisiones-de-politica-monetaria/{473E1E72-9133-9FCE-DE83-3D82D61B22FD}.pdf</x:t>
  </x:si>
  <x:si>
    <x:t xml:space="preserve">D20001110</x:t>
  </x:si>
  <x:si>
    <x:t xml:space="preserve">https://www.banxico.org.mx/publicaciones-y-prensa/anuncios-de-las-decisiones-de-politica-monetaria/{C416157F-C815-5F7E-2C50-E22173121854}.pdf</x:t>
  </x:si>
  <x:si>
    <x:t xml:space="preserve">D20010112</x:t>
  </x:si>
  <x:si>
    <x:t xml:space="preserve">https://www.banxico.org.mx/publicaciones-y-prensa/anuncios-de-las-decisiones-de-politica-monetaria/{33EAA3B9-4E3C-E0E0-D92C-CA453FA05B8A}.pdf</x:t>
  </x:si>
  <x:si>
    <x:t xml:space="preserve">D20010518</x:t>
  </x:si>
  <x:si>
    <x:t xml:space="preserve">https://www.banxico.org.mx/publicaciones-y-prensa/anuncios-de-las-decisiones-de-politica-monetaria/{A6967738-A7E8-F18B-82F7-FDE8339B823F}.pdf</x:t>
  </x:si>
  <x:si>
    <x:t xml:space="preserve">D20010731</x:t>
  </x:si>
  <x:si>
    <x:t xml:space="preserve">https://www.banxico.org.mx/publicaciones-y-prensa/anuncios-de-las-decisiones-de-politica-monetaria/{8AE342BE-6BE0-4B37-37DA-421AFAC33517}.pdf</x:t>
  </x:si>
  <x:si>
    <x:t xml:space="preserve">D20020208</x:t>
  </x:si>
  <x:si>
    <x:t xml:space="preserve">https://www.banxico.org.mx/publicaciones-y-prensa/anuncios-de-las-decisiones-de-politica-monetaria/{E69CD9F3-41CC-5A19-23D1-0FA9917C78AE}.pdf</x:t>
  </x:si>
  <x:si>
    <x:t xml:space="preserve">D20020412</x:t>
  </x:si>
  <x:si>
    <x:t xml:space="preserve">https://www.banxico.org.mx/publicaciones-y-prensa/anuncios-de-las-decisiones-de-politica-monetaria/{94E7DC25-3B3D-9AE5-756A-7FB3952F88E0}.pdf</x:t>
  </x:si>
  <x:si>
    <x:t xml:space="preserve">D20020923</x:t>
  </x:si>
  <x:si>
    <x:t xml:space="preserve">https://www.banxico.org.mx/publicaciones-y-prensa/anuncios-de-las-decisiones-de-politica-monetaria/{D9325B84-9524-BF31-DCBC-74F77F984DFD}.pdf</x:t>
  </x:si>
  <x:si>
    <x:t xml:space="preserve">D20021206</x:t>
  </x:si>
  <x:si>
    <x:t xml:space="preserve">https://www.banxico.org.mx/publicaciones-y-prensa/anuncios-de-las-decisiones-de-politica-monetaria/{15021384-799C-1347-9592-E7DD83668404}.pdf</x:t>
  </x:si>
  <x:si>
    <x:t xml:space="preserve">D20030110</x:t>
  </x:si>
  <x:si>
    <x:t xml:space="preserve">https://www.banxico.org.mx/publicaciones-y-prensa/anuncios-de-las-decisiones-de-politica-monetaria/{D0207EEA-BC77-B4A8-1C46-ED4DF7881EB1}.pdf</x:t>
  </x:si>
  <x:si>
    <x:t xml:space="preserve">D20030124</x:t>
  </x:si>
  <x:si>
    <x:t xml:space="preserve">Sin cambio</x:t>
  </x:si>
  <x:si>
    <x:t xml:space="preserve">https://www.banxico.org.mx/publicaciones-y-prensa/anuncios-de-las-decisiones-de-politica-monetaria/{0F16A072-22DA-49AB-DB42-911DB5C73606}.pdf</x:t>
  </x:si>
  <x:si>
    <x:t xml:space="preserve">D20030207</x:t>
  </x:si>
  <x:si>
    <x:t xml:space="preserve">https://www.banxico.org.mx/publicaciones-y-prensa/anuncios-de-las-decisiones-de-politica-monetaria/{E073CD3D-5DCE-7CFF-5329-235F5BC39AF8}.pdf</x:t>
  </x:si>
  <x:si>
    <x:t xml:space="preserve">D20030221</x:t>
  </x:si>
  <x:si>
    <x:t xml:space="preserve">https://www.banxico.org.mx/publicaciones-y-prensa/anuncios-de-las-decisiones-de-politica-monetaria/{764BD9A2-41E0-2672-F90A-9F06F60FA441}.pdf</x:t>
  </x:si>
  <x:si>
    <x:t xml:space="preserve">D20030328</x:t>
  </x:si>
  <x:si>
    <x:t xml:space="preserve">https://www.banxico.org.mx/publicaciones-y-prensa/anuncios-de-las-decisiones-de-politica-monetaria/{9D48A960-F722-427B-F851-9C3468F98E70}.pdf</x:t>
  </x:si>
  <x:si>
    <x:t xml:space="preserve">D20030425</x:t>
  </x:si>
  <x:si>
    <x:t xml:space="preserve">https://www.banxico.org.mx/publicaciones-y-prensa/anuncios-de-las-decisiones-de-politica-monetaria/{F852BA83-BE9B-5D3B-6FBB-72B4C3A657E8}.pdf</x:t>
  </x:si>
  <x:si>
    <x:t xml:space="preserve">D20030523</x:t>
  </x:si>
  <x:si>
    <x:t xml:space="preserve">https://www.banxico.org.mx/publicaciones-y-prensa/anuncios-de-las-decisiones-de-politica-monetaria/{75FAED4F-1FD7-B184-68DA-459DB0D2C9D8}.pdf</x:t>
  </x:si>
  <x:si>
    <x:t xml:space="preserve">D20030627</x:t>
  </x:si>
  <x:si>
    <x:t xml:space="preserve">https://www.banxico.org.mx/publicaciones-y-prensa/anuncios-de-las-decisiones-de-politica-monetaria/{EC4DDDDD-1C8D-B612-4BA6-C7063526FB16}.pdf</x:t>
  </x:si>
  <x:si>
    <x:t xml:space="preserve">D20030725</x:t>
  </x:si>
  <x:si>
    <x:t xml:space="preserve">https://www.banxico.org.mx/publicaciones-y-prensa/anuncios-de-las-decisiones-de-politica-monetaria/{97ACA940-E4CD-D46F-BAD1-57616BDD33A3}.pdf</x:t>
  </x:si>
  <x:si>
    <x:t xml:space="preserve">D20030822</x:t>
  </x:si>
  <x:si>
    <x:t xml:space="preserve">https://www.banxico.org.mx/publicaciones-y-prensa/anuncios-de-las-decisiones-de-politica-monetaria/{1A0FC36A-5B93-D407-8F37-81F092E441AB}.pdf</x:t>
  </x:si>
  <x:si>
    <x:t xml:space="preserve">D20030926</x:t>
  </x:si>
  <x:si>
    <x:t xml:space="preserve">https://www.banxico.org.mx/publicaciones-y-prensa/anuncios-de-las-decisiones-de-politica-monetaria/{F749E14A-A807-75EF-7244-FE219AB900D7}.pdf</x:t>
  </x:si>
  <x:si>
    <x:t xml:space="preserve">D20031024</x:t>
  </x:si>
  <x:si>
    <x:t xml:space="preserve">https://www.banxico.org.mx/publicaciones-y-prensa/anuncios-de-las-decisiones-de-politica-monetaria/{D58BEC23-B731-5A44-21AC-9EE85D0042B9}.pdf</x:t>
  </x:si>
  <x:si>
    <x:t xml:space="preserve">D20031121</x:t>
  </x:si>
  <x:si>
    <x:t xml:space="preserve">https://www.banxico.org.mx/publicaciones-y-prensa/anuncios-de-las-decisiones-de-politica-monetaria/{2D614537-FF48-23DC-6C86-37C44731CBCF}.pdf</x:t>
  </x:si>
  <x:si>
    <x:t xml:space="preserve">D20031211</x:t>
  </x:si>
  <x:si>
    <x:t xml:space="preserve">https://www.banxico.org.mx/publicaciones-y-prensa/anuncios-de-las-decisiones-de-politica-monetaria/{3C1A312D-DC4E-E95B-22CB-625EE103A910}.pdf</x:t>
  </x:si>
  <x:si>
    <x:t xml:space="preserve">D20040123</x:t>
  </x:si>
  <x:si>
    <x:t xml:space="preserve">https://www.banxico.org.mx/publicaciones-y-prensa/anuncios-de-las-decisiones-de-politica-monetaria/{5BC53D5D-A2C9-4EC5-3F41-43BFA99D1EE6}.pdf</x:t>
  </x:si>
  <x:si>
    <x:t xml:space="preserve">D20040220</x:t>
  </x:si>
  <x:si>
    <x:t xml:space="preserve">https://www.banxico.org.mx/publicaciones-y-prensa/anuncios-de-las-decisiones-de-politica-monetaria/{3C0303EB-EE8A-E272-9FE6-5325D6A72A27}.pdf</x:t>
  </x:si>
  <x:si>
    <x:t xml:space="preserve">D20040312</x:t>
  </x:si>
  <x:si>
    <x:t xml:space="preserve">https://www.banxico.org.mx/publicaciones-y-prensa/anuncios-de-las-decisiones-de-politica-monetaria/{2CD1A3C7-9E9C-C895-4962-64F7B460D4F8}.pdf</x:t>
  </x:si>
  <x:si>
    <x:t xml:space="preserve">D20040326</x:t>
  </x:si>
  <x:si>
    <x:t xml:space="preserve">https://www.banxico.org.mx/publicaciones-y-prensa/anuncios-de-las-decisiones-de-politica-monetaria/{E6066F4E-467D-2EC7-CE49-2D3AF7B50008}.pdf</x:t>
  </x:si>
  <x:si>
    <x:t xml:space="preserve">D20040423</x:t>
  </x:si>
  <x:si>
    <x:t xml:space="preserve">https://www.banxico.org.mx/publicaciones-y-prensa/anuncios-de-las-decisiones-de-politica-monetaria/{DB2FE114-0DC7-BA33-F53D-3B8F0CF69A43}.pdf</x:t>
  </x:si>
  <x:si>
    <x:t xml:space="preserve">D20040427</x:t>
  </x:si>
  <x:si>
    <x:t xml:space="preserve">https://www.banxico.org.mx/publicaciones-y-prensa/anuncios-de-las-decisiones-de-politica-monetaria/{8EAFAF2F-523B-BC62-4A6B-DD992AFB09D8}.pdf</x:t>
  </x:si>
  <x:si>
    <x:t xml:space="preserve">D20040528</x:t>
  </x:si>
  <x:si>
    <x:t xml:space="preserve">https://www.banxico.org.mx/publicaciones-y-prensa/anuncios-de-las-decisiones-de-politica-monetaria/{7FD27369-3C10-DD25-AAB6-412265DA768E}.pdf</x:t>
  </x:si>
  <x:si>
    <x:t xml:space="preserve">D20040625</x:t>
  </x:si>
  <x:si>
    <x:t xml:space="preserve">https://www.banxico.org.mx/publicaciones-y-prensa/anuncios-de-las-decisiones-de-politica-monetaria/{788E18E1-C937-4561-A47E-AF46DABF0F2E}.pdf</x:t>
  </x:si>
  <x:si>
    <x:t xml:space="preserve">D20040723</x:t>
  </x:si>
  <x:si>
    <x:t xml:space="preserve">https://www.banxico.org.mx/publicaciones-y-prensa/anuncios-de-las-decisiones-de-politica-monetaria/{710117A8-683E-D6CD-BB34-A94007F425A7}.pdf</x:t>
  </x:si>
  <x:si>
    <x:t xml:space="preserve">D20040827</x:t>
  </x:si>
  <x:si>
    <x:t xml:space="preserve">https://www.banxico.org.mx/publicaciones-y-prensa/anuncios-de-las-decisiones-de-politica-monetaria/{97B669EB-A457-C613-DF07-6FA7F795276C}.pdf</x:t>
  </x:si>
  <x:si>
    <x:t xml:space="preserve">D20040924</x:t>
  </x:si>
  <x:si>
    <x:t xml:space="preserve">https://www.banxico.org.mx/publicaciones-y-prensa/anuncios-de-las-decisiones-de-politica-monetaria/{4F1865AE-E558-75F0-D5D2-87ECA75DBF9C}.pdf</x:t>
  </x:si>
  <x:si>
    <x:t xml:space="preserve">D20041022</x:t>
  </x:si>
  <x:si>
    <x:t xml:space="preserve">https://www.banxico.org.mx/publicaciones-y-prensa/anuncios-de-las-decisiones-de-politica-monetaria/{032CBD52-D087-22AF-3711-818376BE3FAD}.pdf</x:t>
  </x:si>
  <x:si>
    <x:t xml:space="preserve">D20041126</x:t>
  </x:si>
  <x:si>
    <x:t xml:space="preserve">https://www.banxico.org.mx/publicaciones-y-prensa/anuncios-de-las-decisiones-de-politica-monetaria/{CA2823E4-6AFA-B5CD-AC35-466BEA5C593F}.pdf</x:t>
  </x:si>
  <x:si>
    <x:t xml:space="preserve">D20041210</x:t>
  </x:si>
  <x:si>
    <x:t xml:space="preserve">https://www.banxico.org.mx/publicaciones-y-prensa/anuncios-de-las-decisiones-de-politica-monetaria/{19183E45-9524-97E8-CFB3-E2B4A4578BC5}.pdf</x:t>
  </x:si>
  <x:si>
    <x:t xml:space="preserve">D20050128</x:t>
  </x:si>
  <x:si>
    <x:t xml:space="preserve">https://www.banxico.org.mx/publicaciones-y-prensa/anuncios-de-las-decisiones-de-politica-monetaria/{8EB6A80A-2A26-3920-B730-E05F946ECE29}.pdf</x:t>
  </x:si>
  <x:si>
    <x:t xml:space="preserve">D20050225</x:t>
  </x:si>
  <x:si>
    <x:t xml:space="preserve">https://www.banxico.org.mx/publicaciones-y-prensa/anuncios-de-las-decisiones-de-politica-monetaria/{0275A6FB-144E-3F91-6DC2-F762EF22D654}.pdf</x:t>
  </x:si>
  <x:si>
    <x:t xml:space="preserve">D20050323</x:t>
  </x:si>
  <x:si>
    <x:t xml:space="preserve">https://www.banxico.org.mx/publicaciones-y-prensa/anuncios-de-las-decisiones-de-politica-monetaria/{686FBF05-3E33-E5A9-3851-2A7B4D9C477F}.pdf</x:t>
  </x:si>
  <x:si>
    <x:t xml:space="preserve">D20050422</x:t>
  </x:si>
  <x:si>
    <x:t xml:space="preserve">https://www.banxico.org.mx/publicaciones-y-prensa/anuncios-de-las-decisiones-de-politica-monetaria/{264FE661-2553-291D-DB5D-9575CBDFCBCC}.pdf</x:t>
  </x:si>
  <x:si>
    <x:t xml:space="preserve">D20050527</x:t>
  </x:si>
  <x:si>
    <x:t xml:space="preserve">https://www.banxico.org.mx/publicaciones-y-prensa/anuncios-de-las-decisiones-de-politica-monetaria/{2B402DE3-1C78-0D8D-3128-965FB28B0DE5}.pdf</x:t>
  </x:si>
  <x:si>
    <x:t xml:space="preserve">D20050624</x:t>
  </x:si>
  <x:si>
    <x:t xml:space="preserve">https://www.banxico.org.mx/publicaciones-y-prensa/anuncios-de-las-decisiones-de-politica-monetaria/{41C482DF-BBFA-3A8B-2BB9-813D7B0DEDA8}.pdf</x:t>
  </x:si>
  <x:si>
    <x:t xml:space="preserve">D20050722</x:t>
  </x:si>
  <x:si>
    <x:t xml:space="preserve">https://www.banxico.org.mx/publicaciones-y-prensa/anuncios-de-las-decisiones-de-politica-monetaria/{A7405207-495C-B1FD-1609-2FFFEE3C4009}.pdf</x:t>
  </x:si>
  <x:si>
    <x:t xml:space="preserve">D20050826</x:t>
  </x:si>
  <x:si>
    <x:t xml:space="preserve">https://www.banxico.org.mx/publicaciones-y-prensa/anuncios-de-las-decisiones-de-politica-monetaria/{ECCC48C3-97A9-F049-4260-C4BBDB9DF8BF}.pdf</x:t>
  </x:si>
  <x:si>
    <x:t xml:space="preserve">D20050923</x:t>
  </x:si>
  <x:si>
    <x:t xml:space="preserve">https://www.banxico.org.mx/publicaciones-y-prensa/anuncios-de-las-decisiones-de-politica-monetaria/{44B28597-E9AC-95E6-F1A2-F41D3591F677}.pdf</x:t>
  </x:si>
  <x:si>
    <x:t xml:space="preserve">D20051028</x:t>
  </x:si>
  <x:si>
    <x:t xml:space="preserve">https://www.banxico.org.mx/publicaciones-y-prensa/anuncios-de-las-decisiones-de-politica-monetaria/{56832E35-9AA8-147A-91DE-49B114C0E4A2}.pdf</x:t>
  </x:si>
  <x:si>
    <x:t xml:space="preserve">D20051125</x:t>
  </x:si>
  <x:si>
    <x:t xml:space="preserve">https://www.banxico.org.mx/publicaciones-y-prensa/anuncios-de-las-decisiones-de-politica-monetaria/{06190477-ADD0-F6DC-2293-BC7FD83BA88C}.pdf</x:t>
  </x:si>
  <x:si>
    <x:t xml:space="preserve">D20051209</x:t>
  </x:si>
  <x:si>
    <x:t xml:space="preserve">https://www.banxico.org.mx/publicaciones-y-prensa/anuncios-de-las-decisiones-de-politica-monetaria/{556D068E-FDC9-4B51-C276-CBBD03780FBA}.pdf</x:t>
  </x:si>
  <x:si>
    <x:t xml:space="preserve">D20060127</x:t>
  </x:si>
  <x:si>
    <x:t xml:space="preserve">https://www.banxico.org.mx/publicaciones-y-prensa/anuncios-de-las-decisiones-de-politica-monetaria/{25DE104C-4312-2449-0864-74304C36964B}.pdf</x:t>
  </x:si>
  <x:si>
    <x:t xml:space="preserve">D20060224</x:t>
  </x:si>
  <x:si>
    <x:t xml:space="preserve">https://www.banxico.org.mx/publicaciones-y-prensa/anuncios-de-las-decisiones-de-politica-monetaria/{92E572B8-A0E1-629C-515B-FD0CBA60DAC3}.pdf</x:t>
  </x:si>
  <x:si>
    <x:t xml:space="preserve">D20060324</x:t>
  </x:si>
  <x:si>
    <x:t xml:space="preserve">https://www.banxico.org.mx/publicaciones-y-prensa/anuncios-de-las-decisiones-de-politica-monetaria/{A8B32BE4-FD85-777E-5C3C-A71A08145D70}.pdf</x:t>
  </x:si>
  <x:si>
    <x:t xml:space="preserve">D20060421</x:t>
  </x:si>
  <x:si>
    <x:t xml:space="preserve">https://www.banxico.org.mx/publicaciones-y-prensa/anuncios-de-las-decisiones-de-politica-monetaria/{A7780173-C7CC-6C47-B97D-A6285935DEEA}.pdf</x:t>
  </x:si>
  <x:si>
    <x:t xml:space="preserve">D20060526</x:t>
  </x:si>
  <x:si>
    <x:t xml:space="preserve">https://www.banxico.org.mx/publicaciones-y-prensa/anuncios-de-las-decisiones-de-politica-monetaria/{0C16ECDD-AE4A-7EAE-A57A-68B8823525B0}.pdf</x:t>
  </x:si>
  <x:si>
    <x:t xml:space="preserve">D20060623</x:t>
  </x:si>
  <x:si>
    <x:t xml:space="preserve">https://www.banxico.org.mx/publicaciones-y-prensa/anuncios-de-las-decisiones-de-politica-monetaria/{0145735A-0B5B-A399-15AD-B9079C7C6B3D}.pdf</x:t>
  </x:si>
  <x:si>
    <x:t xml:space="preserve">D20060728</x:t>
  </x:si>
  <x:si>
    <x:t xml:space="preserve">https://www.banxico.org.mx/publicaciones-y-prensa/anuncios-de-las-decisiones-de-politica-monetaria/{D36F56FD-27A8-CB9E-B26E-FD9424A4FF2A}.pdf</x:t>
  </x:si>
  <x:si>
    <x:t xml:space="preserve">D20060825</x:t>
  </x:si>
  <x:si>
    <x:t xml:space="preserve">https://www.banxico.org.mx/publicaciones-y-prensa/anuncios-de-las-decisiones-de-politica-monetaria/{52B23241-315D-5E75-496B-86FEBDAD787F}.pdf</x:t>
  </x:si>
  <x:si>
    <x:t xml:space="preserve">D20060922</x:t>
  </x:si>
  <x:si>
    <x:t xml:space="preserve">https://www.banxico.org.mx/publicaciones-y-prensa/anuncios-de-las-decisiones-de-politica-monetaria/{2C3DEFCD-B3C5-783C-4A65-1ECD055F54EA}.pdf</x:t>
  </x:si>
  <x:si>
    <x:t xml:space="preserve">D20061027</x:t>
  </x:si>
  <x:si>
    <x:t xml:space="preserve">https://www.banxico.org.mx/publicaciones-y-prensa/anuncios-de-las-decisiones-de-politica-monetaria/{F9A099EF-3C33-69BE-8828-53201318DFAE}.pdf</x:t>
  </x:si>
  <x:si>
    <x:t xml:space="preserve">D20061124</x:t>
  </x:si>
  <x:si>
    <x:t xml:space="preserve">https://www.banxico.org.mx/publicaciones-y-prensa/anuncios-de-las-decisiones-de-politica-monetaria/{7EC409CB-10B0-332C-37D4-665B7C31C710}.pdf</x:t>
  </x:si>
  <x:si>
    <x:t xml:space="preserve">D20061208</x:t>
  </x:si>
  <x:si>
    <x:t xml:space="preserve">https://www.banxico.org.mx/publicaciones-y-prensa/anuncios-de-las-decisiones-de-politica-monetaria/{F281B237-8DE4-056B-17D1-17BCECA4A0E3}.pdf</x:t>
  </x:si>
  <x:si>
    <x:t xml:space="preserve">D20070126</x:t>
  </x:si>
  <x:si>
    <x:t xml:space="preserve">https://www.banxico.org.mx/publicaciones-y-prensa/anuncios-de-las-decisiones-de-politica-monetaria/{651AB1EF-2405-B1AC-3D66-4F7E15F04B49}.pdf</x:t>
  </x:si>
  <x:si>
    <x:t xml:space="preserve">D20070223</x:t>
  </x:si>
  <x:si>
    <x:t xml:space="preserve">https://www.banxico.org.mx/publicaciones-y-prensa/anuncios-de-las-decisiones-de-politica-monetaria/{357E9DA9-CCCD-F5EC-33F4-E2FCA42A7A91}.pdf</x:t>
  </x:si>
  <x:si>
    <x:t xml:space="preserve">D20070323</x:t>
  </x:si>
  <x:si>
    <x:t xml:space="preserve">https://www.banxico.org.mx/publicaciones-y-prensa/anuncios-de-las-decisiones-de-politica-monetaria/{6AEF81DE-5078-C382-7B0D-D9A3B3BDCDD2}.pdf</x:t>
  </x:si>
  <x:si>
    <x:t xml:space="preserve">D20070427</x:t>
  </x:si>
  <x:si>
    <x:t xml:space="preserve">Sube</x:t>
  </x:si>
  <x:si>
    <x:t xml:space="preserve">https://www.banxico.org.mx/publicaciones-y-prensa/anuncios-de-las-decisiones-de-politica-monetaria/{94A7FE40-B78E-1501-958E-24BA90E5F801}.pdf</x:t>
  </x:si>
  <x:si>
    <x:t xml:space="preserve">D20070525</x:t>
  </x:si>
  <x:si>
    <x:t xml:space="preserve">https://www.banxico.org.mx/publicaciones-y-prensa/anuncios-de-las-decisiones-de-politica-monetaria/{EF8958C1-35C7-2065-DF59-2F8399F32E0A}.pdf</x:t>
  </x:si>
  <x:si>
    <x:t xml:space="preserve">D20070622</x:t>
  </x:si>
  <x:si>
    <x:t xml:space="preserve">https://www.banxico.org.mx/publicaciones-y-prensa/anuncios-de-las-decisiones-de-politica-monetaria/{FB066B9C-EE8E-65B8-4578-55410B67834F}.pdf</x:t>
  </x:si>
  <x:si>
    <x:t xml:space="preserve">D20070727</x:t>
  </x:si>
  <x:si>
    <x:t xml:space="preserve">https://www.banxico.org.mx/publicaciones-y-prensa/anuncios-de-las-decisiones-de-politica-monetaria/{4DA7B068-5383-3340-A8F9-761EDEC06668}.pdf</x:t>
  </x:si>
  <x:si>
    <x:t xml:space="preserve">D20070824</x:t>
  </x:si>
  <x:si>
    <x:t xml:space="preserve">https://www.banxico.org.mx/publicaciones-y-prensa/anuncios-de-las-decisiones-de-politica-monetaria/{00A15548-4B0B-B0D1-C7A2-68A26DAEA469}.pdf</x:t>
  </x:si>
  <x:si>
    <x:t xml:space="preserve">D20070921</x:t>
  </x:si>
  <x:si>
    <x:t xml:space="preserve">https://www.banxico.org.mx/publicaciones-y-prensa/anuncios-de-las-decisiones-de-politica-monetaria/{1DDB2A01-D44B-BE9A-ED90-572B342A245B}.pdf</x:t>
  </x:si>
  <x:si>
    <x:t xml:space="preserve">D20071026</x:t>
  </x:si>
  <x:si>
    <x:t xml:space="preserve">https://www.banxico.org.mx/publicaciones-y-prensa/anuncios-de-las-decisiones-de-politica-monetaria/{DAE3A519-16C4-7E9C-3E2E-9098A7770F00}.pdf</x:t>
  </x:si>
  <x:si>
    <x:t xml:space="preserve">D20071123</x:t>
  </x:si>
  <x:si>
    <x:t xml:space="preserve">https://www.banxico.org.mx/publicaciones-y-prensa/anuncios-de-las-decisiones-de-politica-monetaria/{A80EEB23-D386-BF93-72BD-F24A9F207969}.pdf</x:t>
  </x:si>
  <x:si>
    <x:t xml:space="preserve">D20071207</x:t>
  </x:si>
  <x:si>
    <x:t xml:space="preserve">https://www.banxico.org.mx/publicaciones-y-prensa/anuncios-de-las-decisiones-de-politica-monetaria/{9F8A1CDB-495F-4F33-BACF-E5BB45851FB7}.pdf</x:t>
  </x:si>
  <x:si>
    <x:t xml:space="preserve">D20080118</x:t>
  </x:si>
  <x:si>
    <x:t xml:space="preserve">https://www.banxico.org.mx/publicaciones-y-prensa/anuncios-de-las-decisiones-de-politica-monetaria/{DB31F662-BA75-7F48-6B31-C7EEE8AAF9C0}.pdf</x:t>
  </x:si>
  <x:si>
    <x:t xml:space="preserve">D20080215</x:t>
  </x:si>
  <x:si>
    <x:t xml:space="preserve">Tasa objetivo</x:t>
  </x:si>
  <x:si>
    <x:t xml:space="preserve">https://www.banxico.org.mx/publicaciones-y-prensa/anuncios-de-las-decisiones-de-politica-monetaria/{21A25F9E-4186-7A2E-3EEB-8D279E8D716F}.pdf</x:t>
  </x:si>
  <x:si>
    <x:t xml:space="preserve">Régimen: Tasa objetivo.</x:t>
  </x:si>
  <x:si>
    <x:t xml:space="preserve">D20080314</x:t>
  </x:si>
  <x:si>
    <x:t xml:space="preserve">https://www.banxico.org.mx/publicaciones-y-prensa/anuncios-de-las-decisiones-de-politica-monetaria/{1AFBBDF2-F9BD-7972-B7EC-A106692521BA}.pdf</x:t>
  </x:si>
  <x:si>
    <x:t xml:space="preserve">D20080418</x:t>
  </x:si>
  <x:si>
    <x:t xml:space="preserve">https://www.banxico.org.mx/publicaciones-y-prensa/anuncios-de-las-decisiones-de-politica-monetaria/{4E43A56F-E21C-DA8D-E793-1FB347044B17}.pdf</x:t>
  </x:si>
  <x:si>
    <x:t xml:space="preserve">D20080516</x:t>
  </x:si>
  <x:si>
    <x:t xml:space="preserve">https://www.banxico.org.mx/publicaciones-y-prensa/anuncios-de-las-decisiones-de-politica-monetaria/{E4D0C362-251B-316B-68C8-C4893FD53FB3}.pdf</x:t>
  </x:si>
  <x:si>
    <x:t xml:space="preserve">D20080620</x:t>
  </x:si>
  <x:si>
    <x:t xml:space="preserve">https://www.banxico.org.mx/publicaciones-y-prensa/anuncios-de-las-decisiones-de-politica-monetaria/{64384358-74A6-A9C2-425F-97C245F5BC2F}.pdf</x:t>
  </x:si>
  <x:si>
    <x:t xml:space="preserve">D20080718</x:t>
  </x:si>
  <x:si>
    <x:t xml:space="preserve">https://www.banxico.org.mx/publicaciones-y-prensa/anuncios-de-las-decisiones-de-politica-monetaria/{ACFA5F98-5C19-0495-B708-59BB641FA0DC}.pdf</x:t>
  </x:si>
  <x:si>
    <x:t xml:space="preserve">D20080815</x:t>
  </x:si>
  <x:si>
    <x:t xml:space="preserve">https://www.banxico.org.mx/publicaciones-y-prensa/anuncios-de-las-decisiones-de-politica-monetaria/{E8B861B4-C2F2-D81C-ED0E-E49221239CE6}.pdf</x:t>
  </x:si>
  <x:si>
    <x:t xml:space="preserve">D20080919</x:t>
  </x:si>
  <x:si>
    <x:t xml:space="preserve">https://www.banxico.org.mx/publicaciones-y-prensa/anuncios-de-las-decisiones-de-politica-monetaria/{A90F3265-B6F7-6A96-394A-02F5B9F7B51F}.pdf</x:t>
  </x:si>
  <x:si>
    <x:t xml:space="preserve">D20081017</x:t>
  </x:si>
  <x:si>
    <x:t xml:space="preserve">https://www.banxico.org.mx/publicaciones-y-prensa/anuncios-de-las-decisiones-de-politica-monetaria/{CBB9D6B6-BF78-2774-184A-A35F5A1BC5D7}.pdf</x:t>
  </x:si>
  <x:si>
    <x:t xml:space="preserve">D20081128</x:t>
  </x:si>
  <x:si>
    <x:t xml:space="preserve">https://www.banxico.org.mx/publicaciones-y-prensa/anuncios-de-las-decisiones-de-politica-monetaria/{F30EAF7B-9DBA-7D78-0DA0-BFAA53A55A9C}.pdf</x:t>
  </x:si>
  <x:si>
    <x:t xml:space="preserve">D20090116</x:t>
  </x:si>
  <x:si>
    <x:t xml:space="preserve">Baja</x:t>
  </x:si>
  <x:si>
    <x:t xml:space="preserve">https://www.banxico.org.mx/publicaciones-y-prensa/anuncios-de-las-decisiones-de-politica-monetaria/{079B1F73-037A-7608-26DE-65FAC0AA66A2}.pdf</x:t>
  </x:si>
  <x:si>
    <x:t xml:space="preserve">D20090220</x:t>
  </x:si>
  <x:si>
    <x:t xml:space="preserve">https://www.banxico.org.mx/publicaciones-y-prensa/anuncios-de-las-decisiones-de-politica-monetaria/{70C0CD1E-4ECF-59BA-DA8A-AD6ACA36F2A4}.pdf</x:t>
  </x:si>
  <x:si>
    <x:t xml:space="preserve">D20090320</x:t>
  </x:si>
  <x:si>
    <x:t xml:space="preserve">https://www.banxico.org.mx/publicaciones-y-prensa/anuncios-de-las-decisiones-de-politica-monetaria/{B25B41A7-9CAB-3774-F195-875BB65458D9}.pdf</x:t>
  </x:si>
  <x:si>
    <x:t xml:space="preserve">D20090417</x:t>
  </x:si>
  <x:si>
    <x:t xml:space="preserve">https://www.banxico.org.mx/publicaciones-y-prensa/anuncios-de-las-decisiones-de-politica-monetaria/{92F70450-2B0B-6A25-C828-4CD84E66B766}.pdf</x:t>
  </x:si>
  <x:si>
    <x:t xml:space="preserve">D20090515</x:t>
  </x:si>
  <x:si>
    <x:t xml:space="preserve">https://www.banxico.org.mx/publicaciones-y-prensa/anuncios-de-las-decisiones-de-politica-monetaria/{799A6928-D4C4-D78D-8D7A-BD3D80573BFA}.pdf</x:t>
  </x:si>
  <x:si>
    <x:t xml:space="preserve">D20090619</x:t>
  </x:si>
  <x:si>
    <x:t xml:space="preserve">https://www.banxico.org.mx/publicaciones-y-prensa/anuncios-de-las-decisiones-de-politica-monetaria/{3FB45FBD-3A37-9AF4-54E1-51E54898DDE4}.pdf</x:t>
  </x:si>
  <x:si>
    <x:t xml:space="preserve">D20090717</x:t>
  </x:si>
  <x:si>
    <x:t xml:space="preserve">https://www.banxico.org.mx/publicaciones-y-prensa/anuncios-de-las-decisiones-de-politica-monetaria/{F85B4FDD-16D9-2952-5376-56AF0051155C}.pdf</x:t>
  </x:si>
  <x:si>
    <x:t xml:space="preserve">D20090821</x:t>
  </x:si>
  <x:si>
    <x:t xml:space="preserve">https://www.banxico.org.mx/publicaciones-y-prensa/anuncios-de-las-decisiones-de-politica-monetaria/{D6991B75-A686-3A8D-EE4F-115D7A6714C2}.pdf</x:t>
  </x:si>
  <x:si>
    <x:t xml:space="preserve">D20090918</x:t>
  </x:si>
  <x:si>
    <x:t xml:space="preserve">https://www.banxico.org.mx/publicaciones-y-prensa/anuncios-de-las-decisiones-de-politica-monetaria/{31E56B4B-90E0-CE02-B8C9-898BFC6E0F11}.pdf</x:t>
  </x:si>
  <x:si>
    <x:t xml:space="preserve">D20091016</x:t>
  </x:si>
  <x:si>
    <x:t xml:space="preserve">https://www.banxico.org.mx/publicaciones-y-prensa/anuncios-de-las-decisiones-de-politica-monetaria/{9E24E85A-103F-A4D9-B0E3-F3D35B5D151B}.pdf</x:t>
  </x:si>
  <x:si>
    <x:t xml:space="preserve">D20091127</x:t>
  </x:si>
  <x:si>
    <x:t xml:space="preserve">https://www.banxico.org.mx/publicaciones-y-prensa/anuncios-de-las-decisiones-de-politica-monetaria/{87359AB0-44E9-A128-BC58-B83BAA32CE60}.pdf</x:t>
  </x:si>
  <x:si>
    <x:t xml:space="preserve">D20100115</x:t>
  </x:si>
  <x:si>
    <x:t xml:space="preserve">https://www.banxico.org.mx/publicaciones-y-prensa/anuncios-de-las-decisiones-de-politica-monetaria/{253738A7-B4D5-E6EC-21A4-426902907385}.pdf</x:t>
  </x:si>
  <x:si>
    <x:t xml:space="preserve">D20100219</x:t>
  </x:si>
  <x:si>
    <x:t xml:space="preserve">https://www.banxico.org.mx/publicaciones-y-prensa/anuncios-de-las-decisiones-de-politica-monetaria/{4333CB58-571D-8587-73FC-6B1FE98F845B}.pdf</x:t>
  </x:si>
  <x:si>
    <x:t xml:space="preserve">D20100319</x:t>
  </x:si>
  <x:si>
    <x:t xml:space="preserve">https://www.banxico.org.mx/publicaciones-y-prensa/anuncios-de-las-decisiones-de-politica-monetaria/{18F5115A-9EBE-3E47-DB74-C042BD6BC2E5}.pdf</x:t>
  </x:si>
  <x:si>
    <x:t xml:space="preserve">D20100416</x:t>
  </x:si>
  <x:si>
    <x:t xml:space="preserve">https://www.banxico.org.mx/publicaciones-y-prensa/anuncios-de-las-decisiones-de-politica-monetaria/{3A68189A-904F-C582-A6D1-373BBCABE67F}.pdf</x:t>
  </x:si>
  <x:si>
    <x:t xml:space="preserve">D20100521</x:t>
  </x:si>
  <x:si>
    <x:t xml:space="preserve">https://www.banxico.org.mx/publicaciones-y-prensa/anuncios-de-las-decisiones-de-politica-monetaria/{A35C0AF8-0A50-7603-B142-77B008A7E5DD}.pdf</x:t>
  </x:si>
  <x:si>
    <x:t xml:space="preserve">D20100618</x:t>
  </x:si>
  <x:si>
    <x:t xml:space="preserve">https://www.banxico.org.mx/publicaciones-y-prensa/anuncios-de-las-decisiones-de-politica-monetaria/{CC8E689F-2C40-6FB0-3275-CADDEF805465}.pdf</x:t>
  </x:si>
  <x:si>
    <x:t xml:space="preserve">D20100716</x:t>
  </x:si>
  <x:si>
    <x:t xml:space="preserve">https://www.banxico.org.mx/publicaciones-y-prensa/anuncios-de-las-decisiones-de-politica-monetaria/{37DAB34C-86E9-1B9D-BE18-CC7CE14F3E04}.pdf</x:t>
  </x:si>
  <x:si>
    <x:t xml:space="preserve">D20100820</x:t>
  </x:si>
  <x:si>
    <x:t xml:space="preserve">https://www.banxico.org.mx/publicaciones-y-prensa/anuncios-de-las-decisiones-de-politica-monetaria/{C812D4DB-7072-409A-957C-C741E170D8FB}.pdf</x:t>
  </x:si>
  <x:si>
    <x:t xml:space="preserve">D20100924</x:t>
  </x:si>
  <x:si>
    <x:t xml:space="preserve">https://www.banxico.org.mx/publicaciones-y-prensa/anuncios-de-las-decisiones-de-politica-monetaria/{8E115CC9-4757-C410-2F6D-7D389EA7A294}.pdf</x:t>
  </x:si>
  <x:si>
    <x:t xml:space="preserve">D20101015</x:t>
  </x:si>
  <x:si>
    <x:t xml:space="preserve">https://www.banxico.org.mx/publicaciones-y-prensa/anuncios-de-las-decisiones-de-politica-monetaria/{0E545073-F280-A3BF-DC09-0F3E23366C5A}.pdf</x:t>
  </x:si>
  <x:si>
    <x:t xml:space="preserve">D20101126</x:t>
  </x:si>
  <x:si>
    <x:t xml:space="preserve">https://www.banxico.org.mx/publicaciones-y-prensa/anuncios-de-las-decisiones-de-politica-monetaria/{45345368-5002-807A-2E56-DA3F2289BE2A}.pdf</x:t>
  </x:si>
  <x:si>
    <x:t xml:space="preserve">D20110121</x:t>
  </x:si>
  <x:si>
    <x:t xml:space="preserve">Sí</x:t>
  </x:si>
  <x:si>
    <x:t xml:space="preserve">https://www.banxico.org.mx/publicaciones-y-prensa/anuncios-de-las-decisiones-de-politica-monetaria/{5282873A-C410-36FC-465E-46EF50657871}.pdf</x:t>
  </x:si>
  <x:si>
    <x:t xml:space="preserve">https://www.banxico.org.mx/publicaciones-y-prensa/minutas-de-las-decisiones-de-politica-monetaria/{A3DBE068-BDA5-8215-9B91-AC0C2F8792EC}.pdf</x:t>
  </x:si>
  <x:si>
    <x:t xml:space="preserve">D20110304</x:t>
  </x:si>
  <x:si>
    <x:t xml:space="preserve">https://www.banxico.org.mx/publicaciones-y-prensa/anuncios-de-las-decisiones-de-politica-monetaria/{D89145E8-6232-FEFB-D839-097CF1694923}.pdf</x:t>
  </x:si>
  <x:si>
    <x:t xml:space="preserve">https://www.banxico.org.mx/publicaciones-y-prensa/minutas-de-las-decisiones-de-politica-monetaria/{70660AF9-E7A5-8533-968B-F21627AA338B}.pdf</x:t>
  </x:si>
  <x:si>
    <x:t xml:space="preserve">D20110415</x:t>
  </x:si>
  <x:si>
    <x:t xml:space="preserve">https://www.banxico.org.mx/publicaciones-y-prensa/anuncios-de-las-decisiones-de-politica-monetaria/{B1D43FD3-F87D-D923-1E08-231774259D6E}.pdf</x:t>
  </x:si>
  <x:si>
    <x:t xml:space="preserve">https://www.banxico.org.mx/publicaciones-y-prensa/minutas-de-las-decisiones-de-politica-monetaria/{BFD87DD4-8F75-8ECC-A4FE-B29DA6B49D66}.pdf</x:t>
  </x:si>
  <x:si>
    <x:t xml:space="preserve">D20110527</x:t>
  </x:si>
  <x:si>
    <x:t xml:space="preserve">https://www.banxico.org.mx/publicaciones-y-prensa/anuncios-de-las-decisiones-de-politica-monetaria/{3EAC8175-5AC9-676F-524D-22057D09C9AF}.pdf</x:t>
  </x:si>
  <x:si>
    <x:t xml:space="preserve">https://www.banxico.org.mx/publicaciones-y-prensa/minutas-de-las-decisiones-de-politica-monetaria/{7B3F21DE-A812-7C55-D0FD-5A1230D875E8}.pdf</x:t>
  </x:si>
  <x:si>
    <x:t xml:space="preserve">D20110708</x:t>
  </x:si>
  <x:si>
    <x:t xml:space="preserve">https://www.banxico.org.mx/publicaciones-y-prensa/anuncios-de-las-decisiones-de-politica-monetaria/{C53A54E5-EFE6-2798-B57A-ADD52BA4414E}.pdf</x:t>
  </x:si>
  <x:si>
    <x:t xml:space="preserve">https://www.banxico.org.mx/publicaciones-y-prensa/minutas-de-las-decisiones-de-politica-monetaria/{08103124-9EB4-EF0C-081A-CC63198F52A3}.pdf</x:t>
  </x:si>
  <x:si>
    <x:t xml:space="preserve">D20110826</x:t>
  </x:si>
  <x:si>
    <x:t xml:space="preserve">https://www.banxico.org.mx/publicaciones-y-prensa/anuncios-de-las-decisiones-de-politica-monetaria/{07D9C69A-03A0-5188-24D0-03970EA6F181}.pdf</x:t>
  </x:si>
  <x:si>
    <x:t xml:space="preserve">https://www.banxico.org.mx/publicaciones-y-prensa/minutas-de-las-decisiones-de-politica-monetaria/{1204F695-BB7E-2652-27F7-618E7359BCFC}.pdf</x:t>
  </x:si>
  <x:si>
    <x:t xml:space="preserve">D20111014</x:t>
  </x:si>
  <x:si>
    <x:t xml:space="preserve">https://www.banxico.org.mx/publicaciones-y-prensa/anuncios-de-las-decisiones-de-politica-monetaria/{4358F902-0DE6-260D-1E38-BCFEE59B570E}.pdf</x:t>
  </x:si>
  <x:si>
    <x:t xml:space="preserve">https://www.banxico.org.mx/publicaciones-y-prensa/minutas-de-las-decisiones-de-politica-monetaria/{40753B54-1B88-5957-B9AB-7DAE838EC395}.pdf</x:t>
  </x:si>
  <x:si>
    <x:t xml:space="preserve">D20111202</x:t>
  </x:si>
  <x:si>
    <x:t xml:space="preserve">https://www.banxico.org.mx/publicaciones-y-prensa/anuncios-de-las-decisiones-de-politica-monetaria/{53C9AEAC-563A-4E3B-E6A8-27DC7C155948}.pdf</x:t>
  </x:si>
  <x:si>
    <x:t xml:space="preserve">https://www.banxico.org.mx/publicaciones-y-prensa/minutas-de-las-decisiones-de-politica-monetaria/{64772582-C7F4-471F-317D-00A2D37A5B41}.pdf</x:t>
  </x:si>
  <x:si>
    <x:t xml:space="preserve">D20120120</x:t>
  </x:si>
  <x:si>
    <x:t xml:space="preserve">https://www.banxico.org.mx/publicaciones-y-prensa/anuncios-de-las-decisiones-de-politica-monetaria/{7D6208ED-793D-993A-96B6-465971CF2373}.pdf</x:t>
  </x:si>
  <x:si>
    <x:t xml:space="preserve">https://www.banxico.org.mx/publicaciones-y-prensa/minutas-de-las-decisiones-de-politica-monetaria/{756A02D7-9EF0-99A4-3B0F-BD64F20FA03B}.pdf</x:t>
  </x:si>
  <x:si>
    <x:t xml:space="preserve">D20120316</x:t>
  </x:si>
  <x:si>
    <x:t xml:space="preserve">https://www.banxico.org.mx/publicaciones-y-prensa/anuncios-de-las-decisiones-de-politica-monetaria/{044CE0CA-6924-4CCD-F33A-DC240EA6A6F8}.pdf</x:t>
  </x:si>
  <x:si>
    <x:t xml:space="preserve">https://www.banxico.org.mx/publicaciones-y-prensa/minutas-de-las-decisiones-de-politica-monetaria/{4884526F-58E9-E525-8AD2-FA99A89C3034}.pdf</x:t>
  </x:si>
  <x:si>
    <x:t xml:space="preserve">D20120427</x:t>
  </x:si>
  <x:si>
    <x:t xml:space="preserve">https://www.banxico.org.mx/publicaciones-y-prensa/anuncios-de-las-decisiones-de-politica-monetaria/{9A5E9E34-2639-BCA3-DEBB-B5E736C57163}.pdf</x:t>
  </x:si>
  <x:si>
    <x:t xml:space="preserve">https://www.banxico.org.mx/publicaciones-y-prensa/minutas-de-las-decisiones-de-politica-monetaria/{E9C111E2-0D41-934B-E80E-7C8DE54C710E}.pdf</x:t>
  </x:si>
  <x:si>
    <x:t xml:space="preserve">D20120608</x:t>
  </x:si>
  <x:si>
    <x:t xml:space="preserve">https://www.banxico.org.mx/publicaciones-y-prensa/anuncios-de-las-decisiones-de-politica-monetaria/{FFA12516-877A-7437-28FC-C81D75A9CE7A}.pdf</x:t>
  </x:si>
  <x:si>
    <x:t xml:space="preserve">https://www.banxico.org.mx/publicaciones-y-prensa/minutas-de-las-decisiones-de-politica-monetaria/{F546C1A0-4153-01EF-6268-6DB41F96E3D3}.pdf</x:t>
  </x:si>
  <x:si>
    <x:t xml:space="preserve">D20120720</x:t>
  </x:si>
  <x:si>
    <x:t xml:space="preserve">https://www.banxico.org.mx/publicaciones-y-prensa/anuncios-de-las-decisiones-de-politica-monetaria/{80701584-AF90-FF4D-9BF1-7EF0EEF975A8}.pdf</x:t>
  </x:si>
  <x:si>
    <x:t xml:space="preserve">https://www.banxico.org.mx/publicaciones-y-prensa/minutas-de-las-decisiones-de-politica-monetaria/{39877DD8-F689-9A9A-8B2C-1E1EE8BE37FB}.pdf</x:t>
  </x:si>
  <x:si>
    <x:t xml:space="preserve">D20120907</x:t>
  </x:si>
  <x:si>
    <x:t xml:space="preserve">https://www.banxico.org.mx/publicaciones-y-prensa/anuncios-de-las-decisiones-de-politica-monetaria/{0D778DF5-9AE3-AE0A-7996-32E16E3BF86E}.pdf</x:t>
  </x:si>
  <x:si>
    <x:t xml:space="preserve">https://www.banxico.org.mx/publicaciones-y-prensa/minutas-de-las-decisiones-de-politica-monetaria/{E960D897-291F-D0AE-A162-613EBA8CDBBC}.pdf</x:t>
  </x:si>
  <x:si>
    <x:t xml:space="preserve">D20121026</x:t>
  </x:si>
  <x:si>
    <x:t xml:space="preserve">https://www.banxico.org.mx/publicaciones-y-prensa/anuncios-de-las-decisiones-de-politica-monetaria/{82443CBD-7358-96E7-3FA9-45427DD7B8B4}.pdf</x:t>
  </x:si>
  <x:si>
    <x:t xml:space="preserve">https://www.banxico.org.mx/publicaciones-y-prensa/minutas-de-las-decisiones-de-politica-monetaria/{F69DB0E8-C026-8777-82DA-A78C0469005C}.pdf</x:t>
  </x:si>
  <x:si>
    <x:t xml:space="preserve">D20121130</x:t>
  </x:si>
  <x:si>
    <x:t xml:space="preserve">https://www.banxico.org.mx/publicaciones-y-prensa/anuncios-de-las-decisiones-de-politica-monetaria/{A15D84B0-1544-FF11-3DA1-3C2353BF89E6}.pdf</x:t>
  </x:si>
  <x:si>
    <x:t xml:space="preserve">https://www.banxico.org.mx/publicaciones-y-prensa/minutas-de-las-decisiones-de-politica-monetaria/{9A3F9306-4DA3-6F3E-063D-DD9907BC6BF4}.pdf</x:t>
  </x:si>
  <x:si>
    <x:t xml:space="preserve">D20130118</x:t>
  </x:si>
  <x:si>
    <x:t xml:space="preserve">https://www.banxico.org.mx/publicaciones-y-prensa/anuncios-de-las-decisiones-de-politica-monetaria/{9FBF12AA-D7D8-E0B2-CCC4-5E6FB38FEBCE}.pdf</x:t>
  </x:si>
  <x:si>
    <x:t xml:space="preserve">https://www.banxico.org.mx/publicaciones-y-prensa/minutas-de-las-decisiones-de-politica-monetaria/{3EC00B2A-1A11-DDB7-2A8D-276FA059178D}.pdf</x:t>
  </x:si>
  <x:si>
    <x:t xml:space="preserve">D20130308</x:t>
  </x:si>
  <x:si>
    <x:t xml:space="preserve">https://www.banxico.org.mx/publicaciones-y-prensa/anuncios-de-las-decisiones-de-politica-monetaria/{B1BB0083-81E6-6A46-917A-A4F34773D8E1}.pdf</x:t>
  </x:si>
  <x:si>
    <x:t xml:space="preserve">https://www.banxico.org.mx/publicaciones-y-prensa/minutas-de-las-decisiones-de-politica-monetaria/{930C6DD6-58E4-F349-46E1-0D7230FAE7E0}.pdf</x:t>
  </x:si>
  <x:si>
    <x:t xml:space="preserve">D20130426</x:t>
  </x:si>
  <x:si>
    <x:t xml:space="preserve">https://www.banxico.org.mx/publicaciones-y-prensa/anuncios-de-las-decisiones-de-politica-monetaria/{4C77F6F1-04BD-3D32-DE6B-DB6C32D93667}.pdf</x:t>
  </x:si>
  <x:si>
    <x:t xml:space="preserve">https://www.banxico.org.mx/publicaciones-y-prensa/minutas-de-las-decisiones-de-politica-monetaria/{0B6B8633-5A2D-D7AE-3A8D-90B3467D5265}.pdf</x:t>
  </x:si>
  <x:si>
    <x:t xml:space="preserve">D20130607</x:t>
  </x:si>
  <x:si>
    <x:t xml:space="preserve">https://www.banxico.org.mx/publicaciones-y-prensa/anuncios-de-las-decisiones-de-politica-monetaria/{D05752AF-DE1F-1AA6-708D-EB0613FD8273}.pdf</x:t>
  </x:si>
  <x:si>
    <x:t xml:space="preserve">https://www.banxico.org.mx/publicaciones-y-prensa/minutas-de-las-decisiones-de-politica-monetaria/{8C689AC7-E3B4-25BC-A5FC-B48FA294FE90}.pdf</x:t>
  </x:si>
  <x:si>
    <x:t xml:space="preserve">D20130712</x:t>
  </x:si>
  <x:si>
    <x:t xml:space="preserve">https://www.banxico.org.mx/publicaciones-y-prensa/anuncios-de-las-decisiones-de-politica-monetaria/{C50924ED-D6B5-E713-7FC4-2BB50704867E}.pdf</x:t>
  </x:si>
  <x:si>
    <x:t xml:space="preserve">https://www.banxico.org.mx/publicaciones-y-prensa/minutas-de-las-decisiones-de-politica-monetaria/{C3DE8B2D-FD55-C3CC-109A-DCA36EAD34E2}.pdf</x:t>
  </x:si>
  <x:si>
    <x:t xml:space="preserve">D20130906</x:t>
  </x:si>
  <x:si>
    <x:t xml:space="preserve">No</x:t>
  </x:si>
  <x:si>
    <x:t xml:space="preserve">https://www.banxico.org.mx/publicaciones-y-prensa/anuncios-de-las-decisiones-de-politica-monetaria/{27B95C51-9084-A3B9-EBE5-069CF8EC6AD4}.pdf</x:t>
  </x:si>
  <x:si>
    <x:t xml:space="preserve">https://www.banxico.org.mx/publicaciones-y-prensa/minutas-de-las-decisiones-de-politica-monetaria/{3611BA82-C866-44AF-B042-398328F045BC}.pdf</x:t>
  </x:si>
  <x:si>
    <x:t xml:space="preserve">D20131025</x:t>
  </x:si>
  <x:si>
    <x:t xml:space="preserve">https://www.banxico.org.mx/publicaciones-y-prensa/anuncios-de-las-decisiones-de-politica-monetaria/{F658A41A-1266-7EE9-F392-E598B9518768}.pdf</x:t>
  </x:si>
  <x:si>
    <x:t xml:space="preserve">https://www.banxico.org.mx/publicaciones-y-prensa/minutas-de-las-decisiones-de-politica-monetaria/{9DFEADFA-9CB9-9851-AE6F-C266B3B033F6}.pdf</x:t>
  </x:si>
  <x:si>
    <x:t xml:space="preserve">D20131206</x:t>
  </x:si>
  <x:si>
    <x:t xml:space="preserve">https://www.banxico.org.mx/publicaciones-y-prensa/anuncios-de-las-decisiones-de-politica-monetaria/{4E15E62F-8409-1715-2B50-29107081A593}.pdf</x:t>
  </x:si>
  <x:si>
    <x:t xml:space="preserve">https://www.banxico.org.mx/publicaciones-y-prensa/minutas-de-las-decisiones-de-politica-monetaria/{E92AA561-4A03-AEE3-0E8A-79D4FAA30362}.pdf</x:t>
  </x:si>
  <x:si>
    <x:t xml:space="preserve">D20140131</x:t>
  </x:si>
  <x:si>
    <x:t xml:space="preserve">https://www.banxico.org.mx/publicaciones-y-prensa/anuncios-de-las-decisiones-de-politica-monetaria/{56178024-CC63-0115-AF52-13EC9922A5BD}.pdf</x:t>
  </x:si>
  <x:si>
    <x:t xml:space="preserve">https://www.banxico.org.mx/publicaciones-y-prensa/minutas-de-las-decisiones-de-politica-monetaria/{1AD19DD6-42C9-6F55-5A02-4F1AB67F525A}.pdf</x:t>
  </x:si>
  <x:si>
    <x:t xml:space="preserve">D20140321</x:t>
  </x:si>
  <x:si>
    <x:t xml:space="preserve">https://www.banxico.org.mx/publicaciones-y-prensa/anuncios-de-las-decisiones-de-politica-monetaria/{309E74CE-3529-6B58-54B6-09A3AD31140C}.pdf</x:t>
  </x:si>
  <x:si>
    <x:t xml:space="preserve">https://www.banxico.org.mx/publicaciones-y-prensa/minutas-de-las-decisiones-de-politica-monetaria/{4FD893DC-6685-D958-E7F5-32660AEC2D18}.pdf</x:t>
  </x:si>
  <x:si>
    <x:t xml:space="preserve">D20140425</x:t>
  </x:si>
  <x:si>
    <x:t xml:space="preserve">https://www.banxico.org.mx/publicaciones-y-prensa/anuncios-de-las-decisiones-de-politica-monetaria/{578E4D04-DB2C-2627-161B-5CD93B4D3961}.pdf</x:t>
  </x:si>
  <x:si>
    <x:t xml:space="preserve">https://www.banxico.org.mx/publicaciones-y-prensa/minutas-de-las-decisiones-de-politica-monetaria/{5846CA85-DC06-774F-6BE7-795F445BA499}.pdf</x:t>
  </x:si>
  <x:si>
    <x:t xml:space="preserve">D20140606</x:t>
  </x:si>
  <x:si>
    <x:t xml:space="preserve">https://www.banxico.org.mx/publicaciones-y-prensa/anuncios-de-las-decisiones-de-politica-monetaria/{72EDC731-0F29-9D66-1291-B8C4751F15CE}.pdf</x:t>
  </x:si>
  <x:si>
    <x:t xml:space="preserve">https://www.banxico.org.mx/publicaciones-y-prensa/minutas-de-las-decisiones-de-politica-monetaria/{109E42A5-8E58-624C-73DB-00BE9C66F68B}.pdf</x:t>
  </x:si>
  <x:si>
    <x:t xml:space="preserve">D20140711</x:t>
  </x:si>
  <x:si>
    <x:t xml:space="preserve">https://www.banxico.org.mx/publicaciones-y-prensa/anuncios-de-las-decisiones-de-politica-monetaria/{2AB5FCA9-2C0D-EE65-4670-816E23628FC6}.pdf</x:t>
  </x:si>
  <x:si>
    <x:t xml:space="preserve">https://www.banxico.org.mx/publicaciones-y-prensa/minutas-de-las-decisiones-de-politica-monetaria/{4BBA4BD4-1E93-43BB-729B-81F928AC241D}.pdf</x:t>
  </x:si>
  <x:si>
    <x:t xml:space="preserve">D20140905</x:t>
  </x:si>
  <x:si>
    <x:t xml:space="preserve">https://www.banxico.org.mx/publicaciones-y-prensa/anuncios-de-las-decisiones-de-politica-monetaria/{9EB24CA1-39E6-A525-51BA-3EC753FF4B95}.pdf</x:t>
  </x:si>
  <x:si>
    <x:t xml:space="preserve">https://www.banxico.org.mx/publicaciones-y-prensa/minutas-de-las-decisiones-de-politica-monetaria/{15D1D16C-6E36-F940-A9FD-C03DD54FBE5E}.pdf</x:t>
  </x:si>
  <x:si>
    <x:t xml:space="preserve">D20141031</x:t>
  </x:si>
  <x:si>
    <x:t xml:space="preserve">https://www.banxico.org.mx/publicaciones-y-prensa/anuncios-de-las-decisiones-de-politica-monetaria/{8745E5FE-AE35-A71C-CE15-FE638F7BF96E}.pdf</x:t>
  </x:si>
  <x:si>
    <x:t xml:space="preserve">https://www.banxico.org.mx/publicaciones-y-prensa/minutas-de-las-decisiones-de-politica-monetaria/{80187B6A-2B0F-C806-0482-CC2227D702D0}.pdf</x:t>
  </x:si>
  <x:si>
    <x:t xml:space="preserve">D20141205</x:t>
  </x:si>
  <x:si>
    <x:t xml:space="preserve">https://www.banxico.org.mx/publicaciones-y-prensa/anuncios-de-las-decisiones-de-politica-monetaria/{55344987-3355-2A83-FE8A-C1FE9C71F5A6}.pdf</x:t>
  </x:si>
  <x:si>
    <x:t xml:space="preserve">https://www.banxico.org.mx/publicaciones-y-prensa/minutas-de-las-decisiones-de-politica-monetaria/{52CDAF65-32B0-5B19-A12A-3B73A639A1A2}.pdf</x:t>
  </x:si>
  <x:si>
    <x:t xml:space="preserve">D20150129</x:t>
  </x:si>
  <x:si>
    <x:t xml:space="preserve">https://www.banxico.org.mx/publicaciones-y-prensa/anuncios-de-las-decisiones-de-politica-monetaria/{C9753BF8-12B8-F7AC-F518-BB45EE2BC958}.pdf</x:t>
  </x:si>
  <x:si>
    <x:t xml:space="preserve">https://www.banxico.org.mx/publicaciones-y-prensa/minutas-de-las-decisiones-de-politica-monetaria/{FE693B25-7057-1B90-D866-30506ABB5848}.pdf</x:t>
  </x:si>
  <x:si>
    <x:t xml:space="preserve">D20150326</x:t>
  </x:si>
  <x:si>
    <x:t xml:space="preserve">https://www.banxico.org.mx/publicaciones-y-prensa/anuncios-de-las-decisiones-de-politica-monetaria/{3FD893CC-8D2F-C4CF-BB5D-C4AF49BD9E15}.pdf</x:t>
  </x:si>
  <x:si>
    <x:t xml:space="preserve">https://www.banxico.org.mx/publicaciones-y-prensa/minutas-de-las-decisiones-de-politica-monetaria/{A520F575-7066-64BD-B864-FEEBAB9AE2E4}.pdf</x:t>
  </x:si>
  <x:si>
    <x:t xml:space="preserve">D20150430</x:t>
  </x:si>
  <x:si>
    <x:t xml:space="preserve">https://www.banxico.org.mx/publicaciones-y-prensa/anuncios-de-las-decisiones-de-politica-monetaria/{449F6CF3-8736-2B64-3F30-457140D7D723}.pdf</x:t>
  </x:si>
  <x:si>
    <x:t xml:space="preserve">https://www.banxico.org.mx/publicaciones-y-prensa/minutas-de-las-decisiones-de-politica-monetaria/{3609F613-1682-DFCF-C9D9-38ACCBEC044D}.pdf</x:t>
  </x:si>
  <x:si>
    <x:t xml:space="preserve">D20150604</x:t>
  </x:si>
  <x:si>
    <x:t xml:space="preserve">https://www.banxico.org.mx/publicaciones-y-prensa/anuncios-de-las-decisiones-de-politica-monetaria/{3DD16F35-8148-B447-2E58-AC1DAD0E425E}.pdf</x:t>
  </x:si>
  <x:si>
    <x:t xml:space="preserve">https://www.banxico.org.mx/publicaciones-y-prensa/minutas-de-las-decisiones-de-politica-monetaria/{07A0FC21-FC68-EAD7-2375-23754B689692}.pdf</x:t>
  </x:si>
  <x:si>
    <x:t xml:space="preserve">D20150730</x:t>
  </x:si>
  <x:si>
    <x:t xml:space="preserve">https://www.banxico.org.mx/publicaciones-y-prensa/anuncios-de-las-decisiones-de-politica-monetaria/{04239536-BDEF-88F9-A7F8-88F35B14BA39}.pdf</x:t>
  </x:si>
  <x:si>
    <x:t xml:space="preserve">https://www.banxico.org.mx/publicaciones-y-prensa/minutas-de-las-decisiones-de-politica-monetaria/{7CB02FB8-B6F1-826E-A852-4DB9D1747B0D}.pdf</x:t>
  </x:si>
  <x:si>
    <x:t xml:space="preserve">D20150921</x:t>
  </x:si>
  <x:si>
    <x:t xml:space="preserve">https://www.banxico.org.mx/publicaciones-y-prensa/anuncios-de-las-decisiones-de-politica-monetaria/{677D0E00-3FE0-87DC-430C-A500354B8F17}.pdf</x:t>
  </x:si>
  <x:si>
    <x:t xml:space="preserve">https://www.banxico.org.mx/publicaciones-y-prensa/minutas-de-las-decisiones-de-politica-monetaria/{CDFE34CE-2E95-2661-2D57-70DC300E353C}.pdf</x:t>
  </x:si>
  <x:si>
    <x:t xml:space="preserve">D20151029</x:t>
  </x:si>
  <x:si>
    <x:t xml:space="preserve">https://www.banxico.org.mx/publicaciones-y-prensa/anuncios-de-las-decisiones-de-politica-monetaria/{5240F1DC-6F2D-2415-6B08-29AC65481A3D}.pdf</x:t>
  </x:si>
  <x:si>
    <x:t xml:space="preserve">https://www.banxico.org.mx/publicaciones-y-prensa/minutas-de-las-decisiones-de-politica-monetaria/{7997F137-44E3-1A68-2BF4-12252ACAD736}.pdf</x:t>
  </x:si>
  <x:si>
    <x:t xml:space="preserve">D20151217</x:t>
  </x:si>
  <x:si>
    <x:t xml:space="preserve">https://www.banxico.org.mx/publicaciones-y-prensa/anuncios-de-las-decisiones-de-politica-monetaria/{BF868E41-029A-DD5E-9DA8-2A3A64FD6131}.pdf</x:t>
  </x:si>
  <x:si>
    <x:t xml:space="preserve">https://www.banxico.org.mx/publicaciones-y-prensa/minutas-de-las-decisiones-de-politica-monetaria/{1502EADC-BB0C-C02A-6EDE-FE9B377DF98C}.pdf</x:t>
  </x:si>
  <x:si>
    <x:t xml:space="preserve">D20160204</x:t>
  </x:si>
  <x:si>
    <x:t xml:space="preserve">https://www.banxico.org.mx/publicaciones-y-prensa/anuncios-de-las-decisiones-de-politica-monetaria/{C3181CEA-1120-E7B0-B4A0-1CAA06B26628}.pdf</x:t>
  </x:si>
  <x:si>
    <x:t xml:space="preserve">https://www.banxico.org.mx/publicaciones-y-prensa/minutas-de-las-decisiones-de-politica-monetaria/{48C229CB-D66A-DA85-506C-E8396D802689}.pdf</x:t>
  </x:si>
  <x:si>
    <x:t xml:space="preserve">D20160217</x:t>
  </x:si>
  <x:si>
    <x:t xml:space="preserve">Extraordinaria</x:t>
  </x:si>
  <x:si>
    <x:t xml:space="preserve">https://www.banxico.org.mx/publicaciones-y-prensa/anuncios-de-las-decisiones-de-politica-monetaria/{394FBB23-9099-AAB2-6B9B-2FDBAEEE5710}.pdf</x:t>
  </x:si>
  <x:si>
    <x:t xml:space="preserve">D20160318</x:t>
  </x:si>
  <x:si>
    <x:t xml:space="preserve">https://www.banxico.org.mx/publicaciones-y-prensa/anuncios-de-las-decisiones-de-politica-monetaria/{67F67132-2FCA-0080-84B1-5B87CD5F8023}.pdf</x:t>
  </x:si>
  <x:si>
    <x:t xml:space="preserve">https://www.banxico.org.mx/publicaciones-y-prensa/minutas-de-las-decisiones-de-politica-monetaria/{FC72F4E0-95B1-618A-7EA8-60BEAC27B64B}.pdf</x:t>
  </x:si>
  <x:si>
    <x:t xml:space="preserve">D20160505</x:t>
  </x:si>
  <x:si>
    <x:t xml:space="preserve">https://www.banxico.org.mx/publicaciones-y-prensa/anuncios-de-las-decisiones-de-politica-monetaria/{BB0262C9-23E6-8387-E45F-5E2CC358A7AA}.pdf</x:t>
  </x:si>
  <x:si>
    <x:t xml:space="preserve">https://www.banxico.org.mx/publicaciones-y-prensa/minutas-de-las-decisiones-de-politica-monetaria/{34143BBC-E9EB-C930-6102-9FAACE0187F8}.pdf</x:t>
  </x:si>
  <x:si>
    <x:t xml:space="preserve">D20160630</x:t>
  </x:si>
  <x:si>
    <x:t xml:space="preserve">https://www.banxico.org.mx/publicaciones-y-prensa/anuncios-de-las-decisiones-de-politica-monetaria/{23BBC139-AA05-0827-A061-0C8AB90535FA}.pdf</x:t>
  </x:si>
  <x:si>
    <x:t xml:space="preserve">https://www.banxico.org.mx/publicaciones-y-prensa/minutas-de-las-decisiones-de-politica-monetaria/{2FF2127E-33ED-F59E-DF35-80586C369ED5}.pdf</x:t>
  </x:si>
  <x:si>
    <x:t xml:space="preserve">D20160811</x:t>
  </x:si>
  <x:si>
    <x:t xml:space="preserve">https://www.banxico.org.mx/publicaciones-y-prensa/anuncios-de-las-decisiones-de-politica-monetaria/{2631A849-5E61-2FAE-30CF-50857666686B}.pdf</x:t>
  </x:si>
  <x:si>
    <x:t xml:space="preserve">https://www.banxico.org.mx/publicaciones-y-prensa/minutas-de-las-decisiones-de-politica-monetaria/{F9EFF4B7-C3D3-F5D4-E2D5-C543812D1BAD}.pdf</x:t>
  </x:si>
  <x:si>
    <x:t xml:space="preserve">D20160929</x:t>
  </x:si>
  <x:si>
    <x:t xml:space="preserve">https://www.banxico.org.mx/publicaciones-y-prensa/anuncios-de-las-decisiones-de-politica-monetaria/{A25E397D-81C8-795B-96E8-CADC85B72B9A}.pdf</x:t>
  </x:si>
  <x:si>
    <x:t xml:space="preserve">https://www.banxico.org.mx/publicaciones-y-prensa/minutas-de-las-decisiones-de-politica-monetaria/{56F9DC7F-F2C4-6625-D627-246584877544}.pdf</x:t>
  </x:si>
  <x:si>
    <x:t xml:space="preserve">D20161117</x:t>
  </x:si>
  <x:si>
    <x:t xml:space="preserve">https://www.banxico.org.mx/publicaciones-y-prensa/anuncios-de-las-decisiones-de-politica-monetaria/{81F6BD73-43E9-A2EC-BDF5-06B63696F727}.pdf</x:t>
  </x:si>
  <x:si>
    <x:t xml:space="preserve">https://www.banxico.org.mx/publicaciones-y-prensa/minutas-de-las-decisiones-de-politica-monetaria/{CB343B5B-C25F-664A-0B34-2FD8CD049609}.pdf</x:t>
  </x:si>
  <x:si>
    <x:t xml:space="preserve">D20161215</x:t>
  </x:si>
  <x:si>
    <x:t xml:space="preserve">https://www.banxico.org.mx/publicaciones-y-prensa/anuncios-de-las-decisiones-de-politica-monetaria/{36A53A23-EC79-37FF-0253-33BC526E6917}.pdf</x:t>
  </x:si>
  <x:si>
    <x:t xml:space="preserve">https://www.banxico.org.mx/publicaciones-y-prensa/minutas-de-las-decisiones-de-politica-monetaria/{95B8DD36-FA88-D2F0-F83F-186A50C6A501}.pdf</x:t>
  </x:si>
  <x:si>
    <x:t xml:space="preserve">D20170209</x:t>
  </x:si>
  <x:si>
    <x:t xml:space="preserve">https://www.banxico.org.mx/publicaciones-y-prensa/anuncios-de-las-decisiones-de-politica-monetaria/{CDC07FB1-4E59-81F5-727A-FEAD4F60E286}.pdf</x:t>
  </x:si>
  <x:si>
    <x:t xml:space="preserve">https://www.banxico.org.mx/publicaciones-y-prensa/minutas-de-las-decisiones-de-politica-monetaria/{80E4DDAD-DC64-08B6-7F42-C1E1846134C5}.pdf</x:t>
  </x:si>
  <x:si>
    <x:t xml:space="preserve">D20170330</x:t>
  </x:si>
  <x:si>
    <x:t xml:space="preserve">https://www.banxico.org.mx/publicaciones-y-prensa/anuncios-de-las-decisiones-de-politica-monetaria/{074D9E1A-B709-2638-190B-0D1D7B43CFA1}.pdf</x:t>
  </x:si>
  <x:si>
    <x:t xml:space="preserve">https://www.banxico.org.mx/publicaciones-y-prensa/minutas-de-las-decisiones-de-politica-monetaria/{86BCF7C6-983A-9E07-0153-AC8395F3204F}.pdf</x:t>
  </x:si>
  <x:si>
    <x:t xml:space="preserve">D20170518</x:t>
  </x:si>
  <x:si>
    <x:t xml:space="preserve">https://www.banxico.org.mx/publicaciones-y-prensa/anuncios-de-las-decisiones-de-politica-monetaria/{725F68CC-36E7-2DA7-40DC-40AEFAAA15DB}.pdf</x:t>
  </x:si>
  <x:si>
    <x:t xml:space="preserve">https://www.banxico.org.mx/publicaciones-y-prensa/minutas-de-las-decisiones-de-politica-monetaria/{1C5FB7A0-D786-A569-0AC2-7992E9E1CD5D}.pdf</x:t>
  </x:si>
  <x:si>
    <x:t xml:space="preserve">D20170622</x:t>
  </x:si>
  <x:si>
    <x:t xml:space="preserve">https://www.banxico.org.mx/publicaciones-y-prensa/anuncios-de-las-decisiones-de-politica-monetaria/{67F688BC-F0F6-45B3-D486-5A9CE5C90BB7}.pdf</x:t>
  </x:si>
  <x:si>
    <x:t xml:space="preserve">https://www.banxico.org.mx/publicaciones-y-prensa/minutas-de-las-decisiones-de-politica-monetaria/{1C3A9950-A03F-F46F-6ED8-013384A3D5A0}.pdf</x:t>
  </x:si>
  <x:si>
    <x:t xml:space="preserve">D20170810</x:t>
  </x:si>
  <x:si>
    <x:t xml:space="preserve">https://www.banxico.org.mx/publicaciones-y-prensa/anuncios-de-las-decisiones-de-politica-monetaria/{851EB1B0-83F2-B09B-21EA-ECC9B27AB38E}.pdf</x:t>
  </x:si>
  <x:si>
    <x:t xml:space="preserve">https://www.banxico.org.mx/publicaciones-y-prensa/minutas-de-las-decisiones-de-politica-monetaria/{A64E538B-944E-0070-5AA7-25EBCA89EE42}.pdf</x:t>
  </x:si>
  <x:si>
    <x:t xml:space="preserve">D20170928</x:t>
  </x:si>
  <x:si>
    <x:t xml:space="preserve">https://www.banxico.org.mx/publicaciones-y-prensa/anuncios-de-las-decisiones-de-politica-monetaria/{C10DB730-CC69-994D-CECE-7D3AB1DA4B25}.pdf</x:t>
  </x:si>
  <x:si>
    <x:t xml:space="preserve">https://www.banxico.org.mx/publicaciones-y-prensa/minutas-de-las-decisiones-de-politica-monetaria/{10175572-4BFE-7C32-9311-AA453988D1AF}.pdf</x:t>
  </x:si>
  <x:si>
    <x:t xml:space="preserve">D20171109</x:t>
  </x:si>
  <x:si>
    <x:t xml:space="preserve">https://www.banxico.org.mx/publicaciones-y-prensa/anuncios-de-las-decisiones-de-politica-monetaria/{A7CE1CC8-AA68-16D3-A354-6C649CB5B573}.pdf</x:t>
  </x:si>
  <x:si>
    <x:t xml:space="preserve">https://www.banxico.org.mx/publicaciones-y-prensa/minutas-de-las-decisiones-de-politica-monetaria/{9E0B2646-44D4-D9AF-1431-AC74953A0A6E}.pdf</x:t>
  </x:si>
  <x:si>
    <x:t xml:space="preserve">D20171214</x:t>
  </x:si>
  <x:si>
    <x:t xml:space="preserve">https://www.banxico.org.mx/publicaciones-y-prensa/anuncios-de-las-decisiones-de-politica-monetaria/{D12AE26E-C7E4-98C6-774A-370BE65BB85A}.pdf</x:t>
  </x:si>
  <x:si>
    <x:t xml:space="preserve">https://www.banxico.org.mx/publicaciones-y-prensa/minutas-de-las-decisiones-de-politica-monetaria/{610F2139-F8D6-A533-FA85-0C5EF187D0C1}.pdf</x:t>
  </x:si>
  <x:si>
    <x:t xml:space="preserve">D20180208</x:t>
  </x:si>
  <x:si>
    <x:t xml:space="preserve">https://www.banxico.org.mx/publicaciones-y-prensa/anuncios-de-las-decisiones-de-politica-monetaria/{B8A2EF24-EFB6-7412-2AC7-2A082D849603}.pdf</x:t>
  </x:si>
  <x:si>
    <x:t xml:space="preserve">https://www.banxico.org.mx/publicaciones-y-prensa/minutas-de-las-decisiones-de-politica-monetaria/{BB7D0421-4B9F-B4FE-E089-F76F27601D1A}.pdf</x:t>
  </x:si>
  <x:si>
    <x:t xml:space="preserve">D20180412</x:t>
  </x:si>
  <x:si>
    <x:t xml:space="preserve">https://www.banxico.org.mx/publicaciones-y-prensa/anuncios-de-las-decisiones-de-politica-monetaria/{A020627B-C6CC-C74D-02C8-42D99B9B6B29}.pdf</x:t>
  </x:si>
  <x:si>
    <x:t xml:space="preserve">https://www.banxico.org.mx/publicaciones-y-prensa/minutas-de-las-decisiones-de-politica-monetaria/{33AF4E82-305C-2EE4-9BAE-0BE29ED9DFDF}.pdf</x:t>
  </x:si>
  <x:si>
    <x:t xml:space="preserve">D20180517</x:t>
  </x:si>
  <x:si>
    <x:t xml:space="preserve">https://www.banxico.org.mx/publicaciones-y-prensa/anuncios-de-las-decisiones-de-politica-monetaria/{FA7D3584-6233-EB61-D6D0-420712FB01C2}.pdf</x:t>
  </x:si>
  <x:si>
    <x:t xml:space="preserve">https://www.banxico.org.mx/publicaciones-y-prensa/minutas-de-las-decisiones-de-politica-monetaria/{1FC983E2-2499-C296-FE71-85F7ABD67EC3}.pdf</x:t>
  </x:si>
  <x:si>
    <x:t xml:space="preserve">D20180621</x:t>
  </x:si>
  <x:si>
    <x:t xml:space="preserve">https://www.banxico.org.mx/publicaciones-y-prensa/anuncios-de-las-decisiones-de-politica-monetaria/{32F5F0C4-9EE7-8BB9-3AE0-291882583F3B}.pdf</x:t>
  </x:si>
  <x:si>
    <x:t xml:space="preserve">https://www.banxico.org.mx/publicaciones-y-prensa/minutas-de-las-decisiones-de-politica-monetaria/{9D52CB8A-4EA3-F381-42CC-B4A5E02E76E1}.pdf</x:t>
  </x:si>
  <x:si>
    <x:t xml:space="preserve">D20180802</x:t>
  </x:si>
  <x:si>
    <x:t xml:space="preserve">https://www.banxico.org.mx/publicaciones-y-prensa/anuncios-de-las-decisiones-de-politica-monetaria/{B0E8D2FC-D7D2-F62C-E385-936DB840A68A}.pdf</x:t>
  </x:si>
  <x:si>
    <x:t xml:space="preserve">https://www.banxico.org.mx/publicaciones-y-prensa/minutas-de-las-decisiones-de-politica-monetaria/{BC265005-129F-A5FD-309A-229CC8559229}.pdf</x:t>
  </x:si>
  <x:si>
    <x:t xml:space="preserve">D20181004</x:t>
  </x:si>
  <x:si>
    <x:t xml:space="preserve">https://www.banxico.org.mx/publicaciones-y-prensa/anuncios-de-las-decisiones-de-politica-monetaria/{4A8C90EF-5034-468A-D5A0-92CA39FCBD21}.pdf</x:t>
  </x:si>
  <x:si>
    <x:t xml:space="preserve">https://www.banxico.org.mx/publicaciones-y-prensa/minutas-de-las-decisiones-de-politica-monetaria/{50ED7644-47A9-934D-4C49-3CDF170A0FFC}.pdf</x:t>
  </x:si>
  <x:si>
    <x:t xml:space="preserve">D20181115</x:t>
  </x:si>
  <x:si>
    <x:t xml:space="preserve">https://www.banxico.org.mx/publicaciones-y-prensa/anuncios-de-las-decisiones-de-politica-monetaria/{759F9C79-B40F-CD69-E10F-C56C3265923A}.pdf</x:t>
  </x:si>
  <x:si>
    <x:t xml:space="preserve">https://www.banxico.org.mx/publicaciones-y-prensa/minutas-de-las-decisiones-de-politica-monetaria/{E71098EA-AC1E-45CB-F1FC-1BCA43571239}.pdf</x:t>
  </x:si>
  <x:si>
    <x:t xml:space="preserve">D20181220</x:t>
  </x:si>
  <x:si>
    <x:t xml:space="preserve">https://www.banxico.org.mx/publicaciones-y-prensa/anuncios-de-las-decisiones-de-politica-monetaria/{0CB97688-9500-D1A2-A000-C60DAF3E853F}.pdf</x:t>
  </x:si>
  <x:si>
    <x:t xml:space="preserve">https://www.banxico.org.mx/publicaciones-y-prensa/minutas-de-las-decisiones-de-politica-monetaria/{5EC61A9B-E408-3DA8-C647-97B441EC6D76}.pdf</x:t>
  </x:si>
  <x:si>
    <x:t xml:space="preserve">D20190207</x:t>
  </x:si>
  <x:si>
    <x:t xml:space="preserve">https://www.banxico.org.mx/publicaciones-y-prensa/anuncios-de-las-decisiones-de-politica-monetaria/{066D3F9D-6038-F9FD-88C6-DFE4977DF0D3}.pdf</x:t>
  </x:si>
  <x:si>
    <x:t xml:space="preserve">https://www.banxico.org.mx/publicaciones-y-prensa/minutas-de-las-decisiones-de-politica-monetaria/{A63CB66A-5AED-15AE-F534-2D99FB3FA7C9}.pdf</x:t>
  </x:si>
  <x:si>
    <x:t xml:space="preserve">D20190328</x:t>
  </x:si>
  <x:si>
    <x:t xml:space="preserve">https://www.banxico.org.mx/publicaciones-y-prensa/anuncios-de-las-decisiones-de-politica-monetaria/{0F4AB746-781C-0D0A-5E3F-D5D28B14040C}.pdf</x:t>
  </x:si>
  <x:si>
    <x:t xml:space="preserve">https://www.banxico.org.mx/publicaciones-y-prensa/minutas-de-las-decisiones-de-politica-monetaria/{FB16B517-D1BF-D281-60B9-C3552469117C}.pdf</x:t>
  </x:si>
  <x:si>
    <x:t xml:space="preserve">D20190516</x:t>
  </x:si>
  <x:si>
    <x:t xml:space="preserve">https://www.banxico.org.mx/publicaciones-y-prensa/anuncios-de-las-decisiones-de-politica-monetaria/{F4FA44AB-E4ED-59FA-100A-7791AA0085CD}.pdf</x:t>
  </x:si>
  <x:si>
    <x:t xml:space="preserve">https://www.banxico.org.mx/publicaciones-y-prensa/minutas-de-las-decisiones-de-politica-monetaria/{E543784E-F02B-7492-2776-B981AC479D9A}.pdf</x:t>
  </x:si>
  <x:si>
    <x:t xml:space="preserve">D20190627</x:t>
  </x:si>
  <x:si>
    <x:t xml:space="preserve">https://www.banxico.org.mx/publicaciones-y-prensa/anuncios-de-las-decisiones-de-politica-monetaria/{BBE502FD-07B1-0B6F-80BD-8F9372DB224D}.pdf</x:t>
  </x:si>
  <x:si>
    <x:t xml:space="preserve">https://www.banxico.org.mx/publicaciones-y-prensa/minutas-de-las-decisiones-de-politica-monetaria/{912CEB1F-464B-29BA-A44E-1BEA0938891D}.pdf</x:t>
  </x:si>
  <x:si>
    <x:t xml:space="preserve">D20190815</x:t>
  </x:si>
  <x:si>
    <x:t xml:space="preserve">https://www.banxico.org.mx/publicaciones-y-prensa/anuncios-de-las-decisiones-de-politica-monetaria/{B661860D-753B-D805-90A3-0451F6011307}.pdf</x:t>
  </x:si>
  <x:si>
    <x:t xml:space="preserve">https://www.banxico.org.mx/publicaciones-y-prensa/minutas-de-las-decisiones-de-politica-monetaria/{4BD2C2C1-8EE6-3A11-68A2-AAC044D90E03}.pdf</x:t>
  </x:si>
  <x:si>
    <x:t xml:space="preserve">D20190926</x:t>
  </x:si>
  <x:si>
    <x:t xml:space="preserve">https://www.banxico.org.mx/publicaciones-y-prensa/anuncios-de-las-decisiones-de-politica-monetaria/{1170CD25-C24D-E99C-F3D3-6B86D1822E65}.pdf</x:t>
  </x:si>
  <x:si>
    <x:t xml:space="preserve">https://www.banxico.org.mx/publicaciones-y-prensa/minutas-de-las-decisiones-de-politica-monetaria/{C4659F26-F0C4-33C0-8B63-D01B971A39C5}.pdf</x:t>
  </x:si>
  <x:si>
    <x:t xml:space="preserve">D20191114</x:t>
  </x:si>
  <x:si>
    <x:t xml:space="preserve">https://www.banxico.org.mx/publicaciones-y-prensa/anuncios-de-las-decisiones-de-politica-monetaria/{0DD5A3F4-0B57-8F6A-6F98-1F5048852A35}.pdf</x:t>
  </x:si>
  <x:si>
    <x:t xml:space="preserve">https://www.banxico.org.mx/publicaciones-y-prensa/minutas-de-las-decisiones-de-politica-monetaria/{DA837B97-2456-1C39-BFBA-2B3C7513C14F}.pdf</x:t>
  </x:si>
  <x:si>
    <x:t xml:space="preserve">D20191219</x:t>
  </x:si>
  <x:si>
    <x:t xml:space="preserve">https://www.banxico.org.mx/publicaciones-y-prensa/anuncios-de-las-decisiones-de-politica-monetaria/{D5328504-B958-4BE0-44A3-9363FCAC99D3}.pdf</x:t>
  </x:si>
  <x:si>
    <x:t xml:space="preserve">https://www.banxico.org.mx/publicaciones-y-prensa/minutas-de-las-decisiones-de-politica-monetaria/{B272DF7F-5D8B-16A0-9C8E-ECD755C73721}.pdf</x:t>
  </x:si>
  <x:si>
    <x:t xml:space="preserve">D20200213</x:t>
  </x:si>
  <x:si>
    <x:t xml:space="preserve">https://www.banxico.org.mx/publicaciones-y-prensa/anuncios-de-las-decisiones-de-politica-monetaria/{F2570B49-2124-CAD3-09A5-380DC3E4CD0C}.pdf</x:t>
  </x:si>
  <x:si>
    <x:t xml:space="preserve">https://www.banxico.org.mx/publicaciones-y-prensa/minutas-de-las-decisiones-de-politica-monetaria/{241DD6DE-AA67-3DC2-1B9A-009A5815ECFB}.pdf</x:t>
  </x:si>
  <x:si>
    <x:t xml:space="preserve">D20200320</x:t>
  </x:si>
  <x:si>
    <x:t xml:space="preserve">https://www.banxico.org.mx/publicaciones-y-prensa/anuncios-de-las-decisiones-de-politica-monetaria/{7083B1E9-31C2-67FE-BA71-A63B075075DD}.pdf</x:t>
  </x:si>
  <x:si>
    <x:t xml:space="preserve">https://www.banxico.org.mx/publicaciones-y-prensa/minutas-de-las-decisiones-de-politica-monetaria/{2A182BDA-0A22-90DE-9F58-24928C084F74}.pdf</x:t>
  </x:si>
  <x:si>
    <x:t xml:space="preserve">D20200421</x:t>
  </x:si>
  <x:si>
    <x:t xml:space="preserve">https://www.banxico.org.mx/publicaciones-y-prensa/anuncios-de-las-decisiones-de-politica-monetaria/{4C34FC42-3AB6-4DC4-8767-92CAE7B0C3D3}.pdf</x:t>
  </x:si>
  <x:si>
    <x:t xml:space="preserve">https://www.banxico.org.mx/publicaciones-y-prensa/minutas-de-las-decisiones-de-politica-monetaria/{665174C6-A934-C6C4-1796-96FCFA229CCD}.pdf</x:t>
  </x:si>
  <x:si>
    <x:t xml:space="preserve">D20200514</x:t>
  </x:si>
  <x:si>
    <x:t xml:space="preserve">https://www.banxico.org.mx/publicaciones-y-prensa/anuncios-de-las-decisiones-de-politica-monetaria/{062CAE9F-B896-D200-76F6-1A8BB2DB6394}.pdf</x:t>
  </x:si>
  <x:si>
    <x:t xml:space="preserve">https://www.banxico.org.mx/publicaciones-y-prensa/minutas-de-las-decisiones-de-politica-monetaria/{1572CEB0-A2D5-D0AB-D09B-473165C56834}.pdf</x:t>
  </x:si>
  <x:si>
    <x:t xml:space="preserve">D20200625</x:t>
  </x:si>
  <x:si>
    <x:t xml:space="preserve">https://www.banxico.org.mx/publicaciones-y-prensa/anuncios-de-las-decisiones-de-politica-monetaria/{6BFED160-28CF-F1EA-44B9-27AF079C0309}.pdf</x:t>
  </x:si>
  <x:si>
    <x:t xml:space="preserve">https://www.banxico.org.mx/publicaciones-y-prensa/minutas-de-las-decisiones-de-politica-monetaria/{350A9952-EE00-D4BD-DB69-7624D891589D}.pdf</x:t>
  </x:si>
  <x:si>
    <x:t xml:space="preserve">D20200813</x:t>
  </x:si>
  <x:si>
    <x:t xml:space="preserve">https://www.banxico.org.mx/publicaciones-y-prensa/anuncios-de-las-decisiones-de-politica-monetaria/{45FDC5E7-8F7D-750F-C606-8EBB1CCB7FC6}.pdf</x:t>
  </x:si>
  <x:si>
    <x:t xml:space="preserve">https://www.banxico.org.mx/publicaciones-y-prensa/minutas-de-las-decisiones-de-politica-monetaria/{97C9BB82-2331-1715-A58F-63C866B1A196}.pdf</x:t>
  </x:si>
  <x:si>
    <x:t xml:space="preserve">D20200924</x:t>
  </x:si>
  <x:si>
    <x:t xml:space="preserve">https://www.banxico.org.mx/publicaciones-y-prensa/anuncios-de-las-decisiones-de-politica-monetaria/{D3EEE7A3-E789-A6EC-66A1-9F2BD915053F}.pdf</x:t>
  </x:si>
  <x:si>
    <x:t xml:space="preserve">https://www.banxico.org.mx/publicaciones-y-prensa/minutas-de-las-decisiones-de-politica-monetaria/{ADAE24CF-834B-5A2E-AE91-AADFE44AA5F2}.pdf</x:t>
  </x:si>
  <x:si>
    <x:t xml:space="preserve">D20201112</x:t>
  </x:si>
  <x:si>
    <x:t xml:space="preserve">https://www.banxico.org.mx/publicaciones-y-prensa/anuncios-de-las-decisiones-de-politica-monetaria/{9118C9E6-B3FA-7FE0-FE39-2A7AFC13E990}.pdf</x:t>
  </x:si>
  <x:si>
    <x:t xml:space="preserve">https://www.banxico.org.mx/publicaciones-y-prensa/minutas-de-las-decisiones-de-politica-monetaria/{9C238281-DD06-81CE-57B3-C5904A020C22}.pdf</x:t>
  </x:si>
  <x:si>
    <x:t xml:space="preserve">D20201217</x:t>
  </x:si>
  <x:si>
    <x:t xml:space="preserve">https://www.banxico.org.mx/publicaciones-y-prensa/anuncios-de-las-decisiones-de-politica-monetaria/{611D06FF-825B-33F9-C451-6C765A2F5EA3}.pdf</x:t>
  </x:si>
  <x:si>
    <x:t xml:space="preserve">https://www.banxico.org.mx/publicaciones-y-prensa/minutas-de-las-decisiones-de-politica-monetaria/{7BEFC36F-BA57-8084-F183-3EDBCEE27958}.pdf</x:t>
  </x:si>
  <x:si>
    <x:t xml:space="preserve">D20210211</x:t>
  </x:si>
  <x:si>
    <x:t xml:space="preserve">https://www.banxico.org.mx/publicaciones-y-prensa/anuncios-de-las-decisiones-de-politica-monetaria/{51B1BFD4-35F8-20D6-7A8A-FBFCE7C82118}.pdf</x:t>
  </x:si>
  <x:si>
    <x:t xml:space="preserve">https://www.banxico.org.mx/publicaciones-y-prensa/minutas-de-las-decisiones-de-politica-monetaria/{3D041441-5195-710D-6285-49DED93EDFD4}.pdf</x:t>
  </x:si>
  <x:si>
    <x:t xml:space="preserve">D20210325</x:t>
  </x:si>
  <x:si>
    <x:t xml:space="preserve">https://www.banxico.org.mx/publicaciones-y-prensa/anuncios-de-las-decisiones-de-politica-monetaria/{3A065470-7398-7002-B40F-7DD4F7ED3B45}.pdf</x:t>
  </x:si>
  <x:si>
    <x:t xml:space="preserve">https://www.banxico.org.mx/publicaciones-y-prensa/minutas-de-las-decisiones-de-politica-monetaria/{22CCE220-F109-B27C-B79F-9E51E62F95C7}.pdf</x:t>
  </x:si>
  <x:si>
    <x:t xml:space="preserve">D20210513</x:t>
  </x:si>
  <x:si>
    <x:t xml:space="preserve">https://www.banxico.org.mx/publicaciones-y-prensa/anuncios-de-las-decisiones-de-politica-monetaria/{314F1C8B-65D3-5FDE-AD2F-678BA3747D58}.pdf</x:t>
  </x:si>
  <x:si>
    <x:t xml:space="preserve">https://www.banxico.org.mx/publicaciones-y-prensa/minutas-de-las-decisiones-de-politica-monetaria/{8D415BB5-F46C-1303-2502-E8F3D51E12E1}.pdf</x:t>
  </x:si>
  <x:si>
    <x:t xml:space="preserve">D20210624</x:t>
  </x:si>
  <x:si>
    <x:t xml:space="preserve">https://www.banxico.org.mx/publicaciones-y-prensa/anuncios-de-las-decisiones-de-politica-monetaria/{AD39A465-CA97-ADA1-E27B-8D9782194B55}.pdf</x:t>
  </x:si>
  <x:si>
    <x:t xml:space="preserve">https://www.banxico.org.mx/publicaciones-y-prensa/minutas-de-las-decisiones-de-politica-monetaria/{CC691B89-EC10-6A6F-585B-306CAE99E6E1}.pdf</x:t>
  </x:si>
  <x:si>
    <x:t xml:space="preserve">D20210812</x:t>
  </x:si>
  <x:si>
    <x:t xml:space="preserve">https://www.banxico.org.mx/publicaciones-y-prensa/anuncios-de-las-decisiones-de-politica-monetaria/{9A5EF416-8E39-2862-E718-D4260F10479F}.pdf</x:t>
  </x:si>
  <x:si>
    <x:t xml:space="preserve">https://www.banxico.org.mx/publicaciones-y-prensa/minutas-de-las-decisiones-de-politica-monetaria/{A1BF3AF9-2E74-EB2D-5687-A52315DCF9CC}.pdf</x:t>
  </x:si>
  <x:si>
    <x:t xml:space="preserve">D20210930</x:t>
  </x:si>
  <x:si>
    <x:t xml:space="preserve">https://www.banxico.org.mx/publicaciones-y-prensa/anuncios-de-las-decisiones-de-politica-monetaria/{97E932C6-EBEC-85CD-37CD-5B85ED11F940}.pdf</x:t>
  </x:si>
  <x:si>
    <x:t xml:space="preserve">https://www.banxico.org.mx/publicaciones-y-prensa/minutas-de-las-decisiones-de-politica-monetaria/{8472FA9E-8795-8CAA-EE4C-FF5CB60BB2AA}.pdf</x:t>
  </x:si>
  <x:si>
    <x:t xml:space="preserve">D20211111</x:t>
  </x:si>
  <x:si>
    <x:t xml:space="preserve">https://www.banxico.org.mx/publicaciones-y-prensa/anuncios-de-las-decisiones-de-politica-monetaria/{8D85866C-A59D-E24A-BF81-25F0C999DBA5}.pdf</x:t>
  </x:si>
  <x:si>
    <x:t xml:space="preserve">https://www.banxico.org.mx/publicaciones-y-prensa/minutas-de-las-decisiones-de-politica-monetaria/{E63AB45F-CADE-0B8E-46B0-149666C3AA11}.pdf</x:t>
  </x:si>
  <x:si>
    <x:t xml:space="preserve">D20211216</x:t>
  </x:si>
  <x:si>
    <x:t xml:space="preserve">https://www.banxico.org.mx/publicaciones-y-prensa/anuncios-de-las-decisiones-de-politica-monetaria/{8AAB504C-49F8-6625-F48C-D0B48F9291E2}.pdf</x:t>
  </x:si>
  <x:si>
    <x:t xml:space="preserve">https://www.banxico.org.mx/publicaciones-y-prensa/minutas-de-las-decisiones-de-politica-monetaria/{33CEDF79-47BE-B13D-7E8C-123097794BCF}.pdf</x:t>
  </x:si>
  <x:si>
    <x:t xml:space="preserve">D20220210</x:t>
  </x:si>
  <x:si>
    <x:t xml:space="preserve">https://www.banxico.org.mx/publicaciones-y-prensa/anuncios-de-las-decisiones-de-politica-monetaria/{33C58779-7EFB-ACB7-4BC0-9B7F2444DE1D}.pdf</x:t>
  </x:si>
  <x:si>
    <x:t xml:space="preserve">https://www.banxico.org.mx/publicaciones-y-prensa/minutas-de-las-decisiones-de-politica-monetaria/{0875B96D-37BA-B260-BD4D-DB4BAC601648}.pdf</x:t>
  </x:si>
  <x:si>
    <x:t xml:space="preserve">D20220324</x:t>
  </x:si>
  <x:si>
    <x:t xml:space="preserve">https://www.banxico.org.mx/publicaciones-y-prensa/anuncios-de-las-decisiones-de-politica-monetaria/{B8C1E3A6-4106-7F67-1C3A-904D48D86D0F}.pdf</x:t>
  </x:si>
  <x:si>
    <x:t xml:space="preserve">https://www.banxico.org.mx/publicaciones-y-prensa/minutas-de-las-decisiones-de-politica-monetaria/{D4C1F630-4ECB-EE4C-1E24-7E2379F14FD6}.pdf</x:t>
  </x:si>
  <x:si>
    <x:t xml:space="preserve">D20220512</x:t>
  </x:si>
  <x:si>
    <x:t xml:space="preserve">https://www.banxico.org.mx/publicaciones-y-prensa/anuncios-de-las-decisiones-de-politica-monetaria/{45C4A1AE-E137-13A2-3F3E-5EF91735993F}.pdf</x:t>
  </x:si>
  <x:si>
    <x:t xml:space="preserve">https://www.banxico.org.mx/publicaciones-y-prensa/minutas-de-las-decisiones-de-politica-monetaria/{87EDDF27-FB92-A9FE-9FA8-1FE031E8E599}.pdf</x:t>
  </x:si>
  <x:si>
    <x:t xml:space="preserve">D20220623</x:t>
  </x:si>
  <x:si>
    <x:t xml:space="preserve">https://www.banxico.org.mx/publicaciones-y-prensa/anuncios-de-las-decisiones-de-politica-monetaria/{CACDD0D6-B5C5-C4F8-65A6-C79D36A1981D}.pdf</x:t>
  </x:si>
  <x:si>
    <x:t xml:space="preserve">https://www.banxico.org.mx/publicaciones-y-prensa/minutas-de-las-decisiones-de-politica-monetaria/{1D2B28A3-84A7-F37B-062C-8B401C04376A}.pdf</x:t>
  </x:si>
  <x:si>
    <x:t xml:space="preserve">D20220811</x:t>
  </x:si>
  <x:si>
    <x:t xml:space="preserve">https://www.banxico.org.mx/publicaciones-y-prensa/anuncios-de-las-decisiones-de-politica-monetaria/{2B8A2320-5BA7-3B8E-70D2-8AC80C34C074}.pdf</x:t>
  </x:si>
  <x:si>
    <x:t xml:space="preserve">https://www.banxico.org.mx/publicaciones-y-prensa/minutas-de-las-decisiones-de-politica-monetaria/{E49773D0-6A06-2697-567D-3A35EBA1AE9F}.pdf</x:t>
  </x:si>
  <x:si>
    <x:t xml:space="preserve">D20220929</x:t>
  </x:si>
  <x:si>
    <x:t xml:space="preserve">https://www.banxico.org.mx/publicaciones-y-prensa/anuncios-de-las-decisiones-de-politica-monetaria/{E6A0E26E-D9C0-97D7-64B7-7F2BF274178E}.pdf</x:t>
  </x:si>
  <x:si>
    <x:t xml:space="preserve">https://www.banxico.org.mx/publicaciones-y-prensa/minutas-de-las-decisiones-de-politica-monetaria/{59D865CD-B1AA-2362-DD9C-FF9032785660}.pdf</x:t>
  </x:si>
  <x:si>
    <x:t xml:space="preserve">D20221110</x:t>
  </x:si>
  <x:si>
    <x:t xml:space="preserve">https://www.banxico.org.mx/publicaciones-y-prensa/anuncios-de-las-decisiones-de-politica-monetaria/{B66AB8E7-4C51-B5BB-4463-335449EC1006}.pdf</x:t>
  </x:si>
  <x:si>
    <x:t xml:space="preserve">https://www.banxico.org.mx/publicaciones-y-prensa/minutas-de-las-decisiones-de-politica-monetaria/{AA79300D-4009-E91D-125E-C0A6E52AE8AE}.pdf</x:t>
  </x:si>
  <x:si>
    <x:t xml:space="preserve">D20221215</x:t>
  </x:si>
  <x:si>
    <x:t xml:space="preserve">https://www.banxico.org.mx/publicaciones-y-prensa/anuncios-de-las-decisiones-de-politica-monetaria/{83B088FF-1923-A73F-2914-0087A31FE25A}.pdf</x:t>
  </x:si>
  <x:si>
    <x:t xml:space="preserve">https://www.banxico.org.mx/publicaciones-y-prensa/minutas-de-las-decisiones-de-politica-monetaria/{FB6D9934-D8CC-D695-0897-940FEA7821D7}.pdf</x:t>
  </x:si>
  <x:si>
    <x:t xml:space="preserve">D20230209</x:t>
  </x:si>
  <x:si>
    <x:t xml:space="preserve">https://www.banxico.org.mx/publicaciones-y-prensa/anuncios-de-las-decisiones-de-politica-monetaria/{C38BE1D9-20AB-7D0D-C010-ED242852AF04}.pdf</x:t>
  </x:si>
  <x:si>
    <x:t xml:space="preserve">https://www.banxico.org.mx/publicaciones-y-prensa/minutas-de-las-decisiones-de-politica-monetaria/{6C23C599-227C-FE6F-CF3D-37325C858154}.pdf</x:t>
  </x:si>
  <x:si>
    <x:t xml:space="preserve">D20230330</x:t>
  </x:si>
  <x:si>
    <x:t xml:space="preserve">https://www.banxico.org.mx/publicaciones-y-prensa/anuncios-de-las-decisiones-de-politica-monetaria/{B5CDF10E-D32B-9E92-3E8E-13BB22940D60}.pdf</x:t>
  </x:si>
  <x:si>
    <x:t xml:space="preserve">https://www.banxico.org.mx/publicaciones-y-prensa/minutas-de-las-decisiones-de-politica-monetaria/{74DDC4B0-E669-BC27-745E-F453D86608D1}.pdf</x:t>
  </x:si>
  <x:si>
    <x:t xml:space="preserve">D20230518</x:t>
  </x:si>
  <x:si>
    <x:t xml:space="preserve">https://www.banxico.org.mx/publicaciones-y-prensa/anuncios-de-las-decisiones-de-politica-monetaria/{325F9D3D-8C6B-8F20-4811-1069701DB7F1}.pdf</x:t>
  </x:si>
  <x:si>
    <x:t xml:space="preserve">https://www.banxico.org.mx/publicaciones-y-prensa/minutas-de-las-decisiones-de-politica-monetaria/{35319FC4-DD42-44F0-4E44-02D64FEE7E3B}.pdf</x:t>
  </x:si>
  <x:si>
    <x:t xml:space="preserve">D20230622</x:t>
  </x:si>
  <x:si>
    <x:t xml:space="preserve">https://www.banxico.org.mx/publicaciones-y-prensa/anuncios-de-las-decisiones-de-politica-monetaria/{E24CCCC4-3EBC-F5B1-29FE-4595201C5876}.pdf</x:t>
  </x:si>
  <x:si>
    <x:t xml:space="preserve">https://www.banxico.org.mx/publicaciones-y-prensa/minutas-de-las-decisiones-de-politica-monetaria/{049153FE-C659-2401-B4E7-5F9B58624E0F}.pdf</x:t>
  </x:si>
  <x:si>
    <x:t xml:space="preserve">D20230810</x:t>
  </x:si>
  <x:si>
    <x:t xml:space="preserve">https://www.banxico.org.mx/publicaciones-y-prensa/anuncios-de-las-decisiones-de-politica-monetaria/{3E88ECF2-3506-EF3D-FAC3-63E615972207}.pdf</x:t>
  </x:si>
  <x:si>
    <x:t xml:space="preserve">https://www.banxico.org.mx/publicaciones-y-prensa/minutas-de-las-decisiones-de-politica-monetaria/{7C9B1EB3-C147-14B5-6C5C-0D2E24A675BE}.pdf</x:t>
  </x:si>
  <x:si>
    <x:t xml:space="preserve">D20230928</x:t>
  </x:si>
  <x:si>
    <x:t xml:space="preserve">https://www.banxico.org.mx/publicaciones-y-prensa/anuncios-de-las-decisiones-de-politica-monetaria/{068D6FE9-39EE-C58D-9E79-5B3A3919B796}.pdf</x:t>
  </x:si>
  <x:si>
    <x:t xml:space="preserve">https://www.banxico.org.mx/publicaciones-y-prensa/minutas-de-las-decisiones-de-politica-monetaria/{987C7F1F-C654-471E-1C8A-B18117B4D01D}.pdf</x:t>
  </x:si>
  <x:si>
    <x:t xml:space="preserve">D20231109</x:t>
  </x:si>
  <x:si>
    <x:t xml:space="preserve">https://www.banxico.org.mx/publicaciones-y-prensa/anuncios-de-las-decisiones-de-politica-monetaria/{5958E1D4-163A-6987-C87C-8228F89BDEB2}.pdf</x:t>
  </x:si>
  <x:si>
    <x:t xml:space="preserve">https://www.banxico.org.mx/publicaciones-y-prensa/minutas-de-las-decisiones-de-politica-monetaria/{B23AAD19-0964-73D4-B328-8CEB947BF591}.pdf</x:t>
  </x:si>
  <x:si>
    <x:t xml:space="preserve">D20231214</x:t>
  </x:si>
  <x:si>
    <x:t xml:space="preserve">https://www.banxico.org.mx/publicaciones-y-prensa/anuncios-de-las-decisiones-de-politica-monetaria/{C2B3629A-5738-402A-7D09-9893825E63AC}.pdf</x:t>
  </x:si>
  <x:si>
    <x:t xml:space="preserve">https://www.banxico.org.mx/publicaciones-y-prensa/minutas-de-las-decisiones-de-politica-monetaria/{323D332B-79E3-3925-8182-4E22C8B6BFF6}.pdf</x:t>
  </x:si>
  <x:si>
    <x:t xml:space="preserve">D20240208</x:t>
  </x:si>
  <x:si>
    <x:t xml:space="preserve">https://www.banxico.org.mx/publicaciones-y-prensa/anuncios-de-las-decisiones-de-politica-monetaria/{A060DBDE-00DF-1C4E-7689-CABF9211E20A}.pdf</x:t>
  </x:si>
  <x:si>
    <x:t xml:space="preserve">https://www.banxico.org.mx/publicaciones-y-prensa/minutas-de-las-decisiones-de-politica-monetaria/{6758749B-0C92-6897-39C9-120D25343FD3}.pdf</x:t>
  </x:si>
  <x:si>
    <x:t xml:space="preserve">D20240321</x:t>
  </x:si>
  <x:si>
    <x:t xml:space="preserve">https://www.banxico.org.mx/publicaciones-y-prensa/anuncios-de-las-decisiones-de-politica-monetaria/{B2A2C412-1309-2476-F333-F223A96EA033}.pdf</x:t>
  </x:si>
  <x:si>
    <x:t xml:space="preserve">https://www.banxico.org.mx/publicaciones-y-prensa/minutas-de-las-decisiones-de-politica-monetaria/{4023E0B7-02E0-F6F9-6613-842336ABBAC0}.pdf</x:t>
  </x:si>
  <x:si>
    <x:t xml:space="preserve">D20240509</x:t>
  </x:si>
  <x:si>
    <x:t xml:space="preserve">https://www.banxico.org.mx/publicaciones-y-prensa/anuncios-de-las-decisiones-de-politica-monetaria/{44CE87DF-ED9F-58D3-406B-BD6F940A6651}.pdf</x:t>
  </x:si>
  <x:si>
    <x:t xml:space="preserve">https://www.banxico.org.mx/publicaciones-y-prensa/minutas-de-las-decisiones-de-politica-monetaria/{718151B0-83F7-7381-35E1-592A83D30E6E}.pdf</x:t>
  </x:si>
  <x:si>
    <x:t xml:space="preserve">D20240627</x:t>
  </x:si>
  <x:si>
    <x:t xml:space="preserve">https://www.banxico.org.mx/publicaciones-y-prensa/anuncios-de-las-decisiones-de-politica-monetaria/{17EF4998-D892-3D29-B613-68BEF3D80B21}.pdf</x:t>
  </x:si>
  <x:si>
    <x:t xml:space="preserve">https://www.banxico.org.mx/publicaciones-y-prensa/minutas-de-las-decisiones-de-politica-monetaria/{F13FD839-189C-CF58-BF54-025B6FFE559F}.pdf</x:t>
  </x:si>
  <x:si>
    <x:t xml:space="preserve">D20240808</x:t>
  </x:si>
  <x:si>
    <x:t xml:space="preserve">https://www.banxico.org.mx/publicaciones-y-prensa/anuncios-de-las-decisiones-de-politica-monetaria/{2A30082F-C525-8B90-3E75-E54AF31A21EF}.pdf</x:t>
  </x:si>
  <x:si>
    <x:t xml:space="preserve">https://www.banxico.org.mx/publicaciones-y-prensa/minutas-de-las-decisiones-de-politica-monetaria/{C2F0671D-B457-A331-ADED-F498F00F0385}.pdf</x:t>
  </x:si>
  <x:si>
    <x:t xml:space="preserve">D20240926</x:t>
  </x:si>
  <x:si>
    <x:t xml:space="preserve">https://www.banxico.org.mx/publicaciones-y-prensa/anuncios-de-las-decisiones-de-politica-monetaria/{F6792ED1-A4C0-564D-19F1-F53F50D82B95}.pdf</x:t>
  </x:si>
  <x:si>
    <x:t xml:space="preserve">https://www.banxico.org.mx/publicaciones-y-prensa/minutas-de-las-decisiones-de-politica-monetaria/{209F9F3A-D49B-51D1-0460-9B3EA1D9EBAB}.pdf</x:t>
  </x:si>
  <x:si>
    <x:t xml:space="preserve">D20241114</x:t>
  </x:si>
  <x:si>
    <x:t xml:space="preserve">https://www.banxico.org.mx/publicaciones-y-prensa/anuncios-de-las-decisiones-de-politica-monetaria/{134BAFB3-3FAF-34A6-E510-22D771F7BA70}.pdf</x:t>
  </x:si>
  <x:si>
    <x:t xml:space="preserve">https://www.banxico.org.mx/publicaciones-y-prensa/minutas-de-las-decisiones-de-politica-monetaria/{DF53BDC1-88EC-276E-718C-AEC8DE5282B4}.pdf</x:t>
  </x:si>
  <x:si>
    <x:t xml:space="preserve">D20241219</x:t>
  </x:si>
  <x:si>
    <x:t xml:space="preserve">https://www.banxico.org.mx/publicaciones-y-prensa/anuncios-de-las-decisiones-de-politica-monetaria/{939FDDA6-702A-F315-37B0-4E422044D13E}.pdf</x:t>
  </x:si>
  <x:si>
    <x:t xml:space="preserve">https://www.banxico.org.mx/publicaciones-y-prensa/minutas-de-las-decisiones-de-politica-monetaria/{63101F6B-4E37-521E-45B3-3AB92AD757D2}.pdf</x:t>
  </x:si>
  <x:si>
    <x:t xml:space="preserve">D20250206</x:t>
  </x:si>
  <x:si>
    <x:t xml:space="preserve">https://www.banxico.org.mx/publicaciones-y-prensa/anuncios-de-las-decisiones-de-politica-monetaria/{8F4D3113-637F-2920-42DE-6A5866416A4F}.pdf</x:t>
  </x:si>
  <x:si>
    <x:t xml:space="preserve">https://www.banxico.org.mx/publicaciones-y-prensa/minutas-de-las-decisiones-de-politica-monetaria/{DFAB243C-74BE-4DFE-CD46-302D844E68EA}.pdf</x:t>
  </x:si>
  <x:si>
    <x:t xml:space="preserve">D20250327</x:t>
  </x:si>
  <x:si>
    <x:t xml:space="preserve">https://www.banxico.org.mx/publicaciones-y-prensa/anuncios-de-las-decisiones-de-politica-monetaria/{9842071D-B7B0-B46C-D052-117072FFFC84}.pdf</x:t>
  </x:si>
  <x:si>
    <x:t xml:space="preserve">https://www.banxico.org.mx/publicaciones-y-prensa/minutas-de-las-decisiones-de-politica-monetaria/{4AB9F868-2AB8-102D-ED38-1D40F1AD51DF}.pdf</x:t>
  </x:si>
  <x:si>
    <x:t xml:space="preserve">D20250515</x:t>
  </x:si>
  <x:si>
    <x:t xml:space="preserve">https://www.banxico.org.mx/publicaciones-y-prensa/anuncios-de-las-decisiones-de-politica-monetaria/{FE43A06F-5ECA-8C1D-3E51-DCD1C8657282}.pdf</x:t>
  </x:si>
  <x:si>
    <x:t xml:space="preserve">https://www.banxico.org.mx/publicaciones-y-prensa/minutas-de-las-decisiones-de-politica-monetaria/{095C9D00-95A9-1AB7-2E95-61F66587B73B}.pdf</x:t>
  </x:si>
  <x:si>
    <x:t xml:space="preserve">D20250626</x:t>
  </x:si>
  <x:si>
    <x:t xml:space="preserve">https://www.banxico.org.mx/publicaciones-y-prensa/anuncios-de-las-decisiones-de-politica-monetaria/{7774AEE4-AF2E-9A74-A34C-EDB53F483361}.pdf</x:t>
  </x:si>
  <x:si>
    <x:t xml:space="preserve">https://www.banxico.org.mx/publicaciones-y-prensa/minutas-de-las-decisiones-de-politica-monetaria/{A354B917-F0F6-E4BE-CA35-B1F77AC37840}.pdf</x:t>
  </x:si>
  <x:si>
    <x:t xml:space="preserve">D20250807</x:t>
  </x:si>
  <x:si>
    <x:t xml:space="preserve">https://www.banxico.org.mx/publicaciones-y-prensa/anuncios-de-las-decisiones-de-politica-monetaria/{2C71C5A0-BAB3-8C65-D666-AB9B5D82557E}.pdf</x:t>
  </x:si>
  <x:si>
    <x:t xml:space="preserve">https://www.banxico.org.mx/publicaciones-y-prensa/minutas-de-las-decisiones-de-politica-monetaria/{93076C6E-4055-680E-9986-389D0B64F5E7}.pdf</x:t>
  </x:si>
  <x:si>
    <x:t xml:space="preserve">D20250925</x:t>
  </x:si>
  <x:si>
    <x:t xml:space="preserve">https://www.banxico.org.mx/publicaciones-y-prensa/anuncios-de-las-decisiones-de-politica-monetaria/{013E2D79-2677-5E71-FA22-DD8825AA7C45}.pdf</x:t>
  </x:si>
  <x:si>
    <x:t xml:space="preserve">https://www.banxico.org.mx/publicaciones-y-prensa/minutas-de-las-decisiones-de-politica-monetaria/{51E24FD1-CEA3-EEDA-ECB3-B6BFDC8B6671}.pdf</x:t>
  </x:si>
  <x:si>
    <x:t xml:space="preserve">D20251106</x:t>
  </x:si>
  <x:si>
    <x:t xml:space="preserve">https://www.banxico.org.mx/publicaciones-y-prensa/anuncios-de-las-decisiones-de-politica-monetaria/{EBE40A87-D410-9D84-25A1-935964853DED}.pdf</x:t>
  </x:si>
  <x:si>
    <x:t xml:space="preserve">https://www.banxico.org.mx/publicaciones-y-prensa/minutas-de-las-decisiones-de-politica-monetaria/{7EFA29F5-D827-0AA7-5D7A-55C06B82161A}.pdf</x:t>
  </x:si>
  <x:si>
    <x:t xml:space="preserve">D20251218</x:t>
  </x:si>
  <x:si>
    <x:t xml:space="preserve">https://www.banxico.org.mx/publicaciones-y-prensa/anuncios-de-las-decisiones-de-politica-monetaria/{7EC38EB9-5F4D-5857-805D-2471209BFEBA}.pdf</x:t>
  </x:si>
  <x:si>
    <x:t xml:space="preserve">https://www.banxico.org.mx/publicaciones-y-prensa/minutas-de-las-decisiones-de-politica-monetaria/{8017E12E-03DE-78EB-C26E-680454144343}.pdf</x:t>
  </x:si>
  <x:si>
    <x:t xml:space="preserve">D20260205</x:t>
  </x:si>
  <x:si>
    <x:t xml:space="preserve">https://www.banxico.org.mx/publicaciones-y-prensa/anuncios-de-las-decisiones-de-politica-monetaria/{318D71D0-F37D-869C-E8B4-8E58FD9D3648}.pdf</x:t>
  </x:si>
  <x:si>
    <x:t xml:space="preserve">https://www.banxico.org.mx/publicaciones-y-prensa/minutas-de-las-decisiones-de-politica-monetaria/{5701F165-479A-EF00-AFC5-8D2BA594692E}.pdf</x:t>
  </x:si>
  <x:si>
    <x:t xml:space="preserve">D20260326</x:t>
  </x:si>
  <x:si>
    <x:t xml:space="preserve">https://www.banxico.org.mx/publicaciones-y-prensa/anuncios-de-las-decisiones-de-politica-monetaria/{44EB2DF8-E71A-1553-7322-F60A34382EBA}.pdf</x:t>
  </x:si>
  <x:si>
    <x:t xml:space="preserve">https://www.banxico.org.mx/publicaciones-y-prensa/minutas-de-las-decisiones-de-politica-monetaria/{FAC24258-9128-F1BD-D497-6225C392ED52}.pdf</x:t>
  </x:si>
  <x:si>
    <x:t xml:space="preserve">D20260507</x:t>
  </x:si>
  <x:si>
    <x:t xml:space="preserve">https://www.banxico.org.mx/publicaciones-y-prensa/anuncios-de-las-decisiones-de-politica-monetaria/{8A05C722-0A97-4527-2166-0CE802CE6838}.pdf</x:t>
  </x:si>
  <x:si>
    <x:t xml:space="preserve">https://www.banxico.org.mx/publicaciones-y-prensa/minutas-de-las-decisiones-de-politica-monetaria/{3F15F7F1-3E5A-4FD4-E0C0-B4BEA1703FAF}.pdf</x:t>
  </x:si>
  <x:si>
    <x:t xml:space="preserve">D20260625</x:t>
  </x:si>
  <x:si>
    <x:t xml:space="preserve">https://www.banxico.org.mx/publicaciones-y-prensa/anuncios-de-las-decisiones-de-politica-monetaria/{F6667DDE-E87D-68A3-0EBB-A4DF9048E403}.pdf</x:t>
  </x:si>
  <x:si>
    <x:t xml:space="preserve">https://www.banxico.org.mx/publicaciones-y-prensa/minutas-de-las-decisiones-de-politica-monetaria/{34C74125-16AD-2F94-0E20-DB9349E8AB97}.pdf</x:t>
  </x:si>
  <x:si>
    <x:t xml:space="preserve">Persona_ID</x:t>
  </x:si>
  <x:si>
    <x:t xml:space="preserve">Cargo</x:t>
  </x:si>
  <x:si>
    <x:t xml:space="preserve">Participacion_Confirmada</x:t>
  </x:si>
  <x:si>
    <x:t xml:space="preserve">P009</x:t>
  </x:si>
  <x:si>
    <x:t xml:space="preserve">Integrante de la Junta de Gobierno</x:t>
  </x:si>
  <x:si>
    <x:t xml:space="preserve">Presente</x:t>
  </x:si>
  <x:si>
    <x:t xml:space="preserve">Presencia confirmada por la lista de asistentes y/o el voto nominal. Comunicado: https://www.banxico.org.mx/publicaciones-y-prensa/anuncios-de-las-decisiones-de-politica-monetaria/{FA7D3584-6233-EB61-D6D0-420712FB01C2}.pdf | Minuta: https://www.banxico.org.mx/publicaciones-y-prensa/minutas-de-las-decisiones-de-politica-monetaria/{1FC983E2-2499-C296-FE71-85F7ABD67EC3}.pdf</x:t>
  </x:si>
  <x:si>
    <x:t xml:space="preserve">P012</x:t>
  </x:si>
  <x:si>
    <x:t xml:space="preserve">P013</x:t>
  </x:si>
  <x:si>
    <x:t xml:space="preserve">P014</x:t>
  </x:si>
  <x:si>
    <x:t xml:space="preserve">P015</x:t>
  </x:si>
  <x:si>
    <x:t xml:space="preserve">Presencia confirmada por la lista de asistentes y/o el voto nominal. Comunicado: https://www.banxico.org.mx/publicaciones-y-prensa/anuncios-de-las-decisiones-de-politica-monetaria/{32F5F0C4-9EE7-8BB9-3AE0-291882583F3B}.pdf | Minuta: https://www.banxico.org.mx/publicaciones-y-prensa/minutas-de-las-decisiones-de-politica-monetaria/{9D52CB8A-4EA3-F381-42CC-B4A5E02E76E1}.pdf</x:t>
  </x:si>
  <x:si>
    <x:t xml:space="preserve">Presencia confirmada por la lista de asistentes y/o el voto nominal. Comunicado: https://www.banxico.org.mx/publicaciones-y-prensa/anuncios-de-las-decisiones-de-politica-monetaria/{B0E8D2FC-D7D2-F62C-E385-936DB840A68A}.pdf | Minuta: https://www.banxico.org.mx/publicaciones-y-prensa/minutas-de-las-decisiones-de-politica-monetaria/{BC265005-129F-A5FD-309A-229CC8559229}.pdf</x:t>
  </x:si>
  <x:si>
    <x:t xml:space="preserve">Presencia confirmada por la lista de asistentes y/o el voto nominal. Comunicado: https://www.banxico.org.mx/publicaciones-y-prensa/anuncios-de-las-decisiones-de-politica-monetaria/{4A8C90EF-5034-468A-D5A0-92CA39FCBD21}.pdf | Minuta: https://www.banxico.org.mx/publicaciones-y-prensa/minutas-de-las-decisiones-de-politica-monetaria/{50ED7644-47A9-934D-4C49-3CDF170A0FFC}.pdf</x:t>
  </x:si>
  <x:si>
    <x:t xml:space="preserve">Presencia confirmada por la lista de asistentes y/o el voto nominal. Comunicado: https://www.banxico.org.mx/publicaciones-y-prensa/anuncios-de-las-decisiones-de-politica-monetaria/{759F9C79-B40F-CD69-E10F-C56C3265923A}.pdf | Minuta: https://www.banxico.org.mx/publicaciones-y-prensa/minutas-de-las-decisiones-de-politica-monetaria/{E71098EA-AC1E-45CB-F1FC-1BCA43571239}.pdf</x:t>
  </x:si>
  <x:si>
    <x:t xml:space="preserve">Vacante</x:t>
  </x:si>
  <x:si>
    <x:t xml:space="preserve">Vacante documentada entre la renuncia efectiva de Roberto del Cueto y la designación de Gerardo Esquivel. Fuentes oficiales: https://www.banxico.org.mx/publicaciones-y-prensa/miscelaneos/%7BC5A7D143-40F7-225C-9512-BF9225502B23%7D.pdf | https://www.banxico.org.mx/publicaciones-y-prensa/miscelaneos/%7BD37EA8D9-E439-1416-06B2-539CF2DC3B90%7D.pdf</x:t>
  </x:si>
  <x:si>
    <x:t xml:space="preserve">Presencia confirmada por la lista de asistentes y/o el voto nominal. Comunicado: https://www.banxico.org.mx/publicaciones-y-prensa/anuncios-de-las-decisiones-de-politica-monetaria/{0CB97688-9500-D1A2-A000-C60DAF3E853F}.pdf | Minuta: https://www.banxico.org.mx/publicaciones-y-prensa/minutas-de-las-decisiones-de-politica-monetaria/{5EC61A9B-E408-3DA8-C647-97B441EC6D76}.pdf</x:t>
  </x:si>
  <x:si>
    <x:t xml:space="preserve">Presencia confirmada por la lista de asistentes y/o el voto nominal. Comunicado: https://www.banxico.org.mx/publicaciones-y-prensa/anuncios-de-las-decisiones-de-politica-monetaria/{066D3F9D-6038-F9FD-88C6-DFE4977DF0D3}.pdf | Minuta: https://www.banxico.org.mx/publicaciones-y-prensa/minutas-de-las-decisiones-de-politica-monetaria/{A63CB66A-5AED-15AE-F534-2D99FB3FA7C9}.pdf</x:t>
  </x:si>
  <x:si>
    <x:t xml:space="preserve">P016</x:t>
  </x:si>
  <x:si>
    <x:t xml:space="preserve">P017</x:t>
  </x:si>
  <x:si>
    <x:t xml:space="preserve">Presencia confirmada por la lista de asistentes y/o el voto nominal. Comunicado: https://www.banxico.org.mx/publicaciones-y-prensa/anuncios-de-las-decisiones-de-politica-monetaria/{0F4AB746-781C-0D0A-5E3F-D5D28B14040C}.pdf | Minuta: https://www.banxico.org.mx/publicaciones-y-prensa/minutas-de-las-decisiones-de-politica-monetaria/{FB16B517-D1BF-D281-60B9-C3552469117C}.pdf</x:t>
  </x:si>
  <x:si>
    <x:t xml:space="preserve">Presencia confirmada por la lista de asistentes y/o el voto nominal. Comunicado: https://www.banxico.org.mx/publicaciones-y-prensa/anuncios-de-las-decisiones-de-politica-monetaria/{F4FA44AB-E4ED-59FA-100A-7791AA0085CD}.pdf | Minuta: https://www.banxico.org.mx/publicaciones-y-prensa/minutas-de-las-decisiones-de-politica-monetaria/{E543784E-F02B-7492-2776-B981AC479D9A}.pdf</x:t>
  </x:si>
  <x:si>
    <x:t xml:space="preserve">Presencia confirmada por la lista de asistentes y/o el voto nominal. Comunicado: https://www.banxico.org.mx/publicaciones-y-prensa/anuncios-de-las-decisiones-de-politica-monetaria/{BBE502FD-07B1-0B6F-80BD-8F9372DB224D}.pdf | Minuta: https://www.banxico.org.mx/publicaciones-y-prensa/minutas-de-las-decisiones-de-politica-monetaria/{912CEB1F-464B-29BA-A44E-1BEA0938891D}.pdf</x:t>
  </x:si>
  <x:si>
    <x:t xml:space="preserve">Presencia confirmada por la lista de asistentes y/o el voto nominal. Comunicado: https://www.banxico.org.mx/publicaciones-y-prensa/anuncios-de-las-decisiones-de-politica-monetaria/{B661860D-753B-D805-90A3-0451F6011307}.pdf | Minuta: https://www.banxico.org.mx/publicaciones-y-prensa/minutas-de-las-decisiones-de-politica-monetaria/{4BD2C2C1-8EE6-3A11-68A2-AAC044D90E03}.pdf</x:t>
  </x:si>
  <x:si>
    <x:t xml:space="preserve">Presencia confirmada por la lista de asistentes y/o el voto nominal. Comunicado: https://www.banxico.org.mx/publicaciones-y-prensa/anuncios-de-las-decisiones-de-politica-monetaria/{1170CD25-C24D-E99C-F3D3-6B86D1822E65}.pdf | Minuta: https://www.banxico.org.mx/publicaciones-y-prensa/minutas-de-las-decisiones-de-politica-monetaria/{C4659F26-F0C4-33C0-8B63-D01B971A39C5}.pdf</x:t>
  </x:si>
  <x:si>
    <x:t xml:space="preserve">Presencia confirmada por la lista de asistentes y/o el voto nominal. Comunicado: https://www.banxico.org.mx/publicaciones-y-prensa/anuncios-de-las-decisiones-de-politica-monetaria/{0DD5A3F4-0B57-8F6A-6F98-1F5048852A35}.pdf | Minuta: https://www.banxico.org.mx/publicaciones-y-prensa/minutas-de-las-decisiones-de-politica-monetaria/{DA837B97-2456-1C39-BFBA-2B3C7513C14F}.pdf</x:t>
  </x:si>
  <x:si>
    <x:t xml:space="preserve">Presencia confirmada por la lista de asistentes y/o el voto nominal. Comunicado: https://www.banxico.org.mx/publicaciones-y-prensa/anuncios-de-las-decisiones-de-politica-monetaria/{D5328504-B958-4BE0-44A3-9363FCAC99D3}.pdf | Minuta: https://www.banxico.org.mx/publicaciones-y-prensa/minutas-de-las-decisiones-de-politica-monetaria/{B272DF7F-5D8B-16A0-9C8E-ECD755C73721}.pdf</x:t>
  </x:si>
  <x:si>
    <x:t xml:space="preserve">Presencia confirmada por la lista de asistentes y/o el voto nominal. Comunicado: https://www.banxico.org.mx/publicaciones-y-prensa/anuncios-de-las-decisiones-de-politica-monetaria/{F2570B49-2124-CAD3-09A5-380DC3E4CD0C}.pdf | Minuta: https://www.banxico.org.mx/publicaciones-y-prensa/minutas-de-las-decisiones-de-politica-monetaria/{241DD6DE-AA67-3DC2-1B9A-009A5815ECFB}.pdf</x:t>
  </x:si>
  <x:si>
    <x:t xml:space="preserve">Presencia confirmada por la lista de asistentes y/o el voto nominal. Comunicado: https://www.banxico.org.mx/publicaciones-y-prensa/anuncios-de-las-decisiones-de-politica-monetaria/{7083B1E9-31C2-67FE-BA71-A63B075075DD}.pdf | Minuta: https://www.banxico.org.mx/publicaciones-y-prensa/minutas-de-las-decisiones-de-politica-monetaria/{2A182BDA-0A22-90DE-9F58-24928C084F74}.pdf</x:t>
  </x:si>
  <x:si>
    <x:t xml:space="preserve">Presencia confirmada por la lista de asistentes y/o el voto nominal. Comunicado: https://www.banxico.org.mx/publicaciones-y-prensa/anuncios-de-las-decisiones-de-politica-monetaria/{4C34FC42-3AB6-4DC4-8767-92CAE7B0C3D3}.pdf | Minuta: https://www.banxico.org.mx/publicaciones-y-prensa/minutas-de-las-decisiones-de-politica-monetaria/{665174C6-A934-C6C4-1796-96FCFA229CCD}.pdf</x:t>
  </x:si>
  <x:si>
    <x:t xml:space="preserve">Presencia confirmada por la lista de asistentes y/o el voto nominal. Comunicado: https://www.banxico.org.mx/publicaciones-y-prensa/anuncios-de-las-decisiones-de-politica-monetaria/{062CAE9F-B896-D200-76F6-1A8BB2DB6394}.pdf | Minuta: https://www.banxico.org.mx/publicaciones-y-prensa/minutas-de-las-decisiones-de-politica-monetaria/{1572CEB0-A2D5-D0AB-D09B-473165C56834}.pdf</x:t>
  </x:si>
  <x:si>
    <x:t xml:space="preserve">Presencia confirmada por la lista de asistentes y/o el voto nominal. Comunicado: https://www.banxico.org.mx/publicaciones-y-prensa/anuncios-de-las-decisiones-de-politica-monetaria/{6BFED160-28CF-F1EA-44B9-27AF079C0309}.pdf | Minuta: https://www.banxico.org.mx/publicaciones-y-prensa/minutas-de-las-decisiones-de-politica-monetaria/{350A9952-EE00-D4BD-DB69-7624D891589D}.pdf</x:t>
  </x:si>
  <x:si>
    <x:t xml:space="preserve">Presencia confirmada por la lista de asistentes y/o el voto nominal. Comunicado: https://www.banxico.org.mx/publicaciones-y-prensa/anuncios-de-las-decisiones-de-politica-monetaria/{45FDC5E7-8F7D-750F-C606-8EBB1CCB7FC6}.pdf | Minuta: https://www.banxico.org.mx/publicaciones-y-prensa/minutas-de-las-decisiones-de-politica-monetaria/{97C9BB82-2331-1715-A58F-63C866B1A196}.pdf</x:t>
  </x:si>
  <x:si>
    <x:t xml:space="preserve">Presencia confirmada por la lista de asistentes y/o el voto nominal. Comunicado: https://www.banxico.org.mx/publicaciones-y-prensa/anuncios-de-las-decisiones-de-politica-monetaria/{D3EEE7A3-E789-A6EC-66A1-9F2BD915053F}.pdf | Minuta: https://www.banxico.org.mx/publicaciones-y-prensa/minutas-de-las-decisiones-de-politica-monetaria/{ADAE24CF-834B-5A2E-AE91-AADFE44AA5F2}.pdf</x:t>
  </x:si>
  <x:si>
    <x:t xml:space="preserve">Presencia confirmada por la lista de asistentes y/o el voto nominal. Comunicado: https://www.banxico.org.mx/publicaciones-y-prensa/anuncios-de-las-decisiones-de-politica-monetaria/{9118C9E6-B3FA-7FE0-FE39-2A7AFC13E990}.pdf | Minuta: https://www.banxico.org.mx/publicaciones-y-prensa/minutas-de-las-decisiones-de-politica-monetaria/{9C238281-DD06-81CE-57B3-C5904A020C22}.pdf</x:t>
  </x:si>
  <x:si>
    <x:t xml:space="preserve">Presencia confirmada por la lista de asistentes y/o el voto nominal. Comunicado: https://www.banxico.org.mx/publicaciones-y-prensa/anuncios-de-las-decisiones-de-politica-monetaria/{611D06FF-825B-33F9-C451-6C765A2F5EA3}.pdf | Minuta: https://www.banxico.org.mx/publicaciones-y-prensa/minutas-de-las-decisiones-de-politica-monetaria/{7BEFC36F-BA57-8084-F183-3EDBCEE27958}.pdf</x:t>
  </x:si>
  <x:si>
    <x:t xml:space="preserve">Presencia confirmada por la lista de asistentes y/o el voto nominal. Comunicado: https://www.banxico.org.mx/publicaciones-y-prensa/anuncios-de-las-decisiones-de-politica-monetaria/{51B1BFD4-35F8-20D6-7A8A-FBFCE7C82118}.pdf | Minuta: https://www.banxico.org.mx/publicaciones-y-prensa/minutas-de-las-decisiones-de-politica-monetaria/{3D041441-5195-710D-6285-49DED93EDFD4}.pdf</x:t>
  </x:si>
  <x:si>
    <x:t xml:space="preserve">P018</x:t>
  </x:si>
  <x:si>
    <x:t xml:space="preserve">Presencia confirmada por la lista de asistentes y/o el voto nominal. Comunicado: https://www.banxico.org.mx/publicaciones-y-prensa/anuncios-de-las-decisiones-de-politica-monetaria/{3A065470-7398-7002-B40F-7DD4F7ED3B45}.pdf | Minuta: https://www.banxico.org.mx/publicaciones-y-prensa/minutas-de-las-decisiones-de-politica-monetaria/{22CCE220-F109-B27C-B79F-9E51E62F95C7}.pdf</x:t>
  </x:si>
  <x:si>
    <x:t xml:space="preserve">Presencia confirmada por la lista de asistentes y/o el voto nominal. Comunicado: https://www.banxico.org.mx/publicaciones-y-prensa/anuncios-de-las-decisiones-de-politica-monetaria/{314F1C8B-65D3-5FDE-AD2F-678BA3747D58}.pdf | Minuta: https://www.banxico.org.mx/publicaciones-y-prensa/minutas-de-las-decisiones-de-politica-monetaria/{8D415BB5-F46C-1303-2502-E8F3D51E12E1}.pdf</x:t>
  </x:si>
  <x:si>
    <x:t xml:space="preserve">Presencia confirmada por la lista de asistentes y/o el voto nominal. Comunicado: https://www.banxico.org.mx/publicaciones-y-prensa/anuncios-de-las-decisiones-de-politica-monetaria/{AD39A465-CA97-ADA1-E27B-8D9782194B55}.pdf | Minuta: https://www.banxico.org.mx/publicaciones-y-prensa/minutas-de-las-decisiones-de-politica-monetaria/{CC691B89-EC10-6A6F-585B-306CAE99E6E1}.pdf</x:t>
  </x:si>
  <x:si>
    <x:t xml:space="preserve">Presencia confirmada por la lista de asistentes y/o el voto nominal. Comunicado: https://www.banxico.org.mx/publicaciones-y-prensa/anuncios-de-las-decisiones-de-politica-monetaria/{9A5EF416-8E39-2862-E718-D4260F10479F}.pdf | Minuta: https://www.banxico.org.mx/publicaciones-y-prensa/minutas-de-las-decisiones-de-politica-monetaria/{A1BF3AF9-2E74-EB2D-5687-A52315DCF9CC}.pdf</x:t>
  </x:si>
  <x:si>
    <x:t xml:space="preserve">Presencia confirmada por la lista de asistentes y/o el voto nominal. Comunicado: https://www.banxico.org.mx/publicaciones-y-prensa/anuncios-de-las-decisiones-de-politica-monetaria/{97E932C6-EBEC-85CD-37CD-5B85ED11F940}.pdf | Minuta: https://www.banxico.org.mx/publicaciones-y-prensa/minutas-de-las-decisiones-de-politica-monetaria/{8472FA9E-8795-8CAA-EE4C-FF5CB60BB2AA}.pdf</x:t>
  </x:si>
  <x:si>
    <x:t xml:space="preserve">Presencia confirmada por la lista de asistentes y/o el voto nominal. Comunicado: https://www.banxico.org.mx/publicaciones-y-prensa/anuncios-de-las-decisiones-de-politica-monetaria/{8D85866C-A59D-E24A-BF81-25F0C999DBA5}.pdf | Minuta: https://www.banxico.org.mx/publicaciones-y-prensa/minutas-de-las-decisiones-de-politica-monetaria/{E63AB45F-CADE-0B8E-46B0-149666C3AA11}.pdf</x:t>
  </x:si>
  <x:si>
    <x:t xml:space="preserve">Presencia confirmada por la lista de asistentes y/o el voto nominal. Comunicado: https://www.banxico.org.mx/publicaciones-y-prensa/anuncios-de-las-decisiones-de-politica-monetaria/{8AAB504C-49F8-6625-F48C-D0B48F9291E2}.pdf | Minuta: https://www.banxico.org.mx/publicaciones-y-prensa/minutas-de-las-decisiones-de-politica-monetaria/{33CEDF79-47BE-B13D-7E8C-123097794BCF}.pdf</x:t>
  </x:si>
  <x:si>
    <x:t xml:space="preserve">Presencia confirmada por la lista de asistentes y/o el voto nominal. Comunicado: https://www.banxico.org.mx/publicaciones-y-prensa/anuncios-de-las-decisiones-de-politica-monetaria/{33C58779-7EFB-ACB7-4BC0-9B7F2444DE1D}.pdf | Minuta: https://www.banxico.org.mx/publicaciones-y-prensa/minutas-de-las-decisiones-de-politica-monetaria/{0875B96D-37BA-B260-BD4D-DB4BAC601648}.pdf</x:t>
  </x:si>
  <x:si>
    <x:t xml:space="preserve">P019</x:t>
  </x:si>
  <x:si>
    <x:t xml:space="preserve">Presencia confirmada por la lista de asistentes y/o el voto nominal. Comunicado: https://www.banxico.org.mx/publicaciones-y-prensa/anuncios-de-las-decisiones-de-politica-monetaria/{B8C1E3A6-4106-7F67-1C3A-904D48D86D0F}.pdf | Minuta: https://www.banxico.org.mx/publicaciones-y-prensa/minutas-de-las-decisiones-de-politica-monetaria/{D4C1F630-4ECB-EE4C-1E24-7E2379F14FD6}.pdf</x:t>
  </x:si>
  <x:si>
    <x:t xml:space="preserve">Presencia confirmada por la lista de asistentes y/o el voto nominal. Comunicado: https://www.banxico.org.mx/publicaciones-y-prensa/anuncios-de-las-decisiones-de-politica-monetaria/{45C4A1AE-E137-13A2-3F3E-5EF91735993F}.pdf | Minuta: https://www.banxico.org.mx/publicaciones-y-prensa/minutas-de-las-decisiones-de-politica-monetaria/{87EDDF27-FB92-A9FE-9FA8-1FE031E8E599}.pdf</x:t>
  </x:si>
  <x:si>
    <x:t xml:space="preserve">Presencia confirmada por la lista de asistentes y/o el voto nominal. Comunicado: https://www.banxico.org.mx/publicaciones-y-prensa/anuncios-de-las-decisiones-de-politica-monetaria/{CACDD0D6-B5C5-C4F8-65A6-C79D36A1981D}.pdf | Minuta: https://www.banxico.org.mx/publicaciones-y-prensa/minutas-de-las-decisiones-de-politica-monetaria/{1D2B28A3-84A7-F37B-062C-8B401C04376A}.pdf</x:t>
  </x:si>
  <x:si>
    <x:t xml:space="preserve">Presencia confirmada por la lista de asistentes y/o el voto nominal. Comunicado: https://www.banxico.org.mx/publicaciones-y-prensa/anuncios-de-las-decisiones-de-politica-monetaria/{2B8A2320-5BA7-3B8E-70D2-8AC80C34C074}.pdf | Minuta: https://www.banxico.org.mx/publicaciones-y-prensa/minutas-de-las-decisiones-de-politica-monetaria/{E49773D0-6A06-2697-567D-3A35EBA1AE9F}.pdf</x:t>
  </x:si>
  <x:si>
    <x:t xml:space="preserve">Presencia confirmada por la lista de asistentes y/o el voto nominal. Comunicado: https://www.banxico.org.mx/publicaciones-y-prensa/anuncios-de-las-decisiones-de-politica-monetaria/{E6A0E26E-D9C0-97D7-64B7-7F2BF274178E}.pdf | Minuta: https://www.banxico.org.mx/publicaciones-y-prensa/minutas-de-las-decisiones-de-politica-monetaria/{59D865CD-B1AA-2362-DD9C-FF9032785660}.pdf</x:t>
  </x:si>
  <x:si>
    <x:t xml:space="preserve">Presencia confirmada por la lista de asistentes y/o el voto nominal. Comunicado: https://www.banxico.org.mx/publicaciones-y-prensa/anuncios-de-las-decisiones-de-politica-monetaria/{B66AB8E7-4C51-B5BB-4463-335449EC1006}.pdf | Minuta: https://www.banxico.org.mx/publicaciones-y-prensa/minutas-de-las-decisiones-de-politica-monetaria/{AA79300D-4009-E91D-125E-C0A6E52AE8AE}.pdf</x:t>
  </x:si>
  <x:si>
    <x:t xml:space="preserve">Presencia confirmada por la lista de asistentes y/o el voto nominal. Comunicado: https://www.banxico.org.mx/publicaciones-y-prensa/anuncios-de-las-decisiones-de-politica-monetaria/{83B088FF-1923-A73F-2914-0087A31FE25A}.pdf | Minuta: https://www.banxico.org.mx/publicaciones-y-prensa/minutas-de-las-decisiones-de-politica-monetaria/{FB6D9934-D8CC-D695-0897-940FEA7821D7}.pdf</x:t>
  </x:si>
  <x:si>
    <x:t xml:space="preserve">Presencia confirmada por la lista de asistentes y/o el voto nominal. Comunicado: https://www.banxico.org.mx/publicaciones-y-prensa/anuncios-de-las-decisiones-de-politica-monetaria/{C38BE1D9-20AB-7D0D-C010-ED242852AF04}.pdf | Minuta: https://www.banxico.org.mx/publicaciones-y-prensa/minutas-de-las-decisiones-de-politica-monetaria/{6C23C599-227C-FE6F-CF3D-37325C858154}.pdf</x:t>
  </x:si>
  <x:si>
    <x:t xml:space="preserve">P020</x:t>
  </x:si>
  <x:si>
    <x:t xml:space="preserve">Presencia confirmada por la lista de asistentes y/o el voto nominal. Comunicado: https://www.banxico.org.mx/publicaciones-y-prensa/anuncios-de-las-decisiones-de-politica-monetaria/{B5CDF10E-D32B-9E92-3E8E-13BB22940D60}.pdf | Minuta: https://www.banxico.org.mx/publicaciones-y-prensa/minutas-de-las-decisiones-de-politica-monetaria/{74DDC4B0-E669-BC27-745E-F453D86608D1}.pdf</x:t>
  </x:si>
  <x:si>
    <x:t xml:space="preserve">Presencia confirmada por la lista de asistentes y/o el voto nominal. Comunicado: https://www.banxico.org.mx/publicaciones-y-prensa/anuncios-de-las-decisiones-de-politica-monetaria/{325F9D3D-8C6B-8F20-4811-1069701DB7F1}.pdf | Minuta: https://www.banxico.org.mx/publicaciones-y-prensa/minutas-de-las-decisiones-de-politica-monetaria/{35319FC4-DD42-44F0-4E44-02D64FEE7E3B}.pdf</x:t>
  </x:si>
  <x:si>
    <x:t xml:space="preserve">Presencia confirmada por la lista de asistentes y/o el voto nominal. Comunicado: https://www.banxico.org.mx/publicaciones-y-prensa/anuncios-de-las-decisiones-de-politica-monetaria/{E24CCCC4-3EBC-F5B1-29FE-4595201C5876}.pdf | Minuta: https://www.banxico.org.mx/publicaciones-y-prensa/minutas-de-las-decisiones-de-politica-monetaria/{049153FE-C659-2401-B4E7-5F9B58624E0F}.pdf</x:t>
  </x:si>
  <x:si>
    <x:t xml:space="preserve">Presencia confirmada por la lista de asistentes y/o el voto nominal. Comunicado: https://www.banxico.org.mx/publicaciones-y-prensa/anuncios-de-las-decisiones-de-politica-monetaria/{3E88ECF2-3506-EF3D-FAC3-63E615972207}.pdf | Minuta: https://www.banxico.org.mx/publicaciones-y-prensa/minutas-de-las-decisiones-de-politica-monetaria/{7C9B1EB3-C147-14B5-6C5C-0D2E24A675BE}.pdf</x:t>
  </x:si>
  <x:si>
    <x:t xml:space="preserve">Presencia confirmada por la lista de asistentes y/o el voto nominal. Comunicado: https://www.banxico.org.mx/publicaciones-y-prensa/anuncios-de-las-decisiones-de-politica-monetaria/{068D6FE9-39EE-C58D-9E79-5B3A3919B796}.pdf | Minuta: https://www.banxico.org.mx/publicaciones-y-prensa/minutas-de-las-decisiones-de-politica-monetaria/{987C7F1F-C654-471E-1C8A-B18117B4D01D}.pdf</x:t>
  </x:si>
  <x:si>
    <x:t xml:space="preserve">Presencia confirmada por la lista de asistentes y/o el voto nominal. Comunicado: https://www.banxico.org.mx/publicaciones-y-prensa/anuncios-de-las-decisiones-de-politica-monetaria/{5958E1D4-163A-6987-C87C-8228F89BDEB2}.pdf | Minuta: https://www.banxico.org.mx/publicaciones-y-prensa/minutas-de-las-decisiones-de-politica-monetaria/{B23AAD19-0964-73D4-B328-8CEB947BF591}.pdf</x:t>
  </x:si>
  <x:si>
    <x:t xml:space="preserve">Presencia confirmada por la lista de asistentes y/o el voto nominal. Comunicado: https://www.banxico.org.mx/publicaciones-y-prensa/anuncios-de-las-decisiones-de-politica-monetaria/{C2B3629A-5738-402A-7D09-9893825E63AC}.pdf | Minuta: https://www.banxico.org.mx/publicaciones-y-prensa/minutas-de-las-decisiones-de-politica-monetaria/{323D332B-79E3-3925-8182-4E22C8B6BFF6}.pdf</x:t>
  </x:si>
  <x:si>
    <x:t xml:space="preserve">Presencia confirmada por la lista de asistentes y/o el voto nominal. Comunicado: https://www.banxico.org.mx/publicaciones-y-prensa/anuncios-de-las-decisiones-de-politica-monetaria/{A060DBDE-00DF-1C4E-7689-CABF9211E20A}.pdf | Minuta: https://www.banxico.org.mx/publicaciones-y-prensa/minutas-de-las-decisiones-de-politica-monetaria/{6758749B-0C92-6897-39C9-120D25343FD3}.pdf</x:t>
  </x:si>
  <x:si>
    <x:t xml:space="preserve">Presencia confirmada por la lista de asistentes y/o el voto nominal. Comunicado: https://www.banxico.org.mx/publicaciones-y-prensa/anuncios-de-las-decisiones-de-politica-monetaria/{B2A2C412-1309-2476-F333-F223A96EA033}.pdf | Minuta: https://www.banxico.org.mx/publicaciones-y-prensa/minutas-de-las-decisiones-de-politica-monetaria/{4023E0B7-02E0-F6F9-6613-842336ABBAC0}.pdf</x:t>
  </x:si>
  <x:si>
    <x:t xml:space="preserve">Presencia confirmada por la lista de asistentes y/o el voto nominal. Comunicado: https://www.banxico.org.mx/publicaciones-y-prensa/anuncios-de-las-decisiones-de-politica-monetaria/{44CE87DF-ED9F-58D3-406B-BD6F940A6651}.pdf | Minuta: https://www.banxico.org.mx/publicaciones-y-prensa/minutas-de-las-decisiones-de-politica-monetaria/{718151B0-83F7-7381-35E1-592A83D30E6E}.pdf</x:t>
  </x:si>
  <x:si>
    <x:t xml:space="preserve">Presencia confirmada por la lista de asistentes y/o el voto nominal. Comunicado: https://www.banxico.org.mx/publicaciones-y-prensa/anuncios-de-las-decisiones-de-politica-monetaria/{17EF4998-D892-3D29-B613-68BEF3D80B21}.pdf | Minuta: https://www.banxico.org.mx/publicaciones-y-prensa/minutas-de-las-decisiones-de-politica-monetaria/{F13FD839-189C-CF58-BF54-025B6FFE559F}.pdf</x:t>
  </x:si>
  <x:si>
    <x:t xml:space="preserve">Presencia confirmada por la lista de asistentes y/o el voto nominal. Comunicado: https://www.banxico.org.mx/publicaciones-y-prensa/anuncios-de-las-decisiones-de-politica-monetaria/{2A30082F-C525-8B90-3E75-E54AF31A21EF}.pdf | Minuta: https://www.banxico.org.mx/publicaciones-y-prensa/minutas-de-las-decisiones-de-politica-monetaria/{C2F0671D-B457-A331-ADED-F498F00F0385}.pdf</x:t>
  </x:si>
  <x:si>
    <x:t xml:space="preserve">Presencia confirmada por la lista de asistentes y/o el voto nominal. Comunicado: https://www.banxico.org.mx/publicaciones-y-prensa/anuncios-de-las-decisiones-de-politica-monetaria/{F6792ED1-A4C0-564D-19F1-F53F50D82B95}.pdf | Minuta: https://www.banxico.org.mx/publicaciones-y-prensa/minutas-de-las-decisiones-de-politica-monetaria/{209F9F3A-D49B-51D1-0460-9B3EA1D9EBAB}.pdf</x:t>
  </x:si>
  <x:si>
    <x:t xml:space="preserve">Presencia confirmada por la lista de asistentes y/o el voto nominal. Comunicado: https://www.banxico.org.mx/publicaciones-y-prensa/anuncios-de-las-decisiones-de-politica-monetaria/{134BAFB3-3FAF-34A6-E510-22D771F7BA70}.pdf | Minuta: https://www.banxico.org.mx/publicaciones-y-prensa/minutas-de-las-decisiones-de-politica-monetaria/{DF53BDC1-88EC-276E-718C-AEC8DE5282B4}.pdf</x:t>
  </x:si>
  <x:si>
    <x:t xml:space="preserve">Presencia confirmada por la lista de asistentes y/o el voto nominal. Comunicado: https://www.banxico.org.mx/publicaciones-y-prensa/anuncios-de-las-decisiones-de-politica-monetaria/{939FDDA6-702A-F315-37B0-4E422044D13E}.pdf | Minuta: https://www.banxico.org.mx/publicaciones-y-prensa/minutas-de-las-decisiones-de-politica-monetaria/{63101F6B-4E37-521E-45B3-3AB92AD757D2}.pdf</x:t>
  </x:si>
  <x:si>
    <x:t xml:space="preserve">Presencia confirmada por la lista de asistentes y/o el voto nominal. Comunicado: https://www.banxico.org.mx/publicaciones-y-prensa/anuncios-de-las-decisiones-de-politica-monetaria/{8F4D3113-637F-2920-42DE-6A5866416A4F}.pdf | Minuta: https://www.banxico.org.mx/publicaciones-y-prensa/minutas-de-las-decisiones-de-politica-monetaria/{DFAB243C-74BE-4DFE-CD46-302D844E68EA}.pdf</x:t>
  </x:si>
  <x:si>
    <x:t xml:space="preserve">P021</x:t>
  </x:si>
  <x:si>
    <x:t xml:space="preserve">Presencia confirmada por la lista de asistentes y/o el voto nominal. Comunicado: https://www.banxico.org.mx/publicaciones-y-prensa/anuncios-de-las-decisiones-de-politica-monetaria/{9842071D-B7B0-B46C-D052-117072FFFC84}.pdf | Minuta: https://www.banxico.org.mx/publicaciones-y-prensa/minutas-de-las-decisiones-de-politica-monetaria/{4AB9F868-2AB8-102D-ED38-1D40F1AD51DF}.pdf</x:t>
  </x:si>
  <x:si>
    <x:t xml:space="preserve">Presencia confirmada por la lista de asistentes y/o el voto nominal. Comunicado: https://www.banxico.org.mx/publicaciones-y-prensa/anuncios-de-las-decisiones-de-politica-monetaria/{FE43A06F-5ECA-8C1D-3E51-DCD1C8657282}.pdf | Minuta: https://www.banxico.org.mx/publicaciones-y-prensa/minutas-de-las-decisiones-de-politica-monetaria/{095C9D00-95A9-1AB7-2E95-61F66587B73B}.pdf</x:t>
  </x:si>
  <x:si>
    <x:t xml:space="preserve">Presencia confirmada por la lista de asistentes y/o el voto nominal. Comunicado: https://www.banxico.org.mx/publicaciones-y-prensa/anuncios-de-las-decisiones-de-politica-monetaria/{7774AEE4-AF2E-9A74-A34C-EDB53F483361}.pdf | Minuta: https://www.banxico.org.mx/publicaciones-y-prensa/minutas-de-las-decisiones-de-politica-monetaria/{A354B917-F0F6-E4BE-CA35-B1F77AC37840}.pdf</x:t>
  </x:si>
  <x:si>
    <x:t xml:space="preserve">Presencia confirmada por la lista de asistentes y/o el voto nominal. Comunicado: https://www.banxico.org.mx/publicaciones-y-prensa/anuncios-de-las-decisiones-de-politica-monetaria/{2C71C5A0-BAB3-8C65-D666-AB9B5D82557E}.pdf | Minuta: https://www.banxico.org.mx/publicaciones-y-prensa/minutas-de-las-decisiones-de-politica-monetaria/{93076C6E-4055-680E-9986-389D0B64F5E7}.pdf</x:t>
  </x:si>
  <x:si>
    <x:t xml:space="preserve">Presencia confirmada por la lista de asistentes y/o el voto nominal. Comunicado: https://www.banxico.org.mx/publicaciones-y-prensa/anuncios-de-las-decisiones-de-politica-monetaria/{013E2D79-2677-5E71-FA22-DD8825AA7C45}.pdf | Minuta: https://www.banxico.org.mx/publicaciones-y-prensa/minutas-de-las-decisiones-de-politica-monetaria/{51E24FD1-CEA3-EEDA-ECB3-B6BFDC8B6671}.pdf</x:t>
  </x:si>
  <x:si>
    <x:t xml:space="preserve">Presencia confirmada por la lista de asistentes y/o el voto nominal. Comunicado: https://www.banxico.org.mx/publicaciones-y-prensa/anuncios-de-las-decisiones-de-politica-monetaria/{EBE40A87-D410-9D84-25A1-935964853DED}.pdf | Minuta: https://www.banxico.org.mx/publicaciones-y-prensa/minutas-de-las-decisiones-de-politica-monetaria/{7EFA29F5-D827-0AA7-5D7A-55C06B82161A}.pdf</x:t>
  </x:si>
  <x:si>
    <x:t xml:space="preserve">Presencia confirmada por la lista de asistentes y/o el voto nominal. Comunicado: https://www.banxico.org.mx/publicaciones-y-prensa/anuncios-de-las-decisiones-de-politica-monetaria/{7EC38EB9-5F4D-5857-805D-2471209BFEBA}.pdf | Minuta: https://www.banxico.org.mx/publicaciones-y-prensa/minutas-de-las-decisiones-de-politica-monetaria/{8017E12E-03DE-78EB-C26E-680454144343}.pdf</x:t>
  </x:si>
  <x:si>
    <x:t xml:space="preserve">Presencia confirmada por la lista de asistentes y/o el voto nominal. Comunicado: https://www.banxico.org.mx/publicaciones-y-prensa/anuncios-de-las-decisiones-de-politica-monetaria/{318D71D0-F37D-869C-E8B4-8E58FD9D3648}.pdf | Minuta: https://www.banxico.org.mx/publicaciones-y-prensa/minutas-de-las-decisiones-de-politica-monetaria/{5701F165-479A-EF00-AFC5-8D2BA594692E}.pdf</x:t>
  </x:si>
  <x:si>
    <x:t xml:space="preserve">Presencia confirmada por la lista de asistentes y/o el voto nominal. Comunicado: https://www.banxico.org.mx/publicaciones-y-prensa/anuncios-de-las-decisiones-de-politica-monetaria/{44EB2DF8-E71A-1553-7322-F60A34382EBA}.pdf | Minuta: https://www.banxico.org.mx/publicaciones-y-prensa/minutas-de-las-decisiones-de-politica-monetaria/{FAC24258-9128-F1BD-D497-6225C392ED52}.pdf</x:t>
  </x:si>
  <x:si>
    <x:t xml:space="preserve">Presencia confirmada por la lista de asistentes y/o el voto nominal. Comunicado: https://www.banxico.org.mx/publicaciones-y-prensa/anuncios-de-las-decisiones-de-politica-monetaria/{8A05C722-0A97-4527-2166-0CE802CE6838}.pdf | Minuta: https://www.banxico.org.mx/publicaciones-y-prensa/minutas-de-las-decisiones-de-politica-monetaria/{3F15F7F1-3E5A-4FD4-E0C0-B4BEA1703FAF}.pdf</x:t>
  </x:si>
  <x:si>
    <x:t xml:space="preserve">Presencia confirmada por la lista de asistentes y/o el voto nominal. Comunicado: https://www.banxico.org.mx/publicaciones-y-prensa/anuncios-de-las-decisiones-de-politica-monetaria/{F6667DDE-E87D-68A3-0EBB-A4DF9048E403}.pdf | Minuta: https://www.banxico.org.mx/publicaciones-y-prensa/minutas-de-las-decisiones-de-politica-monetaria/{34C74125-16AD-2F94-0E20-DB9349E8AB97}.pdf</x:t>
  </x:si>
  <x:si>
    <x:t xml:space="preserve">Voto</x:t>
  </x:si>
  <x:si>
    <x:t xml:space="preserve">Tipo_Voto</x:t>
  </x:si>
  <x:si>
    <x:t xml:space="preserve">Nivel_Identificacion</x:t>
  </x:si>
  <x:si>
    <x:t xml:space="preserve">No identificable</x:t>
  </x:si>
  <x:si>
    <x:t xml:space="preserve">Anónimo</x:t>
  </x:si>
  <x:si>
    <x:t xml:space="preserve">El documento oficial declara mayoría/disenso sin identificación nominal suficiente.</x:t>
  </x:si>
  <x:si>
    <x:t xml:space="preserve">Mantener</x:t>
  </x:si>
  <x:si>
    <x:t xml:space="preserve">Consenso</x:t>
  </x:si>
  <x:si>
    <x:t xml:space="preserve">Público</x:t>
  </x:si>
  <x:si>
    <x:t xml:space="preserve">Voto nominal explícito en la sección 4. VOTACIÓN de la minuta oficial. Minuta oficial: https://www.banxico.org.mx/publicaciones-y-prensa/minutas-de-las-decisiones-de-politica-monetaria/{1FC983E2-2499-C296-FE71-85F7ABD67EC3}.pdf</x:t>
  </x:si>
  <x:si>
    <x:t xml:space="preserve">Subir</x:t>
  </x:si>
  <x:si>
    <x:t xml:space="preserve">Voto nominal explícito en la sección 4. VOTACIÓN de la minuta oficial. Minuta oficial: https://www.banxico.org.mx/publicaciones-y-prensa/minutas-de-las-decisiones-de-politica-monetaria/{9D52CB8A-4EA3-F381-42CC-B4A5E02E76E1}.pdf</x:t>
  </x:si>
  <x:si>
    <x:t xml:space="preserve">Voto nominal explícito en la sección 4. VOTACIÓN de la minuta oficial. Minuta oficial: https://www.banxico.org.mx/publicaciones-y-prensa/minutas-de-las-decisiones-de-politica-monetaria/{BC265005-129F-A5FD-309A-229CC8559229}.pdf</x:t>
  </x:si>
  <x:si>
    <x:t xml:space="preserve">Voto nominal explícito en la sección 4. VOTACIÓN de la minuta oficial. Minuta oficial: https://www.banxico.org.mx/publicaciones-y-prensa/minutas-de-las-decisiones-de-politica-monetaria/{50ED7644-47A9-934D-4C49-3CDF170A0FFC}.pdf</x:t>
  </x:si>
  <x:si>
    <x:t xml:space="preserve">Disenso restrictivo</x:t>
  </x:si>
  <x:si>
    <x:t xml:space="preserve">Voto nominal explícito en la sección 4. VOTACIÓN, página 11 de la minuta oficial. Minuta oficial: https://www.banxico.org.mx/publicaciones-y-prensa/minutas-de-las-decisiones-de-politica-monetaria/{E71098EA-AC1E-45CB-F1FC-1BCA43571239}.pdf</x:t>
  </x:si>
  <x:si>
    <x:t xml:space="preserve">Voto nominal explícito en la sección 4. VOTACIÓN de la minuta oficial. Minuta oficial: https://www.banxico.org.mx/publicaciones-y-prensa/minutas-de-las-decisiones-de-politica-monetaria/{5EC61A9B-E408-3DA8-C647-97B441EC6D76}.pdf</x:t>
  </x:si>
  <x:si>
    <x:t xml:space="preserve">Voto nominal explícito en la sección 4. VOTACIÓN de la minuta oficial. Minuta oficial: https://www.banxico.org.mx/publicaciones-y-prensa/minutas-de-las-decisiones-de-politica-monetaria/{A63CB66A-5AED-15AE-F534-2D99FB3FA7C9}.pdf</x:t>
  </x:si>
  <x:si>
    <x:t xml:space="preserve">Voto nominal explícito en la sección 4. VOTACIÓN de la minuta oficial. Minuta oficial: https://www.banxico.org.mx/publicaciones-y-prensa/minutas-de-las-decisiones-de-politica-monetaria/{FB16B517-D1BF-D281-60B9-C3552469117C}.pdf</x:t>
  </x:si>
  <x:si>
    <x:t xml:space="preserve">Voto nominal explícito en la sección 4. VOTACIÓN de la minuta oficial. Minuta oficial: https://www.banxico.org.mx/publicaciones-y-prensa/minutas-de-las-decisiones-de-politica-monetaria/{E543784E-F02B-7492-2776-B981AC479D9A}.pdf</x:t>
  </x:si>
  <x:si>
    <x:t xml:space="preserve">Voto nominal explícito en la sección 4. VOTACIÓN de la minuta oficial. Minuta oficial: https://www.banxico.org.mx/publicaciones-y-prensa/minutas-de-las-decisiones-de-politica-monetaria/{912CEB1F-464B-29BA-A44E-1BEA0938891D}.pdf</x:t>
  </x:si>
  <x:si>
    <x:t xml:space="preserve">Bajar</x:t>
  </x:si>
  <x:si>
    <x:t xml:space="preserve">Disenso acomodaticio</x:t>
  </x:si>
  <x:si>
    <x:t xml:space="preserve">Voto nominal explícito en la sección 4. VOTACIÓN de la minuta oficial. Minuta oficial: https://www.banxico.org.mx/publicaciones-y-prensa/minutas-de-las-decisiones-de-politica-monetaria/{4BD2C2C1-8EE6-3A11-68A2-AAC044D90E03}.pdf</x:t>
  </x:si>
  <x:si>
    <x:t xml:space="preserve">Voto nominal explícito en la sección 4. VOTACIÓN de la minuta oficial. Minuta oficial: https://www.banxico.org.mx/publicaciones-y-prensa/minutas-de-las-decisiones-de-politica-monetaria/{C4659F26-F0C4-33C0-8B63-D01B971A39C5}.pdf</x:t>
  </x:si>
  <x:si>
    <x:t xml:space="preserve">Voto nominal explícito en la sección 4. VOTACIÓN de la minuta oficial. Minuta oficial: https://www.banxico.org.mx/publicaciones-y-prensa/minutas-de-las-decisiones-de-politica-monetaria/{DA837B97-2456-1C39-BFBA-2B3C7513C14F}.pdf</x:t>
  </x:si>
  <x:si>
    <x:t xml:space="preserve">Voto nominal explícito en la sección 4. VOTACIÓN de la minuta oficial. Minuta oficial: https://www.banxico.org.mx/publicaciones-y-prensa/minutas-de-las-decisiones-de-politica-monetaria/{B272DF7F-5D8B-16A0-9C8E-ECD755C73721}.pdf</x:t>
  </x:si>
  <x:si>
    <x:t xml:space="preserve">Voto nominal explícito en la sección 4. VOTACIÓN de la minuta oficial. Minuta oficial: https://www.banxico.org.mx/publicaciones-y-prensa/minutas-de-las-decisiones-de-politica-monetaria/{241DD6DE-AA67-3DC2-1B9A-009A5815ECFB}.pdf</x:t>
  </x:si>
  <x:si>
    <x:t xml:space="preserve">Voto nominal explícito en la sección 4. VOTACIÓN de la minuta oficial. Minuta oficial: https://www.banxico.org.mx/publicaciones-y-prensa/minutas-de-las-decisiones-de-politica-monetaria/{2A182BDA-0A22-90DE-9F58-24928C084F74}.pdf</x:t>
  </x:si>
  <x:si>
    <x:t xml:space="preserve">Voto nominal explícito en la sección 4. VOTACIÓN de la minuta oficial. Minuta oficial: https://www.banxico.org.mx/publicaciones-y-prensa/minutas-de-las-decisiones-de-politica-monetaria/{665174C6-A934-C6C4-1796-96FCFA229CCD}.pdf</x:t>
  </x:si>
  <x:si>
    <x:t xml:space="preserve">Voto nominal explícito en la sección 4. VOTACIÓN de la minuta oficial. Minuta oficial: https://www.banxico.org.mx/publicaciones-y-prensa/minutas-de-las-decisiones-de-politica-monetaria/{1572CEB0-A2D5-D0AB-D09B-473165C56834}.pdf</x:t>
  </x:si>
  <x:si>
    <x:t xml:space="preserve">Voto nominal explícito en la sección 4. VOTACIÓN de la minuta oficial. Minuta oficial: https://www.banxico.org.mx/publicaciones-y-prensa/minutas-de-las-decisiones-de-politica-monetaria/{350A9952-EE00-D4BD-DB69-7624D891589D}.pdf</x:t>
  </x:si>
  <x:si>
    <x:t xml:space="preserve">Voto nominal explícito en la sección 4. VOTACIÓN de la minuta oficial. Minuta oficial: https://www.banxico.org.mx/publicaciones-y-prensa/minutas-de-las-decisiones-de-politica-monetaria/{97C9BB82-2331-1715-A58F-63C866B1A196}.pdf</x:t>
  </x:si>
  <x:si>
    <x:t xml:space="preserve">Voto nominal explícito en la sección 4. VOTACIÓN de la minuta oficial. Minuta oficial: https://www.banxico.org.mx/publicaciones-y-prensa/minutas-de-las-decisiones-de-politica-monetaria/{ADAE24CF-834B-5A2E-AE91-AADFE44AA5F2}.pdf</x:t>
  </x:si>
  <x:si>
    <x:t xml:space="preserve">Voto nominal explícito en la sección 4. VOTACIÓN de la minuta oficial. Minuta oficial: https://www.banxico.org.mx/publicaciones-y-prensa/minutas-de-las-decisiones-de-politica-monetaria/{9C238281-DD06-81CE-57B3-C5904A020C22}.pdf</x:t>
  </x:si>
  <x:si>
    <x:t xml:space="preserve">Voto nominal explícito en la sección 4. VOTACIÓN de la minuta oficial. Minuta oficial: https://www.banxico.org.mx/publicaciones-y-prensa/minutas-de-las-decisiones-de-politica-monetaria/{7BEFC36F-BA57-8084-F183-3EDBCEE27958}.pdf</x:t>
  </x:si>
  <x:si>
    <x:t xml:space="preserve">Voto nominal explícito en la sección 4. VOTACIÓN de la minuta oficial. Minuta oficial: https://www.banxico.org.mx/publicaciones-y-prensa/minutas-de-las-decisiones-de-politica-monetaria/{3D041441-5195-710D-6285-49DED93EDFD4}.pdf</x:t>
  </x:si>
  <x:si>
    <x:t xml:space="preserve">Voto nominal explícito en la sección 4. VOTACIÓN de la minuta oficial. Minuta oficial: https://www.banxico.org.mx/publicaciones-y-prensa/minutas-de-las-decisiones-de-politica-monetaria/{22CCE220-F109-B27C-B79F-9E51E62F95C7}.pdf</x:t>
  </x:si>
  <x:si>
    <x:t xml:space="preserve">Voto nominal explícito en la sección 4. VOTACIÓN de la minuta oficial. Minuta oficial: https://www.banxico.org.mx/publicaciones-y-prensa/minutas-de-las-decisiones-de-politica-monetaria/{8D415BB5-F46C-1303-2502-E8F3D51E12E1}.pdf</x:t>
  </x:si>
  <x:si>
    <x:t xml:space="preserve">Voto nominal explícito en la sección 4. VOTACIÓN de la minuta oficial. Minuta oficial: https://www.banxico.org.mx/publicaciones-y-prensa/minutas-de-las-decisiones-de-politica-monetaria/{CC691B89-EC10-6A6F-585B-306CAE99E6E1}.pdf</x:t>
  </x:si>
  <x:si>
    <x:t xml:space="preserve">Voto nominal explícito en la sección 4. VOTACIÓN de la minuta oficial. Minuta oficial: https://www.banxico.org.mx/publicaciones-y-prensa/minutas-de-las-decisiones-de-politica-monetaria/{A1BF3AF9-2E74-EB2D-5687-A52315DCF9CC}.pdf</x:t>
  </x:si>
  <x:si>
    <x:t xml:space="preserve">Voto nominal explícito en la sección 4. VOTACIÓN de la minuta oficial. Minuta oficial: https://www.banxico.org.mx/publicaciones-y-prensa/minutas-de-las-decisiones-de-politica-monetaria/{8472FA9E-8795-8CAA-EE4C-FF5CB60BB2AA}.pdf</x:t>
  </x:si>
  <x:si>
    <x:t xml:space="preserve">Voto nominal explícito en la sección 4. VOTACIÓN de la minuta oficial. Minuta oficial: https://www.banxico.org.mx/publicaciones-y-prensa/minutas-de-las-decisiones-de-politica-monetaria/{E63AB45F-CADE-0B8E-46B0-149666C3AA11}.pdf</x:t>
  </x:si>
  <x:si>
    <x:t xml:space="preserve">Voto nominal explícito en la sección 4. VOTACIÓN de la minuta oficial. Minuta oficial: https://www.banxico.org.mx/publicaciones-y-prensa/minutas-de-las-decisiones-de-politica-monetaria/{33CEDF79-47BE-B13D-7E8C-123097794BCF}.pdf</x:t>
  </x:si>
  <x:si>
    <x:t xml:space="preserve">Voto nominal explícito en la sección 4. VOTACIÓN de la minuta oficial. Minuta oficial: https://www.banxico.org.mx/publicaciones-y-prensa/minutas-de-las-decisiones-de-politica-monetaria/{0875B96D-37BA-B260-BD4D-DB4BAC601648}.pdf</x:t>
  </x:si>
  <x:si>
    <x:t xml:space="preserve">Voto nominal explícito en la sección 4. VOTACIÓN de la minuta oficial. Minuta oficial: https://www.banxico.org.mx/publicaciones-y-prensa/minutas-de-las-decisiones-de-politica-monetaria/{D4C1F630-4ECB-EE4C-1E24-7E2379F14FD6}.pdf</x:t>
  </x:si>
  <x:si>
    <x:t xml:space="preserve">Voto nominal explícito en la sección 4. VOTACIÓN de la minuta oficial. Minuta oficial: https://www.banxico.org.mx/publicaciones-y-prensa/minutas-de-las-decisiones-de-politica-monetaria/{87EDDF27-FB92-A9FE-9FA8-1FE031E8E599}.pdf</x:t>
  </x:si>
  <x:si>
    <x:t xml:space="preserve">Voto nominal explícito en la sección 4. VOTACIÓN de la minuta oficial. Minuta oficial: https://www.banxico.org.mx/publicaciones-y-prensa/minutas-de-las-decisiones-de-politica-monetaria/{1D2B28A3-84A7-F37B-062C-8B401C04376A}.pdf</x:t>
  </x:si>
  <x:si>
    <x:t xml:space="preserve">Voto nominal explícito en la sección 4. VOTACIÓN de la minuta oficial. Minuta oficial: https://www.banxico.org.mx/publicaciones-y-prensa/minutas-de-las-decisiones-de-politica-monetaria/{E49773D0-6A06-2697-567D-3A35EBA1AE9F}.pdf</x:t>
  </x:si>
  <x:si>
    <x:t xml:space="preserve">Voto nominal explícito en la sección 4. VOTACIÓN de la minuta oficial. Minuta oficial: https://www.banxico.org.mx/publicaciones-y-prensa/minutas-de-las-decisiones-de-politica-monetaria/{59D865CD-B1AA-2362-DD9C-FF9032785660}.pdf</x:t>
  </x:si>
  <x:si>
    <x:t xml:space="preserve">Voto nominal explícito en la sección 4. VOTACIÓN de la minuta oficial. Minuta oficial: https://www.banxico.org.mx/publicaciones-y-prensa/minutas-de-las-decisiones-de-politica-monetaria/{AA79300D-4009-E91D-125E-C0A6E52AE8AE}.pdf</x:t>
  </x:si>
  <x:si>
    <x:t xml:space="preserve">Voto nominal explícito en la sección 4. VOTACIÓN de la minuta oficial. Minuta oficial: https://www.banxico.org.mx/publicaciones-y-prensa/minutas-de-las-decisiones-de-politica-monetaria/{FB6D9934-D8CC-D695-0897-940FEA7821D7}.pdf</x:t>
  </x:si>
  <x:si>
    <x:t xml:space="preserve">Voto nominal explícito en la sección 4. VOTACIÓN de la minuta oficial. Minuta oficial: https://www.banxico.org.mx/publicaciones-y-prensa/minutas-de-las-decisiones-de-politica-monetaria/{6C23C599-227C-FE6F-CF3D-37325C858154}.pdf</x:t>
  </x:si>
  <x:si>
    <x:t xml:space="preserve">Voto nominal explícito en la sección 4. VOTACIÓN de la minuta oficial. Minuta oficial: https://www.banxico.org.mx/publicaciones-y-prensa/minutas-de-las-decisiones-de-politica-monetaria/{74DDC4B0-E669-BC27-745E-F453D86608D1}.pdf</x:t>
  </x:si>
  <x:si>
    <x:t xml:space="preserve">Voto nominal explícito en la sección 4. VOTACIÓN de la minuta oficial. Minuta oficial: https://www.banxico.org.mx/publicaciones-y-prensa/minutas-de-las-decisiones-de-politica-monetaria/{35319FC4-DD42-44F0-4E44-02D64FEE7E3B}.pdf</x:t>
  </x:si>
  <x:si>
    <x:t xml:space="preserve">Voto nominal explícito en la sección 4. VOTACIÓN de la minuta oficial. Minuta oficial: https://www.banxico.org.mx/publicaciones-y-prensa/minutas-de-las-decisiones-de-politica-monetaria/{049153FE-C659-2401-B4E7-5F9B58624E0F}.pdf</x:t>
  </x:si>
  <x:si>
    <x:t xml:space="preserve">Voto nominal explícito en la sección 4. VOTACIÓN de la minuta oficial. Minuta oficial: https://www.banxico.org.mx/publicaciones-y-prensa/minutas-de-las-decisiones-de-politica-monetaria/{7C9B1EB3-C147-14B5-6C5C-0D2E24A675BE}.pdf</x:t>
  </x:si>
  <x:si>
    <x:t xml:space="preserve">Voto nominal explícito en la sección 4. VOTACIÓN de la minuta oficial. Minuta oficial: https://www.banxico.org.mx/publicaciones-y-prensa/minutas-de-las-decisiones-de-politica-monetaria/{987C7F1F-C654-471E-1C8A-B18117B4D01D}.pdf</x:t>
  </x:si>
  <x:si>
    <x:t xml:space="preserve">Voto nominal explícito en la sección 4. VOTACIÓN de la minuta oficial. Minuta oficial: https://www.banxico.org.mx/publicaciones-y-prensa/minutas-de-las-decisiones-de-politica-monetaria/{B23AAD19-0964-73D4-B328-8CEB947BF591}.pdf</x:t>
  </x:si>
  <x:si>
    <x:t xml:space="preserve">Voto nominal explícito en la sección 4. VOTACIÓN de la minuta oficial. Minuta oficial: https://www.banxico.org.mx/publicaciones-y-prensa/minutas-de-las-decisiones-de-politica-monetaria/{323D332B-79E3-3925-8182-4E22C8B6BFF6}.pdf</x:t>
  </x:si>
  <x:si>
    <x:t xml:space="preserve">Voto nominal explícito en la sección 4. VOTACIÓN de la minuta oficial. Minuta oficial: https://www.banxico.org.mx/publicaciones-y-prensa/minutas-de-las-decisiones-de-politica-monetaria/{6758749B-0C92-6897-39C9-120D25343FD3}.pdf</x:t>
  </x:si>
  <x:si>
    <x:t xml:space="preserve">Voto nominal explícito en la sección 4. VOTACIÓN de la minuta oficial. Minuta oficial: https://www.banxico.org.mx/publicaciones-y-prensa/minutas-de-las-decisiones-de-politica-monetaria/{4023E0B7-02E0-F6F9-6613-842336ABBAC0}.pdf</x:t>
  </x:si>
  <x:si>
    <x:t xml:space="preserve">Voto nominal explícito en la sección 4. VOTACIÓN de la minuta oficial. Minuta oficial: https://www.banxico.org.mx/publicaciones-y-prensa/minutas-de-las-decisiones-de-politica-monetaria/{718151B0-83F7-7381-35E1-592A83D30E6E}.pdf</x:t>
  </x:si>
  <x:si>
    <x:t xml:space="preserve">Voto nominal explícito en la sección 4. VOTACIÓN de la minuta oficial. Minuta oficial: https://www.banxico.org.mx/publicaciones-y-prensa/minutas-de-las-decisiones-de-politica-monetaria/{F13FD839-189C-CF58-BF54-025B6FFE559F}.pdf</x:t>
  </x:si>
  <x:si>
    <x:t xml:space="preserve">Voto nominal explícito en la sección 4. VOTACIÓN de la minuta oficial. Minuta oficial: https://www.banxico.org.mx/publicaciones-y-prensa/minutas-de-las-decisiones-de-politica-monetaria/{C2F0671D-B457-A331-ADED-F498F00F0385}.pdf</x:t>
  </x:si>
  <x:si>
    <x:t xml:space="preserve">Voto nominal explícito en la sección 4. VOTACIÓN de la minuta oficial. Minuta oficial: https://www.banxico.org.mx/publicaciones-y-prensa/minutas-de-las-decisiones-de-politica-monetaria/{209F9F3A-D49B-51D1-0460-9B3EA1D9EBAB}.pdf</x:t>
  </x:si>
  <x:si>
    <x:t xml:space="preserve">Voto nominal explícito en la sección 4. VOTACIÓN de la minuta oficial. Minuta oficial: https://www.banxico.org.mx/publicaciones-y-prensa/minutas-de-las-decisiones-de-politica-monetaria/{DF53BDC1-88EC-276E-718C-AEC8DE5282B4}.pdf</x:t>
  </x:si>
  <x:si>
    <x:t xml:space="preserve">Voto nominal explícito en la sección 4. VOTACIÓN de la minuta oficial. Minuta oficial: https://www.banxico.org.mx/publicaciones-y-prensa/minutas-de-las-decisiones-de-politica-monetaria/{63101F6B-4E37-521E-45B3-3AB92AD757D2}.pdf</x:t>
  </x:si>
  <x:si>
    <x:t xml:space="preserve">Voto nominal explícito: reducir 25 pb a 9.75%. Minuta oficial: https://www.banxico.org.mx/publicaciones-y-prensa/minutas-de-las-decisiones-de-politica-monetaria/{DFAB243C-74BE-4DFE-CD46-302D844E68EA}.pdf</x:t>
  </x:si>
  <x:si>
    <x:t xml:space="preserve">Voto nominal explícito en la sección 4. VOTACIÓN de la minuta oficial. Minuta oficial: https://www.banxico.org.mx/publicaciones-y-prensa/minutas-de-las-decisiones-de-politica-monetaria/{DFAB243C-74BE-4DFE-CD46-302D844E68EA}.pdf</x:t>
  </x:si>
  <x:si>
    <x:t xml:space="preserve">Voto nominal explícito en la sección 4. VOTACIÓN de la minuta oficial. Minuta oficial: https://www.banxico.org.mx/publicaciones-y-prensa/minutas-de-las-decisiones-de-politica-monetaria/{4AB9F868-2AB8-102D-ED38-1D40F1AD51DF}.pdf</x:t>
  </x:si>
  <x:si>
    <x:t xml:space="preserve">Voto nominal explícito en la sección 4. VOTACIÓN de la minuta oficial. Minuta oficial: https://www.banxico.org.mx/publicaciones-y-prensa/minutas-de-las-decisiones-de-politica-monetaria/{095C9D00-95A9-1AB7-2E95-61F66587B73B}.pdf</x:t>
  </x:si>
  <x:si>
    <x:t xml:space="preserve">Voto nominal explícito en la sección 4. VOTACIÓN de la minuta oficial. Minuta oficial: https://www.banxico.org.mx/publicaciones-y-prensa/minutas-de-las-decisiones-de-politica-monetaria/{A354B917-F0F6-E4BE-CA35-B1F77AC37840}.pdf</x:t>
  </x:si>
  <x:si>
    <x:t xml:space="preserve">Voto nominal explícito en la sección 4. VOTACIÓN de la minuta oficial. Minuta oficial: https://www.banxico.org.mx/publicaciones-y-prensa/minutas-de-las-decisiones-de-politica-monetaria/{93076C6E-4055-680E-9986-389D0B64F5E7}.pdf</x:t>
  </x:si>
  <x:si>
    <x:t xml:space="preserve">Voto nominal explícito en la sección 4. VOTACIÓN de la minuta oficial. Minuta oficial: https://www.banxico.org.mx/publicaciones-y-prensa/minutas-de-las-decisiones-de-politica-monetaria/{51E24FD1-CEA3-EEDA-ECB3-B6BFDC8B6671}.pdf</x:t>
  </x:si>
  <x:si>
    <x:t xml:space="preserve">Voto nominal explícito en la sección 4. VOTACIÓN de la minuta oficial. Minuta oficial: https://www.banxico.org.mx/publicaciones-y-prensa/minutas-de-las-decisiones-de-politica-monetaria/{7EFA29F5-D827-0AA7-5D7A-55C06B82161A}.pdf</x:t>
  </x:si>
  <x:si>
    <x:t xml:space="preserve">Voto nominal explícito en la sección 4. VOTACIÓN de la minuta oficial. Minuta oficial: https://www.banxico.org.mx/publicaciones-y-prensa/minutas-de-las-decisiones-de-politica-monetaria/{8017E12E-03DE-78EB-C26E-680454144343}.pdf</x:t>
  </x:si>
  <x:si>
    <x:t xml:space="preserve">Voto nominal explícito en la sección 4. VOTACIÓN de la minuta oficial. Minuta oficial: https://www.banxico.org.mx/publicaciones-y-prensa/minutas-de-las-decisiones-de-politica-monetaria/{5701F165-479A-EF00-AFC5-8D2BA594692E}.pdf</x:t>
  </x:si>
  <x:si>
    <x:t xml:space="preserve">Voto nominal explícito en la sección 4. VOTACIÓN de la minuta oficial. Minuta oficial: https://www.banxico.org.mx/publicaciones-y-prensa/minutas-de-las-decisiones-de-politica-monetaria/{FAC24258-9128-F1BD-D497-6225C392ED52}.pdf</x:t>
  </x:si>
  <x:si>
    <x:t xml:space="preserve">Voto nominal explícito en la sección 4. VOTACIÓN de la minuta oficial. Minuta oficial: https://www.banxico.org.mx/publicaciones-y-prensa/minutas-de-las-decisiones-de-politica-monetaria/{3F15F7F1-3E5A-4FD4-E0C0-B4BEA1703FAF}.pdf</x:t>
  </x:si>
  <x:si>
    <x:t xml:space="preserve">Voto nominal explícito en la sección 4. VOTACIÓN de la minuta oficial. Minuta oficial: https://www.banxico.org.mx/publicaciones-y-prensa/minutas-de-las-decisiones-de-politica-monetaria/{34C74125-16AD-2F94-0E20-DB9349E8AB97}.pdf</x:t>
  </x:si>
  <x:si>
    <x:t xml:space="preserve">Nombre</x:t>
  </x:si>
  <x:si>
    <x:t xml:space="preserve">P001</x:t>
  </x:si>
  <x:si>
    <x:t xml:space="preserve">Miguel Mancera Aguayo</x:t>
  </x:si>
  <x:si>
    <x:t xml:space="preserve">P002</x:t>
  </x:si>
  <x:si>
    <x:t xml:space="preserve">Ariel Buira Seira</x:t>
  </x:si>
  <x:si>
    <x:t xml:space="preserve">P003</x:t>
  </x:si>
  <x:si>
    <x:t xml:space="preserve">Francisco Gil Díaz</x:t>
  </x:si>
  <x:si>
    <x:t xml:space="preserve">P004</x:t>
  </x:si>
  <x:si>
    <x:t xml:space="preserve">Guillermo Güémez García</x:t>
  </x:si>
  <x:si>
    <x:t xml:space="preserve">P005</x:t>
  </x:si>
  <x:si>
    <x:t xml:space="preserve">Jesús Marcos Yacamán</x:t>
  </x:si>
  <x:si>
    <x:t xml:space="preserve">P006</x:t>
  </x:si>
  <x:si>
    <x:t xml:space="preserve">José Julián Sidaoui Dib</x:t>
  </x:si>
  <x:si>
    <x:t xml:space="preserve">P007</x:t>
  </x:si>
  <x:si>
    <x:t xml:space="preserve">Everardo Elizondo Almaguer</x:t>
  </x:si>
  <x:si>
    <x:t xml:space="preserve">P008</x:t>
  </x:si>
  <x:si>
    <x:t xml:space="preserve">Guillermo Ortiz Martínez</x:t>
  </x:si>
  <x:si>
    <x:t xml:space="preserve">Roberto del Cueto Legaspi</x:t>
  </x:si>
  <x:si>
    <x:t xml:space="preserve">P010</x:t>
  </x:si>
  <x:si>
    <x:t xml:space="preserve">Manuel Sánchez González</x:t>
  </x:si>
  <x:si>
    <x:t xml:space="preserve">P011</x:t>
  </x:si>
  <x:si>
    <x:t xml:space="preserve">Agustín Carstens Carstens</x:t>
  </x:si>
  <x:si>
    <x:t xml:space="preserve">Manuel Ramos Francia</x:t>
  </x:si>
  <x:si>
    <x:t xml:space="preserve">Javier Eduardo Guzmán Calafell</x:t>
  </x:si>
  <x:si>
    <x:t xml:space="preserve">Alejandro Díaz de León Carrillo</x:t>
  </x:si>
  <x:si>
    <x:t xml:space="preserve">Irene Espinosa Cantellano</x:t>
  </x:si>
  <x:si>
    <x:t xml:space="preserve">Gerardo Esquivel Hernández</x:t>
  </x:si>
  <x:si>
    <x:t xml:space="preserve">Jonathan Heath Constable</x:t>
  </x:si>
  <x:si>
    <x:t xml:space="preserve">Galia Borja Gómez</x:t>
  </x:si>
  <x:si>
    <x:t xml:space="preserve">Victoria Rodríguez Ceja</x:t>
  </x:si>
  <x:si>
    <x:t xml:space="preserve">Omar Mejía Castelazo</x:t>
  </x:si>
  <x:si>
    <x:t xml:space="preserve">José Gabriel Cuadra García</x:t>
  </x:si>
  <x:si>
    <x:t xml:space="preserve">P022</x:t>
  </x:si>
  <x:si>
    <x:t xml:space="preserve">Eduardo Fernández García</x:t>
  </x:si>
  <x:si>
    <x:t xml:space="preserve">P023</x:t>
  </x:si>
  <x:si>
    <x:t xml:space="preserve">Carlos Ruiz Sacristán</x:t>
  </x:si>
  <x:si>
    <x:t xml:space="preserve">P024</x:t>
  </x:si>
  <x:si>
    <x:t xml:space="preserve">Alonso García Tamés</x:t>
  </x:si>
  <x:si>
    <x:t xml:space="preserve">P025</x:t>
  </x:si>
  <x:si>
    <x:t xml:space="preserve">Gerardo Rodríguez Regordosa</x:t>
  </x:si>
  <x:si>
    <x:t xml:space="preserve">P026</x:t>
  </x:si>
  <x:si>
    <x:t xml:space="preserve">José Antonio Meade Kuribreña</x:t>
  </x:si>
  <x:si>
    <x:t xml:space="preserve">P027</x:t>
  </x:si>
  <x:si>
    <x:t xml:space="preserve">Lorenza Martínez Trigueros</x:t>
  </x:si>
  <x:si>
    <x:t xml:space="preserve">P028</x:t>
  </x:si>
  <x:si>
    <x:t xml:space="preserve">Miguel Messmacher Linartas</x:t>
  </x:si>
  <x:si>
    <x:t xml:space="preserve">P029</x:t>
  </x:si>
  <x:si>
    <x:t xml:space="preserve">Luis Videgaray Caso</x:t>
  </x:si>
  <x:si>
    <x:t xml:space="preserve">Tipo</x:t>
  </x:si>
  <x:si>
    <x:t xml:space="preserve">Detalle</x:t>
  </x:si>
  <x:si>
    <x:t xml:space="preserve">Severidad</x:t>
  </x:si>
  <x:si>
    <x:t xml:space="preserve">Control de nombramientos no ejecutable</x:t>
  </x:si>
  <x:si>
    <x:t xml:space="preserve">La tabla proporcionada contiene Persona_ID y nombres, pero no fechas de inicio/fin de nombramiento. No se infirieron periodos.</x:t>
  </x:si>
  <x:si>
    <x:t xml:space="preserve">Limitación</x:t>
  </x:si>
  <x:si>
    <x:t xml:space="preserve">Radar BM · Cobertura del Libro Maestro</x:t>
  </x:si>
  <x:si>
    <x:t xml:space="preserve">Indicador</x:t>
  </x:si>
  <x:si>
    <x:t xml:space="preserve">Valor</x:t>
  </x:si>
  <x:si>
    <x:t xml:space="preserve">Primera decisión</x:t>
  </x:si>
  <x:si>
    <x:t xml:space="preserve">Última decisión</x:t>
  </x:si>
  <x:si>
    <x:t xml:space="preserve">Total de decisiones</x:t>
  </x:si>
  <x:si>
    <x:t xml:space="preserve">Reuniones ordinarias</x:t>
  </x:si>
  <x:si>
    <x:t xml:space="preserve">Reuniones extraordinarias</x:t>
  </x:si>
  <x:si>
    <x:t xml:space="preserve">Decisiones unánimes</x:t>
  </x:si>
  <x:si>
    <x:t xml:space="preserve">Decisiones con disenso</x:t>
  </x:si>
  <x:si>
    <x:t xml:space="preserve">Resultado no disponible</x:t>
  </x:si>
  <x:si>
    <x:t xml:space="preserve">Votos públicos</x:t>
  </x:si>
  <x:si>
    <x:t xml:space="preserve">Votos parciales</x:t>
  </x:si>
  <x:si>
    <x:t xml:space="preserve">Votos anónimos</x:t>
  </x:si>
  <x:si>
    <x:t xml:space="preserve">Fuentes oficiales y criterio</x:t>
  </x:si>
  <x:si>
    <x:t xml:space="preserve">https://www.banxico.org.mx/publicaciones-y-prensa/anuncios-de-las-decisiones-de-politica-monetaria/anuncios-politica-monetaria-t.html</x:t>
  </x:si>
  <x:si>
    <x:t xml:space="preserve">https://www.banxico.org.mx/publicaciones-y-prensa/minutas-de-las-decisiones-de-politica-monetaria/minutas-politica-monetaria-ta.html</x:t>
  </x:si>
  <x:si>
    <x:t xml:space="preserve">No se almacenan copias documentales; se conservan únicamente URL oficiales. Los vacíos históricos permanecen como No disponible.</x:t>
  </x:si>
  <x:si>
    <x:t xml:space="preserve">Radar BM · Explorador analítico de decisiones</x:t>
  </x:si>
  <x:si>
    <x:t xml:space="preserve">Decision_ID interno</x:t>
  </x:si>
  <x:si>
    <x:t xml:space="preserve">Reserva</x:t>
  </x:si>
  <x:si>
    <x:t xml:space="preserve">Decision_ID lista</x:t>
  </x:si>
  <x:si>
    <x:t xml:space="preserve">Fecha selector</x:t>
  </x:si>
  <x:si>
    <x:t xml:space="preserve">Fecha seleccionada</x:t>
  </x:si>
  <x:si>
    <x:t xml:space="preserve">◀ Anterior</x:t>
  </x:si>
  <x:si>
    <x:t xml:space="preserve">Siguiente ▶</x:t>
  </x:si>
  <x:si>
    <x:t xml:space="preserve">Use el selector amarillo. Toda la interfaz muestra fechas; los identificadores técnicos se conservan únicamente como referencias internas.</x:t>
  </x:si>
  <x:si>
    <x:t xml:space="preserve">Resumen de la decisión seleccionada</x:t>
  </x:si>
  <x:si>
    <x:t xml:space="preserve">Fecha</x:t>
  </x:si>
  <x:si>
    <x:t xml:space="preserve">Tipo de reunión</x:t>
  </x:si>
  <x:si>
    <x:t xml:space="preserve">Tasa anterior</x:t>
  </x:si>
  <x:si>
    <x:t xml:space="preserve">Movimiento (pb)</x:t>
  </x:si>
  <x:si>
    <x:t xml:space="preserve">Nueva tasa</x:t>
  </x:si>
  <x:si>
    <x:t xml:space="preserve">Dirección</x:t>
  </x:si>
  <x:si>
    <x:t xml:space="preserve">¿Fue unánime?</x:t>
  </x:si>
  <x:si>
    <x:t xml:space="preserve">Número de disensos</x:t>
  </x:si>
  <x:si>
    <x:t xml:space="preserve">Contexto histórico · cinco decisiones anteriores y cinco posteriores</x:t>
  </x:si>
  <x:si>
    <x:t xml:space="preserve">Tasa</x:t>
  </x:si>
  <x:si>
    <x:t xml:space="preserve">Movimiento</x:t>
  </x:si>
  <x:si>
    <x:t xml:space="preserve">Integrante</x:t>
  </x:si>
  <x:si>
    <x:t xml:space="preserve">● consenso   ▲ disenso restrictivo   ▼ disenso acomodaticio   ○ presente sin voto identificable   — fuera de la Junta   ✕ ausencia documentada   ? no verificable</x:t>
  </x:si>
  <x:si>
    <x:t xml:space="preserve">Estadísticas de votación hasta la decisión seleccionada</x:t>
  </x:si>
  <x:si>
    <x:t xml:space="preserve">Votos válidos</x:t>
  </x:si>
  <x:si>
    <x:t xml:space="preserve">% Disenso</x:t>
  </x:si>
  <x:si>
    <x:t xml:space="preserve">% Disenso restrictivo</x:t>
  </x:si>
  <x:si>
    <x:t xml:space="preserve">% Disenso acomodaticio</x:t>
  </x:si>
  <x:si>
    <x:t xml:space="preserve">Votos válidos (12m)</x:t>
  </x:si>
  <x:si>
    <x:t xml:space="preserve">% Disenso (12m)</x:t>
  </x:si>
  <x:si>
    <x:t xml:space="preserve">% Disenso restrictivo (12m)</x:t>
  </x:si>
  <x:si>
    <x:t xml:space="preserve">% Disenso acomodaticio (12m)</x:t>
  </x:si>
  <x:si>
    <x:t xml:space="preserve">Disensos</x:t>
  </x:si>
  <x:si>
    <x:t xml:space="preserve">Persona_1</x:t>
  </x:si>
  <x:si>
    <x:t xml:space="preserve">Persona_2</x:t>
  </x:si>
  <x:si>
    <x:t xml:space="preserve">Persona_3</x:t>
  </x:si>
  <x:si>
    <x:t xml:space="preserve">Persona_4</x:t>
  </x:si>
  <x:si>
    <x:t xml:space="preserve">Persona_5</x:t>
  </x:si>
  <x:si>
    <x:t xml:space="preserve">Persona_6</x:t>
  </x:si>
  <x:si>
    <x:t xml:space="preserve">Persona_7</x:t>
  </x:si>
  <x:si>
    <x:t xml:space="preserve">Persona_8</x:t>
  </x:si>
  <x:si>
    <x:t xml:space="preserve">Persona_9</x:t>
  </x:si>
  <x:si>
    <x:t xml:space="preserve">Persona_10</x:t>
  </x:si>
  <x:si>
    <x:t xml:space="preserve">Radar BM · Explorador de integrantes</x:t>
  </x:si>
  <x:si>
    <x:t xml:space="preserve">Persona_ID interno</x:t>
  </x:si>
  <x:si>
    <x:t xml:space="preserve">Nombres</x:t>
  </x:si>
  <x:si>
    <x:t xml:space="preserve">Fechas</x:t>
  </x:si>
  <x:si>
    <x:t xml:space="preserve">Dato_1</x:t>
  </x:si>
  <x:si>
    <x:t xml:space="preserve">Dato_2</x:t>
  </x:si>
  <x:si>
    <x:t xml:space="preserve">Dato_3</x:t>
  </x:si>
  <x:si>
    <x:t xml:space="preserve">Dato_4</x:t>
  </x:si>
  <x:si>
    <x:t xml:space="preserve">Dato_5</x:t>
  </x:si>
  <x:si>
    <x:t xml:space="preserve">Dato_6</x:t>
  </x:si>
  <x:si>
    <x:t xml:space="preserve">Dato_7</x:t>
  </x:si>
  <x:si>
    <x:t xml:space="preserve">Dato_8</x:t>
  </x:si>
  <x:si>
    <x:t xml:space="preserve">Dato_9</x:t>
  </x:si>
  <x:si>
    <x:t xml:space="preserve">Dato_10</x:t>
  </x:si>
  <x:si>
    <x:t xml:space="preserve">Dato_11</x:t>
  </x:si>
  <x:si>
    <x:t xml:space="preserve">Dato_12</x:t>
  </x:si>
  <x:si>
    <x:t xml:space="preserve">Dato_13</x:t>
  </x:si>
  <x:si>
    <x:t xml:space="preserve">Dato_14</x:t>
  </x:si>
  <x:si>
    <x:t xml:space="preserve">Dato_15</x:t>
  </x:si>
  <x:si>
    <x:t xml:space="preserve">Dato_16</x:t>
  </x:si>
  <x:si>
    <x:t xml:space="preserve">Dato_17</x:t>
  </x:si>
  <x:si>
    <x:t xml:space="preserve">Dato_18</x:t>
  </x:si>
  <x:si>
    <x:t xml:space="preserve">Dato_19</x:t>
  </x:si>
  <x:si>
    <x:t xml:space="preserve">Dato_20</x:t>
  </x:si>
  <x:si>
    <x:t xml:space="preserve">Dato_21</x:t>
  </x:si>
  <x:si>
    <x:t xml:space="preserve">Dato_22</x:t>
  </x:si>
  <x:si>
    <x:t xml:space="preserve">Dato_23</x:t>
  </x:si>
  <x:si>
    <x:t xml:space="preserve">Dato_24</x:t>
  </x:si>
  <x:si>
    <x:t xml:space="preserve">Dato_25</x:t>
  </x:si>
  <x:si>
    <x:t xml:space="preserve">Dato_26</x:t>
  </x:si>
  <x:si>
    <x:t xml:space="preserve">Dato_27</x:t>
  </x:si>
  <x:si>
    <x:t xml:space="preserve">Dato_28</x:t>
  </x:si>
  <x:si>
    <x:t xml:space="preserve">Dato_29</x:t>
  </x:si>
  <x:si>
    <x:t xml:space="preserve">Dato_30</x:t>
  </x:si>
  <x:si>
    <x:t xml:space="preserve">Dato_31</x:t>
  </x:si>
  <x:si>
    <x:t xml:space="preserve">Dato_32</x:t>
  </x:si>
  <x:si>
    <x:t xml:space="preserve">Dato_33</x:t>
  </x:si>
  <x:si>
    <x:t xml:space="preserve">Dato_34</x:t>
  </x:si>
  <x:si>
    <x:t xml:space="preserve">Dato_35</x:t>
  </x:si>
  <x:si>
    <x:t xml:space="preserve">Dato_36</x:t>
  </x:si>
  <x:si>
    <x:t xml:space="preserve">Dato_37</x:t>
  </x:si>
  <x:si>
    <x:t xml:space="preserve">Dato_38</x:t>
  </x:si>
  <x:si>
    <x:t xml:space="preserve">Dato_39</x:t>
  </x:si>
  <x:si>
    <x:t xml:space="preserve">Dato_40</x:t>
  </x:si>
  <x:si>
    <x:t xml:space="preserve">Dato_41</x:t>
  </x:si>
  <x:si>
    <x:t xml:space="preserve">Dato_42</x:t>
  </x:si>
  <x:si>
    <x:t xml:space="preserve">Dato_43</x:t>
  </x:si>
  <x:si>
    <x:t xml:space="preserve">Dato_44</x:t>
  </x:si>
  <x:si>
    <x:t xml:space="preserve">Dato_45</x:t>
  </x:si>
  <x:si>
    <x:t xml:space="preserve">Dato_46</x:t>
  </x:si>
  <x:si>
    <x:t xml:space="preserve">Dato_47</x:t>
  </x:si>
  <x:si>
    <x:t xml:space="preserve">Dato_48</x:t>
  </x:si>
  <x:si>
    <x:t xml:space="preserve">Dato_49</x:t>
  </x:si>
  <x:si>
    <x:t xml:space="preserve">Dato_50</x:t>
  </x:si>
  <x:si>
    <x:t xml:space="preserve">Dato_51</x:t>
  </x:si>
  <x:si>
    <x:t xml:space="preserve">Dato_52</x:t>
  </x:si>
  <x:si>
    <x:t xml:space="preserve">Dato_53</x:t>
  </x:si>
  <x:si>
    <x:t xml:space="preserve">Dato_54</x:t>
  </x:si>
  <x:si>
    <x:t xml:space="preserve">Dato_55</x:t>
  </x:si>
  <x:si>
    <x:t xml:space="preserve">Dato_56</x:t>
  </x:si>
  <x:si>
    <x:t xml:space="preserve">Dato_57</x:t>
  </x:si>
  <x:si>
    <x:t xml:space="preserve">Dato_58</x:t>
  </x:si>
  <x:si>
    <x:t xml:space="preserve">Dato_59</x:t>
  </x:si>
  <x:si>
    <x:t xml:space="preserve">Dato_60</x:t>
  </x:si>
  <x:si>
    <x:t xml:space="preserve">Dato_61</x:t>
  </x:si>
  <x:si>
    <x:t xml:space="preserve">Dato_62</x:t>
  </x:si>
  <x:si>
    <x:t xml:space="preserve">Dato_63</x:t>
  </x:si>
  <x:si>
    <x:t xml:space="preserve">Dato_64</x:t>
  </x:si>
  <x:si>
    <x:t xml:space="preserve">Dato_65</x:t>
  </x:si>
  <x:si>
    <x:t xml:space="preserve">Dato_66</x:t>
  </x:si>
  <x:si>
    <x:t xml:space="preserve">Dato_67</x:t>
  </x:si>
  <x:si>
    <x:t xml:space="preserve">Dato_68</x:t>
  </x:si>
  <x:si>
    <x:t xml:space="preserve">Dato_69</x:t>
  </x:si>
  <x:si>
    <x:t xml:space="preserve">Dato_70</x:t>
  </x:si>
  <x:si>
    <x:t xml:space="preserve">ID_1</x:t>
  </x:si>
  <x:si>
    <x:t xml:space="preserve">ID_2</x:t>
  </x:si>
  <x:si>
    <x:t xml:space="preserve">ID_3</x:t>
  </x:si>
  <x:si>
    <x:t xml:space="preserve">ID_4</x:t>
  </x:si>
  <x:si>
    <x:t xml:space="preserve">ID_5</x:t>
  </x:si>
  <x:si>
    <x:t xml:space="preserve">ID_6</x:t>
  </x:si>
  <x:si>
    <x:t xml:space="preserve">ID_7</x:t>
  </x:si>
  <x:si>
    <x:t xml:space="preserve">ID_8</x:t>
  </x:si>
  <x:si>
    <x:t xml:space="preserve">ID_9</x:t>
  </x:si>
  <x:si>
    <x:t xml:space="preserve">ID_10</x:t>
  </x:si>
  <x:si>
    <x:t xml:space="preserve">ID_11</x:t>
  </x:si>
  <x:si>
    <x:t xml:space="preserve">ID_12</x:t>
  </x:si>
  <x:si>
    <x:t xml:space="preserve">ID_13</x:t>
  </x:si>
  <x:si>
    <x:t xml:space="preserve">ID_14</x:t>
  </x:si>
  <x:si>
    <x:t xml:space="preserve">ID_15</x:t>
  </x:si>
  <x:si>
    <x:t xml:space="preserve">ID_16</x:t>
  </x:si>
  <x:si>
    <x:t xml:space="preserve">ID_17</x:t>
  </x:si>
  <x:si>
    <x:t xml:space="preserve">ID_18</x:t>
  </x:si>
  <x:si>
    <x:t xml:space="preserve">ID_19</x:t>
  </x:si>
  <x:si>
    <x:t xml:space="preserve">ID_20</x:t>
  </x:si>
  <x:si>
    <x:t xml:space="preserve">ID_21</x:t>
  </x:si>
  <x:si>
    <x:t xml:space="preserve">ID_22</x:t>
  </x:si>
  <x:si>
    <x:t xml:space="preserve">ID_23</x:t>
  </x:si>
  <x:si>
    <x:t xml:space="preserve">ID_24</x:t>
  </x:si>
  <x:si>
    <x:t xml:space="preserve">ID_25</x:t>
  </x:si>
  <x:si>
    <x:t xml:space="preserve">ID_26</x:t>
  </x:si>
  <x:si>
    <x:t xml:space="preserve">ID_27</x:t>
  </x:si>
  <x:si>
    <x:t xml:space="preserve">ID_28</x:t>
  </x:si>
  <x:si>
    <x:t xml:space="preserve">ID_29</x:t>
  </x:si>
  <x:si>
    <x:t xml:space="preserve">ID_30</x:t>
  </x:si>
  <x:si>
    <x:t xml:space="preserve">ID_31</x:t>
  </x:si>
  <x:si>
    <x:t xml:space="preserve">ID_32</x:t>
  </x:si>
  <x:si>
    <x:t xml:space="preserve">ID_33</x:t>
  </x:si>
  <x:si>
    <x:t xml:space="preserve">ID_34</x:t>
  </x:si>
  <x:si>
    <x:t xml:space="preserve">ID_35</x:t>
  </x:si>
  <x:si>
    <x:t xml:space="preserve">ID_36</x:t>
  </x:si>
  <x:si>
    <x:t xml:space="preserve">ID_37</x:t>
  </x:si>
  <x:si>
    <x:t xml:space="preserve">ID_38</x:t>
  </x:si>
  <x:si>
    <x:t xml:space="preserve">ID_39</x:t>
  </x:si>
  <x:si>
    <x:t xml:space="preserve">ID_40</x:t>
  </x:si>
  <x:si>
    <x:t xml:space="preserve">ID_41</x:t>
  </x:si>
  <x:si>
    <x:t xml:space="preserve">ID_42</x:t>
  </x:si>
  <x:si>
    <x:t xml:space="preserve">ID_43</x:t>
  </x:si>
  <x:si>
    <x:t xml:space="preserve">ID_44</x:t>
  </x:si>
  <x:si>
    <x:t xml:space="preserve">ID_45</x:t>
  </x:si>
  <x:si>
    <x:t xml:space="preserve">ID_46</x:t>
  </x:si>
  <x:si>
    <x:t xml:space="preserve">ID_47</x:t>
  </x:si>
  <x:si>
    <x:t xml:space="preserve">ID_48</x:t>
  </x:si>
  <x:si>
    <x:t xml:space="preserve">ID_49</x:t>
  </x:si>
  <x:si>
    <x:t xml:space="preserve">ID_50</x:t>
  </x:si>
  <x:si>
    <x:t xml:space="preserve">ID_51</x:t>
  </x:si>
  <x:si>
    <x:t xml:space="preserve">ID_52</x:t>
  </x:si>
  <x:si>
    <x:t xml:space="preserve">ID_53</x:t>
  </x:si>
  <x:si>
    <x:t xml:space="preserve">ID_54</x:t>
  </x:si>
  <x:si>
    <x:t xml:space="preserve">ID_55</x:t>
  </x:si>
  <x:si>
    <x:t xml:space="preserve">ID_56</x:t>
  </x:si>
  <x:si>
    <x:t xml:space="preserve">ID_57</x:t>
  </x:si>
  <x:si>
    <x:t xml:space="preserve">ID_58</x:t>
  </x:si>
  <x:si>
    <x:t xml:space="preserve">ID_59</x:t>
  </x:si>
  <x:si>
    <x:t xml:space="preserve">ID_60</x:t>
  </x:si>
  <x:si>
    <x:t xml:space="preserve">ID_61</x:t>
  </x:si>
  <x:si>
    <x:t xml:space="preserve">ID_62</x:t>
  </x:si>
  <x:si>
    <x:t xml:space="preserve">ID_63</x:t>
  </x:si>
  <x:si>
    <x:t xml:space="preserve">ID_64</x:t>
  </x:si>
  <x:si>
    <x:t xml:space="preserve">ID_65</x:t>
  </x:si>
  <x:si>
    <x:t xml:space="preserve">ID_66</x:t>
  </x:si>
  <x:si>
    <x:t xml:space="preserve">ID_67</x:t>
  </x:si>
  <x:si>
    <x:t xml:space="preserve">ID_68</x:t>
  </x:si>
  <x:si>
    <x:t xml:space="preserve">ID_69</x:t>
  </x:si>
  <x:si>
    <x:t xml:space="preserve">ID_70</x:t>
  </x:si>
  <x:si>
    <x:t xml:space="preserve">Fecha_1</x:t>
  </x:si>
  <x:si>
    <x:t xml:space="preserve">Fecha_2</x:t>
  </x:si>
  <x:si>
    <x:t xml:space="preserve">Fecha_3</x:t>
  </x:si>
  <x:si>
    <x:t xml:space="preserve">Fecha_4</x:t>
  </x:si>
  <x:si>
    <x:t xml:space="preserve">Fecha_5</x:t>
  </x:si>
  <x:si>
    <x:t xml:space="preserve">Fecha_6</x:t>
  </x:si>
  <x:si>
    <x:t xml:space="preserve">Fecha_7</x:t>
  </x:si>
  <x:si>
    <x:t xml:space="preserve">Fecha_8</x:t>
  </x:si>
  <x:si>
    <x:t xml:space="preserve">Fecha_9</x:t>
  </x:si>
  <x:si>
    <x:t xml:space="preserve">Fecha_10</x:t>
  </x:si>
  <x:si>
    <x:t xml:space="preserve">Fecha_11</x:t>
  </x:si>
  <x:si>
    <x:t xml:space="preserve">Fecha_12</x:t>
  </x:si>
  <x:si>
    <x:t xml:space="preserve">Fecha_13</x:t>
  </x:si>
  <x:si>
    <x:t xml:space="preserve">Fecha_14</x:t>
  </x:si>
  <x:si>
    <x:t xml:space="preserve">Fecha_15</x:t>
  </x:si>
  <x:si>
    <x:t xml:space="preserve">Fecha_16</x:t>
  </x:si>
  <x:si>
    <x:t xml:space="preserve">Fecha_17</x:t>
  </x:si>
  <x:si>
    <x:t xml:space="preserve">Fecha_18</x:t>
  </x:si>
  <x:si>
    <x:t xml:space="preserve">Fecha_19</x:t>
  </x:si>
  <x:si>
    <x:t xml:space="preserve">Fecha_20</x:t>
  </x:si>
  <x:si>
    <x:t xml:space="preserve">Fecha_21</x:t>
  </x:si>
  <x:si>
    <x:t xml:space="preserve">Fecha_22</x:t>
  </x:si>
  <x:si>
    <x:t xml:space="preserve">Fecha_23</x:t>
  </x:si>
  <x:si>
    <x:t xml:space="preserve">Fecha_24</x:t>
  </x:si>
  <x:si>
    <x:t xml:space="preserve">Inicio</x:t>
  </x:si>
  <x:si>
    <x:t xml:space="preserve">Fin</x:t>
  </x:si>
  <x:si>
    <x:t xml:space="preserve">Fecha_28</x:t>
  </x:si>
  <x:si>
    <x:t xml:space="preserve">Fecha_29</x:t>
  </x:si>
  <x:si>
    <x:t xml:space="preserve">Fecha_30</x:t>
  </x:si>
  <x:si>
    <x:t xml:space="preserve">Fecha_31</x:t>
  </x:si>
  <x:si>
    <x:t xml:space="preserve">Fecha_32</x:t>
  </x:si>
  <x:si>
    <x:t xml:space="preserve">Fecha_33</x:t>
  </x:si>
  <x:si>
    <x:t xml:space="preserve">Fecha_34</x:t>
  </x:si>
  <x:si>
    <x:t xml:space="preserve">Fecha_35</x:t>
  </x:si>
  <x:si>
    <x:t xml:space="preserve">Fecha_36</x:t>
  </x:si>
  <x:si>
    <x:t xml:space="preserve">Fecha_37</x:t>
  </x:si>
  <x:si>
    <x:t xml:space="preserve">Fecha_38</x:t>
  </x:si>
  <x:si>
    <x:t xml:space="preserve">Fecha_39</x:t>
  </x:si>
  <x:si>
    <x:t xml:space="preserve">Fecha_40</x:t>
  </x:si>
  <x:si>
    <x:t xml:space="preserve">Fecha_41</x:t>
  </x:si>
  <x:si>
    <x:t xml:space="preserve">Fecha_42</x:t>
  </x:si>
  <x:si>
    <x:t xml:space="preserve">Fecha_43</x:t>
  </x:si>
  <x:si>
    <x:t xml:space="preserve">Fecha_44</x:t>
  </x:si>
  <x:si>
    <x:t xml:space="preserve">Fecha_45</x:t>
  </x:si>
  <x:si>
    <x:t xml:space="preserve">Fecha_46</x:t>
  </x:si>
  <x:si>
    <x:t xml:space="preserve">Fecha_47</x:t>
  </x:si>
  <x:si>
    <x:t xml:space="preserve">Fecha_48</x:t>
  </x:si>
  <x:si>
    <x:t xml:space="preserve">Fecha_49</x:t>
  </x:si>
  <x:si>
    <x:t xml:space="preserve">Fecha_50</x:t>
  </x:si>
  <x:si>
    <x:t xml:space="preserve">Fecha_51</x:t>
  </x:si>
  <x:si>
    <x:t xml:space="preserve">Fecha_52</x:t>
  </x:si>
  <x:si>
    <x:t xml:space="preserve">Fecha_53</x:t>
  </x:si>
  <x:si>
    <x:t xml:space="preserve">Fecha_54</x:t>
  </x:si>
  <x:si>
    <x:t xml:space="preserve">Fecha_55</x:t>
  </x:si>
  <x:si>
    <x:t xml:space="preserve">Fecha_56</x:t>
  </x:si>
  <x:si>
    <x:t xml:space="preserve">Fecha_57</x:t>
  </x:si>
  <x:si>
    <x:t xml:space="preserve">Fecha_58</x:t>
  </x:si>
  <x:si>
    <x:t xml:space="preserve">Fecha_59</x:t>
  </x:si>
  <x:si>
    <x:t xml:space="preserve">Fecha_60</x:t>
  </x:si>
  <x:si>
    <x:t xml:space="preserve">Fecha_61</x:t>
  </x:si>
  <x:si>
    <x:t xml:space="preserve">Fecha_62</x:t>
  </x:si>
  <x:si>
    <x:t xml:space="preserve">Fecha_63</x:t>
  </x:si>
  <x:si>
    <x:t xml:space="preserve">Fecha_64</x:t>
  </x:si>
  <x:si>
    <x:t xml:space="preserve">Fecha_65</x:t>
  </x:si>
  <x:si>
    <x:t xml:space="preserve">Fecha_66</x:t>
  </x:si>
  <x:si>
    <x:t xml:space="preserve">Fecha_67</x:t>
  </x:si>
  <x:si>
    <x:t xml:space="preserve">Fecha_68</x:t>
  </x:si>
  <x:si>
    <x:t xml:space="preserve">Fecha_69</x:t>
  </x:si>
  <x:si>
    <x:t xml:space="preserve">Fecha_70</x:t>
  </x:si>
  <x:si>
    <x:t xml:space="preserve">◀ decisión anterior</x:t>
  </x:si>
  <x:si>
    <x:t xml:space="preserve">Fecha activa</x:t>
  </x:si>
  <x:si>
    <x:t xml:space="preserve">decisión siguiente ▶</x:t>
  </x:si>
  <x:si>
    <x:t xml:space="preserve">Contexto temporal del integrante</x:t>
  </x:si>
  <x:si>
    <x:t xml:space="preserve">La fecha pertenece al historial del integrante seleccionado</x:t>
  </x:si>
  <x:si>
    <x:t xml:space="preserve">Los gráficos, la tabla y las estadísticas responden al integrante y a la fecha activa. Los identificadores técnicos permanecen ocultos.</x:t>
  </x:si>
  <x:si>
    <x:t xml:space="preserve">Periodo en la Junta</x:t>
  </x:si>
  <x:si>
    <x:t xml:space="preserve">Periodo analizado</x:t>
  </x:si>
  <x:si>
    <x:t xml:space="preserve">Disensos del integrante hasta la fecha activa</x:t>
  </x:si>
  <x:si>
    <x:t xml:space="preserve">Resumen estadístico</x:t>
  </x:si>
  <x:si>
    <x:t xml:space="preserve">Tipo de disenso</x:t>
  </x:si>
  <x:si>
    <x:t xml:space="preserve">Histórico hasta la fecha activa</x:t>
  </x:si>
  <x:si>
    <x:t xml:space="preserve">Últimos doce meses</x:t>
  </x:si>
  <x:si>
    <x:t xml:space="preserve">Disensos restrictivos</x:t>
  </x:si>
  <x:si>
    <x:t xml:space="preserve">Disensos acomodaticios</x:t>
  </x:si>
  <x:si>
    <x:t xml:space="preserve">▲ restrictivo 1</x:t>
  </x:si>
  <x:si>
    <x:t xml:space="preserve">▲ restrictivo 2</x:t>
  </x:si>
  <x:si>
    <x:t xml:space="preserve">▼ acomodaticio 1</x:t>
  </x:si>
  <x:si>
    <x:t xml:space="preserve">▼ acomodaticio 2</x:t>
  </x:si>
  <x:si>
    <x:t xml:space="preserve">Periodo del integrante</x:t>
  </x:si>
  <x:si>
    <x:t xml:space="preserve">▲ restrictivo</x:t>
  </x:si>
  <x:si>
    <x:t xml:space="preserve">▼ acomodaticio</x:t>
  </x:si>
  <x:si>
    <x:t xml:space="preserve">Tasa_Objetivo</x:t>
  </x:si>
  <x:si>
    <x:t xml:space="preserve">Disensos_Hawk</x:t>
  </x:si>
  <x:si>
    <x:t xml:space="preserve">Disensos_Dovish</x:t>
  </x:si>
  <x:si>
    <x:t xml:space="preserve">Movimiento_pb</x:t>
  </x:si>
</x:sst>
</file>

<file path=xl/styles.xml><?xml version="1.0" encoding="utf-8"?>
<x:styleSheet xmlns:x="http://schemas.openxmlformats.org/spreadsheetml/2006/main">
  <x:numFmts count="7">
    <x:numFmt numFmtId="164" formatCode="yyyy\-mm\-dd"/>
    <x:numFmt numFmtId="165" formatCode="yyyy\-mm"/>
    <x:numFmt numFmtId="166" formatCode="0.0%"/>
    <x:numFmt numFmtId="167" formatCode="dd\-mmm\-yyyy"/>
    <x:numFmt numFmtId="168" formatCode="yyyy"/>
    <x:numFmt numFmtId="200" formatCode="yyyy-mm-dd"/>
    <x:numFmt numFmtId="201" formatCode="dd-mmm-yyyy"/>
  </x:numFmts>
  <x:fonts count="32">
    <x:font>
      <x:sz val="11"/>
      <x:name val="Carlito"/>
    </x:font>
    <x:font>
      <x:b/>
      <x:sz val="11"/>
      <x:color rgb="FFFFFFFF"/>
      <x:name val="Carlito"/>
    </x:font>
    <x:font>
      <x:sz val="10"/>
      <x:color rgb="FF23313D"/>
      <x:name val="Aptos"/>
    </x:font>
    <x:font>
      <x:b/>
      <x:sz val="10"/>
      <x:color rgb="FFFFFFFF"/>
      <x:name val="Aptos Display"/>
    </x:font>
    <x:font>
      <x:b/>
      <x:sz val="16"/>
      <x:color rgb="FFFFFFFF"/>
      <x:name val="Aptos Display"/>
    </x:font>
    <x:font>
      <x:b/>
      <x:sz val="11"/>
      <x:color rgb="FF12304A"/>
      <x:name val="Carlito"/>
    </x:font>
    <x:font>
      <x:i/>
      <x:sz val="9"/>
      <x:color rgb="FF526979"/>
      <x:name val="Carlito"/>
    </x:font>
    <x:font>
      <x:b/>
      <x:sz val="11"/>
      <x:color rgb="FF23313D"/>
      <x:name val="Carlito"/>
    </x:font>
    <x:font>
      <x:sz val="8"/>
      <x:color rgb="FF526979"/>
      <x:name val="Carlito"/>
    </x:font>
    <x:font>
      <x:sz val="13"/>
      <x:color rgb="FF23313D"/>
      <x:name val="Carlito"/>
    </x:font>
    <x:font>
      <x:sz val="9"/>
      <x:color rgb="FF526979"/>
      <x:name val="Carlito"/>
    </x:font>
    <x:font>
      <x:sz val="8"/>
      <x:color rgb="FF8CA0AD"/>
      <x:name val="Carlito"/>
    </x:font>
    <x:font>
      <x:b/>
      <x:sz val="11"/>
      <x:color rgb="FFFFFFFF"/>
      <x:name val="Aptos Display"/>
    </x:font>
    <x:font>
      <x:b/>
      <x:sz val="9"/>
      <x:color rgb="FFFFFFFF"/>
      <x:name val="Aptos"/>
    </x:font>
    <x:font>
      <x:sz val="9"/>
      <x:color rgb="FF23313D"/>
      <x:name val="Aptos"/>
    </x:font>
    <x:font>
      <x:b/>
      <x:sz val="9"/>
      <x:color rgb="FF23313D"/>
      <x:name val="Aptos"/>
    </x:font>
    <x:font>
      <x:b/>
      <x:sz val="1"/>
      <x:color rgb="FFFFFFFF"/>
      <x:name val="Carlito"/>
    </x:font>
    <x:font>
      <x:sz val="1"/>
      <x:color rgb="FFFFFFFF"/>
      <x:name val="Carlito"/>
    </x:font>
    <x:font>
      <x:b/>
      <x:sz val="9"/>
      <x:color rgb="FFFFFFFF"/>
      <x:name val="Carlito"/>
    </x:font>
    <x:font>
      <x:sz val="9"/>
      <x:color rgb="FF23313D"/>
      <x:name val="Carlito"/>
    </x:font>
    <x:font>
      <x:b/>
      <x:sz val="10"/>
      <x:color rgb="FF12304A"/>
      <x:name val="Carlito"/>
    </x:font>
    <x:font>
      <x:b/>
      <x:i/>
      <x:sz val="10"/>
      <x:color rgb="FF12304A"/>
      <x:name val="Carlito"/>
    </x:font>
    <x:font>
      <x:b/>
      <x:i/>
      <x:sz val="9"/>
      <x:color rgb="FF526979"/>
      <x:name val="Carlito"/>
    </x:font>
    <x:font>
      <x:b/>
      <x:sz val="9"/>
      <x:color rgb="FF12304A"/>
      <x:name val="Carlito"/>
    </x:font>
    <x:font>
      <x:b/>
      <x:sz val="11"/>
      <x:color rgb="FFD6A84B"/>
      <x:name val="Carlito"/>
    </x:font>
    <x:font>
      <x:b/>
      <x:sz val="8"/>
      <x:color rgb="FF12304A"/>
      <x:name val="Carlito"/>
    </x:font>
    <x:font>
      <x:b/>
      <x:sz val="10"/>
      <x:color rgb="FFFFFFFF"/>
      <x:name val="Carlito"/>
    </x:font>
    <x:font>
      <x:sz val="10"/>
      <x:color rgb="FF23313D"/>
      <x:name val="Carlito"/>
    </x:font>
    <x:font>
      <x:b/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7F6000"/>
      <x:name val="Carlito"/>
    </x:font>
  </x:fonts>
  <x:fills count="23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1E6A8D"/>
      </x:patternFill>
    </x:fill>
    <x:fill>
      <x:patternFill patternType="solid">
        <x:fgColor rgb="FFF8FBFC"/>
      </x:patternFill>
    </x:fill>
    <x:fill>
      <x:patternFill patternType="solid">
        <x:fgColor rgb="FFEAF3F7"/>
      </x:patternFill>
    </x:fill>
    <x:fill>
      <x:patternFill patternType="solid">
        <x:fgColor rgb="FF12304A"/>
      </x:patternFill>
    </x:fill>
    <x:fill>
      <x:patternFill patternType="solid">
        <x:fgColor rgb="FFFFF2CC"/>
      </x:patternFill>
    </x:fill>
    <x:fill>
      <x:patternFill patternType="solid">
        <x:fgColor rgb="FFEAF3F7"/>
      </x:patternFill>
    </x:fill>
    <x:fill>
      <x:patternFill patternType="solid">
        <x:fgColor rgb="FF1E6A8D"/>
      </x:patternFill>
    </x:fill>
    <x:fill>
      <x:patternFill patternType="solid">
        <x:fgColor rgb="FF12304A"/>
      </x:patternFill>
    </x:fill>
    <x:fill>
      <x:patternFill patternType="solid">
        <x:fgColor rgb="FF24728E"/>
      </x:patternFill>
    </x:fill>
    <x:fill>
      <x:patternFill patternType="solid">
        <x:fgColor rgb="FF12304A"/>
      </x:patternFill>
    </x:fill>
    <x:fill>
      <x:patternFill patternType="solid">
        <x:fgColor rgb="FF12304A"/>
      </x:patternFill>
    </x:fill>
    <x:fill>
      <x:patternFill patternType="solid">
        <x:fgColor rgb="FF24728E"/>
      </x:patternFill>
    </x:fill>
    <x:fill>
      <x:patternFill patternType="solid">
        <x:fgColor rgb="FFFFF2CC"/>
      </x:patternFill>
    </x:fill>
    <x:fill>
      <x:patternFill patternType="solid">
        <x:fgColor rgb="FFEAF3F6"/>
      </x:patternFill>
    </x:fill>
    <x:fill>
      <x:patternFill patternType="solid">
        <x:fgColor rgb="FFFFF8E1"/>
      </x:patternFill>
    </x:fill>
    <x:fill>
      <x:patternFill patternType="solid">
        <x:fgColor rgb="FFFFFFFF"/>
      </x:patternFill>
    </x:fill>
    <x:fill>
      <x:patternFill patternType="solid">
        <x:fgColor rgb="FF12304A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25">
    <x:border/>
    <x:border>
      <x:bottom style="medium">
        <x:color rgb="FFD6A84B"/>
      </x:bottom>
    </x:border>
    <x:border>
      <x:bottom style="thin">
        <x:color rgb="FFD7E2E8"/>
      </x:bottom>
    </x:border>
    <x:border>
      <x:top style="thin">
        <x:color rgb="FFD7E2E8"/>
      </x:top>
      <x:bottom style="thin">
        <x:color rgb="FFD7E2E8"/>
      </x:bottom>
    </x:border>
    <x:border>
      <x:top style="thin">
        <x:color rgb="FFD7E2E8"/>
      </x:top>
      <x:bottom style="medium">
        <x:color rgb="FFD6A84B"/>
      </x:bottom>
    </x:border>
    <x:border>
      <x:top style="thin">
        <x:color rgb="FFD7E2E8"/>
      </x:top>
    </x:border>
    <x:border>
      <x:left style="medium">
        <x:color rgb="FFD6A84B"/>
      </x:left>
      <x:top style="medium">
        <x:color rgb="FFD6A84B"/>
      </x:top>
      <x:bottom style="medium">
        <x:color rgb="FFD6A84B"/>
      </x:bottom>
    </x:border>
    <x:border>
      <x:top style="medium">
        <x:color rgb="FFD6A84B"/>
      </x:top>
      <x:bottom style="medium">
        <x:color rgb="FFD6A84B"/>
      </x:bottom>
    </x:border>
    <x:border>
      <x:right style="medium">
        <x:color rgb="FFD6A84B"/>
      </x:right>
      <x:top style="medium">
        <x:color rgb="FFD6A84B"/>
      </x:top>
      <x:bottom style="medium">
        <x:color rgb="FFD6A84B"/>
      </x:bottom>
    </x:border>
    <x:border>
      <x:left style="thin">
        <x:color rgb="FFD7E2E8"/>
      </x:left>
      <x:top style="thin">
        <x:color rgb="FFD7E2E8"/>
      </x:top>
      <x:bottom style="thin">
        <x:color rgb="FFD7E2E8"/>
      </x:bottom>
    </x:border>
    <x:border>
      <x:right style="thin">
        <x:color rgb="FFD7E2E8"/>
      </x:right>
      <x:top style="thin">
        <x:color rgb="FFD7E2E8"/>
      </x:top>
      <x:bottom style="thin">
        <x:color rgb="FFD7E2E8"/>
      </x:bottom>
    </x:border>
    <x:border>
      <x:right style="thin">
        <x:color rgb="FFD7E2E8"/>
      </x:right>
      <x:bottom style="thin">
        <x:color rgb="FFD7E2E8"/>
      </x:bottom>
    </x:border>
    <x:border>
      <x:left style="thin">
        <x:color rgb="FFD7E2E8"/>
      </x:left>
      <x:right style="thin">
        <x:color rgb="FFD7E2E8"/>
      </x:right>
      <x:bottom style="thin">
        <x:color rgb="FFD7E2E8"/>
      </x:bottom>
    </x:border>
    <x:border>
      <x:left style="thin">
        <x:color rgb="FFD7E2E8"/>
      </x:left>
      <x:bottom style="thin">
        <x:color rgb="FFD7E2E8"/>
      </x:bottom>
    </x:border>
    <x:border>
      <x:left style="thin">
        <x:color rgb="FFD7E2E8"/>
      </x:left>
      <x:right style="thin">
        <x:color rgb="FFD7E2E8"/>
      </x:right>
      <x:top style="thin">
        <x:color rgb="FFD7E2E8"/>
      </x:top>
      <x:bottom style="thin">
        <x:color rgb="FFD7E2E8"/>
      </x:bottom>
    </x:border>
    <x:border>
      <x:right style="thin">
        <x:color rgb="FFD7E2E8"/>
      </x:right>
      <x:top style="thin">
        <x:color rgb="FFD7E2E8"/>
      </x:top>
    </x:border>
    <x:border>
      <x:left style="thin">
        <x:color rgb="FFD7E2E8"/>
      </x:left>
      <x:right style="thin">
        <x:color rgb="FFD7E2E8"/>
      </x:right>
      <x:top style="thin">
        <x:color rgb="FFD7E2E8"/>
      </x:top>
    </x:border>
    <x:border>
      <x:left style="thin">
        <x:color rgb="FFD7E2E8"/>
      </x:left>
      <x:top style="thin">
        <x:color rgb="FFD7E2E8"/>
      </x:top>
    </x:border>
    <x:border>
      <x:left style="thin">
        <x:color rgb="FFD6A84B"/>
      </x:left>
      <x:top style="thin">
        <x:color rgb="FFD6A84B"/>
      </x:top>
      <x:bottom style="medium">
        <x:color rgb="FFD6A84B"/>
      </x:bottom>
    </x:border>
    <x:border>
      <x:right style="thin">
        <x:color rgb="FFD6A84B"/>
      </x:right>
      <x:top style="thin">
        <x:color rgb="FFD6A84B"/>
      </x:top>
      <x:bottom style="medium">
        <x:color rgb="FFD6A84B"/>
      </x:bottom>
    </x:border>
    <x:border>
      <x:left style="thin">
        <x:color rgb="FFD6A84B"/>
      </x:left>
      <x:bottom style="thin">
        <x:color rgb="FFD6A84B"/>
      </x:bottom>
    </x:border>
    <x:border>
      <x:right style="thin">
        <x:color rgb="FFD6A84B"/>
      </x:right>
      <x:bottom style="thin">
        <x:color rgb="FFD6A84B"/>
      </x:bottom>
    </x:border>
    <x:border>
      <x:left style="thin">
        <x:color rgb="FFD7E2E8"/>
      </x:left>
      <x:right style="medium">
        <x:color rgb="FFD6A84B"/>
      </x:right>
      <x:top style="thin">
        <x:color rgb="FFD7E2E8"/>
      </x:top>
      <x:bottom style="medium">
        <x:color rgb="FFD6A84B"/>
      </x:bottom>
    </x:border>
    <x:border>
      <x:bottom style="medium">
        <x:color rgb="FF24728E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</x:borders>
  <x:cellStyleXfs count="1">
    <x:xf numFmtId="0" fontId="0" fillId="0" borderId="0"/>
  </x:cellStyleXfs>
  <x:cellXfs count="185">
    <x:xf numFmtId="0" fontId="0" fillId="0" borderId="0" xfId="0"/>
    <x:xf numFmtId="0" fontId="3" fillId="2" borderId="2" xfId="0" applyFont="1" applyFill="1" applyBorder="1" applyAlignment="1">
      <x:alignment vertical="center" wrapText="1"/>
    </x:xf>
    <x:xf numFmtId="0" fontId="2" fillId="0" borderId="3" xfId="0" applyFont="1" applyBorder="1"/>
    <x:xf numFmtId="0" fontId="2" fillId="0" borderId="4" xfId="0" applyFont="1" applyBorder="1"/>
    <x:xf numFmtId="164" fontId="2" fillId="0" borderId="3" xfId="0" applyNumberFormat="1" applyFont="1" applyBorder="1"/>
    <x:xf numFmtId="164" fontId="2" fillId="0" borderId="4" xfId="0" applyNumberFormat="1" applyFont="1" applyBorder="1"/>
    <x:xf numFmtId="2" fontId="2" fillId="0" borderId="3" xfId="0" applyNumberFormat="1" applyFont="1" applyBorder="1"/>
    <x:xf numFmtId="2" fontId="2" fillId="0" borderId="4" xfId="0" applyNumberFormat="1" applyFont="1" applyBorder="1"/>
    <x:xf numFmtId="1" fontId="2" fillId="0" borderId="3" xfId="0" applyNumberFormat="1" applyFont="1" applyBorder="1"/>
    <x:xf numFmtId="1" fontId="2" fillId="0" borderId="4" xfId="0" applyNumberFormat="1" applyFont="1" applyBorder="1"/>
    <x:xf numFmtId="0" fontId="2" fillId="0" borderId="3" xfId="0" applyFont="1" applyBorder="1" applyAlignment="1">
      <x:alignment wrapText="1"/>
    </x:xf>
    <x:xf numFmtId="0" fontId="2" fillId="0" borderId="4" xfId="0" applyFont="1" applyBorder="1" applyAlignment="1">
      <x:alignment wrapText="1"/>
    </x:xf>
    <x:xf numFmtId="0" fontId="1" fillId="3" borderId="1" xfId="0" applyFont="1" applyFill="1" applyBorder="1"/>
    <x:xf numFmtId="0" fontId="0" fillId="4" borderId="2" xfId="0" applyFill="1" applyBorder="1"/>
    <x:xf numFmtId="0" fontId="0" fillId="4" borderId="3" xfId="0" applyFill="1" applyBorder="1"/>
    <x:xf numFmtId="0" fontId="0" fillId="4" borderId="5" xfId="0" applyFill="1" applyBorder="1"/>
    <x:xf numFmtId="164" fontId="0" fillId="4" borderId="2" xfId="0" applyNumberFormat="1" applyFill="1" applyBorder="1"/>
    <x:xf numFmtId="164" fontId="0" fillId="4" borderId="3" xfId="0" applyNumberFormat="1" applyFill="1" applyBorder="1"/>
    <x:xf numFmtId="3" fontId="0" fillId="4" borderId="3" xfId="0" applyNumberFormat="1" applyFill="1" applyBorder="1"/>
    <x:xf numFmtId="3" fontId="0" fillId="4" borderId="5" xfId="0" applyNumberFormat="1" applyFill="1" applyBorder="1"/>
    <x:xf numFmtId="0" fontId="5" fillId="0" borderId="0" xfId="0" applyFont="1"/>
    <x:xf numFmtId="0" fontId="0" fillId="7" borderId="0" xfId="0" applyFill="1"/>
    <x:xf numFmtId="0" fontId="5" fillId="8" borderId="0" xfId="0" applyFont="1" applyFill="1"/>
    <x:xf numFmtId="0" fontId="5" fillId="8" borderId="9" xfId="0" applyFont="1" applyFill="1" applyBorder="1" applyAlignment="1">
      <x:alignment horizontal="center"/>
    </x:xf>
    <x:xf numFmtId="0" fontId="7" fillId="0" borderId="0" xfId="0" applyFont="1"/>
    <x:xf numFmtId="164" fontId="0" fillId="0" borderId="11" xfId="0" applyNumberFormat="1" applyBorder="1" applyAlignment="1">
      <x:alignment horizontal="center"/>
    </x:xf>
    <x:xf numFmtId="164" fontId="0" fillId="0" borderId="12" xfId="0" applyNumberFormat="1" applyBorder="1" applyAlignment="1">
      <x:alignment horizontal="center"/>
    </x:xf>
    <x:xf numFmtId="164" fontId="0" fillId="0" borderId="13" xfId="0" applyNumberFormat="1" applyBorder="1" applyAlignment="1">
      <x:alignment horizontal="center"/>
    </x:xf>
    <x:xf numFmtId="2" fontId="0" fillId="0" borderId="10" xfId="0" applyNumberFormat="1" applyBorder="1" applyAlignment="1">
      <x:alignment horizontal="center"/>
    </x:xf>
    <x:xf numFmtId="2" fontId="0" fillId="0" borderId="14" xfId="0" applyNumberFormat="1" applyBorder="1" applyAlignment="1">
      <x:alignment horizontal="center"/>
    </x:xf>
    <x:xf numFmtId="2" fontId="0" fillId="0" borderId="9" xfId="0" applyNumberFormat="1" applyBorder="1" applyAlignment="1">
      <x:alignment horizontal="center"/>
    </x:xf>
    <x:xf numFmtId="0" fontId="0" fillId="0" borderId="10" xfId="0" applyBorder="1" applyAlignment="1">
      <x:alignment horizontal="center"/>
    </x:xf>
    <x:xf numFmtId="0" fontId="0" fillId="0" borderId="14" xfId="0" applyBorder="1" applyAlignment="1">
      <x:alignment horizontal="center"/>
    </x:xf>
    <x:xf numFmtId="0" fontId="0" fillId="0" borderId="9" xfId="0" applyBorder="1" applyAlignment="1">
      <x:alignment horizontal="center"/>
    </x:xf>
    <x:xf numFmtId="164" fontId="0" fillId="7" borderId="12" xfId="0" applyNumberFormat="1" applyFill="1" applyBorder="1" applyAlignment="1">
      <x:alignment horizontal="center"/>
    </x:xf>
    <x:xf numFmtId="2" fontId="0" fillId="7" borderId="14" xfId="0" applyNumberFormat="1" applyFill="1" applyBorder="1" applyAlignment="1">
      <x:alignment horizontal="center"/>
    </x:xf>
    <x:xf numFmtId="0" fontId="0" fillId="7" borderId="14" xfId="0" applyFill="1" applyBorder="1" applyAlignment="1">
      <x:alignment horizontal="center"/>
    </x:xf>
    <x:xf numFmtId="0" fontId="1" fillId="6" borderId="0" xfId="0" applyFont="1" applyFill="1" applyAlignment="1">
      <x:alignment horizontal="center"/>
    </x:xf>
    <x:xf numFmtId="0" fontId="9" fillId="0" borderId="11" xfId="0" applyFont="1" applyBorder="1" applyAlignment="1">
      <x:alignment horizontal="center" vertical="center"/>
    </x:xf>
    <x:xf numFmtId="0" fontId="9" fillId="0" borderId="12" xfId="0" applyFont="1" applyBorder="1" applyAlignment="1">
      <x:alignment horizontal="center" vertical="center"/>
    </x:xf>
    <x:xf numFmtId="0" fontId="9" fillId="7" borderId="12" xfId="0" applyFont="1" applyFill="1" applyBorder="1" applyAlignment="1">
      <x:alignment horizontal="center" vertical="center"/>
    </x:xf>
    <x:xf numFmtId="0" fontId="9" fillId="0" borderId="13" xfId="0" applyFont="1" applyBorder="1" applyAlignment="1">
      <x:alignment horizontal="center" vertical="center"/>
    </x:xf>
    <x:xf numFmtId="0" fontId="9" fillId="0" borderId="10" xfId="0" applyFont="1" applyBorder="1" applyAlignment="1">
      <x:alignment horizontal="center" vertical="center"/>
    </x:xf>
    <x:xf numFmtId="0" fontId="9" fillId="0" borderId="14" xfId="0" applyFont="1" applyBorder="1" applyAlignment="1">
      <x:alignment horizontal="center" vertical="center"/>
    </x:xf>
    <x:xf numFmtId="0" fontId="9" fillId="7" borderId="14" xfId="0" applyFont="1" applyFill="1" applyBorder="1" applyAlignment="1">
      <x:alignment horizontal="center" vertical="center"/>
    </x:xf>
    <x:xf numFmtId="0" fontId="9" fillId="0" borderId="9" xfId="0" applyFont="1" applyBorder="1" applyAlignment="1">
      <x:alignment horizontal="center" vertical="center"/>
    </x:xf>
    <x:xf numFmtId="0" fontId="9" fillId="0" borderId="15" xfId="0" applyFont="1" applyBorder="1" applyAlignment="1">
      <x:alignment horizontal="center" vertical="center"/>
    </x:xf>
    <x:xf numFmtId="0" fontId="9" fillId="0" borderId="16" xfId="0" applyFont="1" applyBorder="1" applyAlignment="1">
      <x:alignment horizontal="center" vertical="center"/>
    </x:xf>
    <x:xf numFmtId="0" fontId="9" fillId="7" borderId="16" xfId="0" applyFont="1" applyFill="1" applyBorder="1" applyAlignment="1">
      <x:alignment horizontal="center" vertical="center"/>
    </x:xf>
    <x:xf numFmtId="0" fontId="9" fillId="0" borderId="17" xfId="0" applyFont="1" applyBorder="1" applyAlignment="1">
      <x:alignment horizontal="center" vertical="center"/>
    </x:xf>
    <x:xf numFmtId="0" fontId="11" fillId="0" borderId="0" xfId="0" applyFont="1"/>
    <x:xf numFmtId="165" fontId="11" fillId="0" borderId="0" xfId="0" applyNumberFormat="1" applyFont="1"/>
    <x:xf numFmtId="2" fontId="11" fillId="0" borderId="0" xfId="0" applyNumberFormat="1" applyFont="1"/>
    <x:xf numFmtId="1" fontId="11" fillId="0" borderId="0" xfId="0" applyNumberFormat="1" applyFont="1"/>
    <x:xf numFmtId="0" fontId="2" fillId="0" borderId="2" xfId="0" applyFont="1" applyBorder="1"/>
    <x:xf numFmtId="0" fontId="2" fillId="0" borderId="5" xfId="0" applyFont="1" applyBorder="1"/>
    <x:xf numFmtId="0" fontId="2" fillId="0" borderId="2" xfId="0" applyFont="1" applyBorder="1" applyAlignment="1">
      <x:alignment wrapText="1"/>
    </x:xf>
    <x:xf numFmtId="0" fontId="2" fillId="0" borderId="5" xfId="0" applyFont="1" applyBorder="1" applyAlignment="1">
      <x:alignment wrapText="1"/>
    </x:xf>
    <x:xf numFmtId="0" fontId="3" fillId="10" borderId="1" xfId="0" applyFont="1" applyFill="1" applyBorder="1" applyAlignment="1">
      <x:alignment vertical="center" wrapText="1"/>
    </x:xf>
    <x:xf numFmtId="0" fontId="13" fillId="12" borderId="2" xfId="0" applyFont="1" applyFill="1" applyBorder="1" applyAlignment="1">
      <x:alignment horizontal="center" vertical="center" wrapText="1"/>
    </x:xf>
    <x:xf numFmtId="0" fontId="15" fillId="0" borderId="11" xfId="0" applyFont="1" applyBorder="1" applyAlignment="1">
      <x:alignment horizontal="left" vertical="center"/>
    </x:xf>
    <x:xf numFmtId="0" fontId="15" fillId="0" borderId="10" xfId="0" applyFont="1" applyBorder="1" applyAlignment="1">
      <x:alignment horizontal="left" vertical="center"/>
    </x:xf>
    <x:xf numFmtId="0" fontId="15" fillId="0" borderId="15" xfId="0" applyFont="1" applyBorder="1" applyAlignment="1">
      <x:alignment horizontal="left" vertical="center"/>
    </x:xf>
    <x:xf numFmtId="1" fontId="14" fillId="0" borderId="12" xfId="0" applyNumberFormat="1" applyFont="1" applyBorder="1" applyAlignment="1">
      <x:alignment horizontal="center" vertical="center"/>
    </x:xf>
    <x:xf numFmtId="1" fontId="14" fillId="0" borderId="14" xfId="0" applyNumberFormat="1" applyFont="1" applyBorder="1" applyAlignment="1">
      <x:alignment horizontal="center" vertical="center"/>
    </x:xf>
    <x:xf numFmtId="1" fontId="14" fillId="0" borderId="16" xfId="0" applyNumberFormat="1" applyFont="1" applyBorder="1" applyAlignment="1">
      <x:alignment horizontal="center" vertical="center"/>
    </x:xf>
    <x:xf numFmtId="166" fontId="14" fillId="0" borderId="12" xfId="0" applyNumberFormat="1" applyFont="1" applyBorder="1" applyAlignment="1">
      <x:alignment horizontal="center" vertical="center"/>
    </x:xf>
    <x:xf numFmtId="166" fontId="14" fillId="0" borderId="14" xfId="0" applyNumberFormat="1" applyFont="1" applyBorder="1" applyAlignment="1">
      <x:alignment horizontal="center" vertical="center"/>
    </x:xf>
    <x:xf numFmtId="166" fontId="14" fillId="0" borderId="16" xfId="0" applyNumberFormat="1" applyFont="1" applyBorder="1" applyAlignment="1">
      <x:alignment horizontal="center" vertical="center"/>
    </x:xf>
    <x:xf numFmtId="166" fontId="14" fillId="0" borderId="13" xfId="0" applyNumberFormat="1" applyFont="1" applyBorder="1" applyAlignment="1">
      <x:alignment horizontal="center" vertical="center"/>
    </x:xf>
    <x:xf numFmtId="166" fontId="14" fillId="0" borderId="9" xfId="0" applyNumberFormat="1" applyFont="1" applyBorder="1" applyAlignment="1">
      <x:alignment horizontal="center" vertical="center"/>
    </x:xf>
    <x:xf numFmtId="166" fontId="14" fillId="0" borderId="17" xfId="0" applyNumberFormat="1" applyFont="1" applyBorder="1" applyAlignment="1">
      <x:alignment horizontal="center" vertical="center"/>
    </x:xf>
    <x:xf numFmtId="167" fontId="5" fillId="5" borderId="3" xfId="0" applyNumberFormat="1" applyFont="1" applyFill="1" applyBorder="1" applyAlignment="1">
      <x:alignment horizontal="center"/>
    </x:xf>
    <x:xf numFmtId="0" fontId="16" fillId="5" borderId="0" xfId="0" applyFont="1" applyFill="1"/>
    <x:xf numFmtId="0" fontId="17" fillId="0" borderId="15" xfId="0" applyFont="1" applyBorder="1" applyAlignment="1">
      <x:alignment horizontal="center"/>
    </x:xf>
    <x:xf numFmtId="0" fontId="17" fillId="0" borderId="16" xfId="0" applyFont="1" applyBorder="1" applyAlignment="1">
      <x:alignment horizontal="center"/>
    </x:xf>
    <x:xf numFmtId="0" fontId="17" fillId="7" borderId="16" xfId="0" applyFont="1" applyFill="1" applyBorder="1" applyAlignment="1">
      <x:alignment horizontal="center"/>
    </x:xf>
    <x:xf numFmtId="0" fontId="17" fillId="0" borderId="17" xfId="0" applyFont="1" applyBorder="1" applyAlignment="1">
      <x:alignment horizontal="center"/>
    </x:xf>
    <x:xf numFmtId="0" fontId="17" fillId="0" borderId="0" xfId="0" applyFont="1"/>
    <x:xf numFmtId="0" fontId="18" fillId="13" borderId="0" xfId="0" applyFont="1" applyFill="1" applyAlignment="1">
      <x:alignment horizontal="center" wrapText="1"/>
    </x:xf>
    <x:xf numFmtId="167" fontId="19" fillId="0" borderId="2" xfId="0" applyNumberFormat="1" applyFont="1" applyBorder="1"/>
    <x:xf numFmtId="2" fontId="19" fillId="0" borderId="2" xfId="0" applyNumberFormat="1" applyFont="1" applyBorder="1"/>
    <x:xf numFmtId="1" fontId="19" fillId="0" borderId="2" xfId="0" applyNumberFormat="1" applyFont="1" applyBorder="1"/>
    <x:xf numFmtId="0" fontId="19" fillId="0" borderId="2" xfId="0" applyFont="1" applyBorder="1"/>
    <x:xf numFmtId="167" fontId="19" fillId="0" borderId="3" xfId="0" applyNumberFormat="1" applyFont="1" applyBorder="1"/>
    <x:xf numFmtId="2" fontId="19" fillId="0" borderId="3" xfId="0" applyNumberFormat="1" applyFont="1" applyBorder="1"/>
    <x:xf numFmtId="1" fontId="19" fillId="0" borderId="3" xfId="0" applyNumberFormat="1" applyFont="1" applyBorder="1"/>
    <x:xf numFmtId="0" fontId="19" fillId="0" borderId="3" xfId="0" applyFont="1" applyBorder="1"/>
    <x:xf numFmtId="167" fontId="19" fillId="0" borderId="5" xfId="0" applyNumberFormat="1" applyFont="1" applyBorder="1"/>
    <x:xf numFmtId="2" fontId="19" fillId="0" borderId="5" xfId="0" applyNumberFormat="1" applyFont="1" applyBorder="1"/>
    <x:xf numFmtId="1" fontId="19" fillId="0" borderId="5" xfId="0" applyNumberFormat="1" applyFont="1" applyBorder="1"/>
    <x:xf numFmtId="0" fontId="19" fillId="0" borderId="5" xfId="0" applyFont="1" applyBorder="1"/>
    <x:xf numFmtId="0" fontId="20" fillId="0" borderId="0" xfId="0" applyFont="1" applyAlignment="1">
      <x:alignment vertical="center"/>
    </x:xf>
    <x:xf numFmtId="0" fontId="21" fillId="0" borderId="0" xfId="0" applyFont="1" applyAlignment="1">
      <x:alignment vertical="center" wrapText="1"/>
    </x:xf>
    <x:xf numFmtId="168" fontId="17" fillId="0" borderId="0" xfId="0" applyNumberFormat="1" applyFont="1"/>
    <x:xf numFmtId="0" fontId="23" fillId="0" borderId="0" xfId="0" applyFont="1" applyAlignment="1">
      <x:alignment horizontal="right"/>
    </x:xf>
    <x:xf numFmtId="0" fontId="8" fillId="0" borderId="0" xfId="0" applyFont="1" applyAlignment="1">
      <x:alignment horizontal="center"/>
    </x:xf>
    <x:xf numFmtId="0" fontId="25" fillId="0" borderId="0" xfId="0" applyFont="1" applyAlignment="1">
      <x:alignment horizontal="right"/>
    </x:xf>
    <x:xf numFmtId="0" fontId="24" fillId="18" borderId="1" xfId="0" applyFont="1" applyFill="1" applyBorder="1" applyAlignment="1">
      <x:alignment horizontal="center"/>
    </x:xf>
    <x:xf numFmtId="0" fontId="26" fillId="19" borderId="23" xfId="0" applyFont="1" applyFill="1" applyBorder="1" applyAlignment="1">
      <x:alignment horizontal="center" vertical="center"/>
    </x:xf>
    <x:xf numFmtId="167" fontId="27" fillId="0" borderId="2" xfId="0" applyNumberFormat="1" applyFont="1" applyBorder="1" applyAlignment="1">
      <x:alignment horizontal="center" vertical="center"/>
    </x:xf>
    <x:xf numFmtId="167" fontId="27" fillId="0" borderId="3" xfId="0" applyNumberFormat="1" applyFont="1" applyBorder="1" applyAlignment="1">
      <x:alignment horizontal="center" vertical="center"/>
    </x:xf>
    <x:xf numFmtId="167" fontId="27" fillId="0" borderId="5" xfId="0" applyNumberFormat="1" applyFont="1" applyBorder="1" applyAlignment="1">
      <x:alignment horizontal="center" vertical="center"/>
    </x:xf>
    <x:xf numFmtId="0" fontId="27" fillId="0" borderId="2" xfId="0" applyFont="1" applyBorder="1" applyAlignment="1">
      <x:alignment horizontal="left" vertical="center"/>
    </x:xf>
    <x:xf numFmtId="0" fontId="27" fillId="0" borderId="3" xfId="0" applyFont="1" applyBorder="1" applyAlignment="1">
      <x:alignment horizontal="left" vertical="center"/>
    </x:xf>
    <x:xf numFmtId="0" fontId="27" fillId="0" borderId="5" xfId="0" applyFont="1" applyBorder="1" applyAlignment="1">
      <x:alignment horizontal="left" vertical="center"/>
    </x:xf>
    <x:xf numFmtId="2" fontId="27" fillId="0" borderId="2" xfId="0" applyNumberFormat="1" applyFont="1" applyBorder="1" applyAlignment="1">
      <x:alignment horizontal="right" vertical="center"/>
    </x:xf>
    <x:xf numFmtId="1" fontId="27" fillId="0" borderId="2" xfId="0" applyNumberFormat="1" applyFont="1" applyBorder="1" applyAlignment="1">
      <x:alignment horizontal="right" vertical="center"/>
    </x:xf>
    <x:xf numFmtId="2" fontId="27" fillId="0" borderId="3" xfId="0" applyNumberFormat="1" applyFont="1" applyBorder="1" applyAlignment="1">
      <x:alignment horizontal="right" vertical="center"/>
    </x:xf>
    <x:xf numFmtId="1" fontId="27" fillId="0" borderId="3" xfId="0" applyNumberFormat="1" applyFont="1" applyBorder="1" applyAlignment="1">
      <x:alignment horizontal="right" vertical="center"/>
    </x:xf>
    <x:xf numFmtId="2" fontId="27" fillId="0" borderId="5" xfId="0" applyNumberFormat="1" applyFont="1" applyBorder="1" applyAlignment="1">
      <x:alignment horizontal="right" vertical="center"/>
    </x:xf>
    <x:xf numFmtId="1" fontId="27" fillId="0" borderId="5" xfId="0" applyNumberFormat="1" applyFont="1" applyBorder="1" applyAlignment="1">
      <x:alignment horizontal="right" vertical="center"/>
    </x:xf>
    <x:xf numFmtId="15" fontId="0" fillId="0" borderId="0" xfId="0" applyNumberFormat="1"/>
    <x:xf numFmtId="0" fontId="28" fillId="0" borderId="0" xfId="0" applyFont="1"/>
    <x:xf numFmtId="0" fontId="4" fillId="2" borderId="0" xfId="0" applyFont="1" applyFill="1" applyAlignment="1">
      <x:alignment vertical="center"/>
    </x:xf>
    <x:xf numFmtId="0" fontId="1" fillId="3" borderId="0" xfId="0" applyFont="1" applyFill="1"/>
    <x:xf numFmtId="0" fontId="0" fillId="5" borderId="2" xfId="0" applyFill="1" applyBorder="1" applyAlignment="1">
      <x:alignment wrapText="1"/>
    </x:xf>
    <x:xf numFmtId="0" fontId="0" fillId="5" borderId="3" xfId="0" applyFill="1" applyBorder="1" applyAlignment="1">
      <x:alignment wrapText="1"/>
    </x:xf>
    <x:xf numFmtId="0" fontId="0" fillId="5" borderId="5" xfId="0" applyFill="1" applyBorder="1" applyAlignment="1">
      <x:alignment wrapText="1"/>
    </x:xf>
    <x:xf numFmtId="0" fontId="4" fillId="6" borderId="0" xfId="0" applyFont="1" applyFill="1" applyAlignment="1">
      <x:alignment vertical="center"/>
    </x:xf>
    <x:xf numFmtId="167" fontId="5" fillId="7" borderId="6" xfId="0" applyNumberFormat="1" applyFont="1" applyFill="1" applyBorder="1" applyAlignment="1">
      <x:alignment horizontal="center"/>
    </x:xf>
    <x:xf numFmtId="0" fontId="5" fillId="7" borderId="7" xfId="0" applyFont="1" applyFill="1" applyBorder="1" applyAlignment="1">
      <x:alignment horizontal="center"/>
    </x:xf>
    <x:xf numFmtId="0" fontId="5" fillId="7" borderId="8" xfId="0" applyFont="1" applyFill="1" applyBorder="1" applyAlignment="1">
      <x:alignment horizontal="center"/>
    </x:xf>
    <x:xf numFmtId="167" fontId="5" fillId="5" borderId="3" xfId="0" applyNumberFormat="1" applyFont="1" applyFill="1" applyBorder="1" applyAlignment="1">
      <x:alignment horizontal="center"/>
    </x:xf>
    <x:xf numFmtId="0" fontId="5" fillId="8" borderId="3" xfId="0" applyFont="1" applyFill="1" applyBorder="1" applyAlignment="1">
      <x:alignment horizontal="center"/>
    </x:xf>
    <x:xf numFmtId="0" fontId="5" fillId="8" borderId="10" xfId="0" applyFont="1" applyFill="1" applyBorder="1" applyAlignment="1">
      <x:alignment horizontal="center"/>
    </x:xf>
    <x:xf numFmtId="0" fontId="6" fillId="0" borderId="0" xfId="0" applyFont="1" applyAlignment="1">
      <x:alignment wrapText="1"/>
    </x:xf>
    <x:xf numFmtId="0" fontId="1" fillId="9" borderId="0" xfId="0" applyFont="1" applyFill="1"/>
    <x:xf numFmtId="0" fontId="5" fillId="8" borderId="0" xfId="0" applyFont="1" applyFill="1" applyAlignment="1">
      <x:alignment horizontal="center"/>
    </x:xf>
    <x:xf numFmtId="167" fontId="7" fillId="0" borderId="2" xfId="0" applyNumberFormat="1" applyFont="1" applyBorder="1" applyAlignment="1">
      <x:alignment horizontal="center"/>
    </x:xf>
    <x:xf numFmtId="0" fontId="7" fillId="0" borderId="2" xfId="0" applyFont="1" applyBorder="1" applyAlignment="1">
      <x:alignment horizontal="center"/>
    </x:xf>
    <x:xf numFmtId="164" fontId="7" fillId="0" borderId="2" xfId="0" applyNumberFormat="1" applyFont="1" applyBorder="1" applyAlignment="1">
      <x:alignment horizontal="center"/>
    </x:xf>
    <x:xf numFmtId="2" fontId="7" fillId="0" borderId="2" xfId="0" applyNumberFormat="1" applyFont="1" applyBorder="1" applyAlignment="1">
      <x:alignment horizontal="center"/>
    </x:xf>
    <x:xf numFmtId="1" fontId="7" fillId="0" borderId="2" xfId="0" applyNumberFormat="1" applyFont="1" applyBorder="1" applyAlignment="1">
      <x:alignment horizontal="center"/>
    </x:xf>
    <x:xf numFmtId="0" fontId="10" fillId="0" borderId="0" xfId="0" applyFont="1" applyAlignment="1">
      <x:alignment horizontal="center" wrapText="1"/>
    </x:xf>
    <x:xf numFmtId="0" fontId="12" fillId="11" borderId="1" xfId="0" applyFont="1" applyFill="1" applyBorder="1" applyAlignment="1">
      <x:alignment horizontal="left" vertical="center"/>
    </x:xf>
    <x:xf numFmtId="0" fontId="4" fillId="13" borderId="0" xfId="0" applyFont="1" applyFill="1" applyAlignment="1">
      <x:alignment vertical="center"/>
    </x:xf>
    <x:xf numFmtId="0" fontId="1" fillId="14" borderId="0" xfId="0" applyFont="1" applyFill="1" applyAlignment="1">
      <x:alignment vertical="center"/>
    </x:xf>
    <x:xf numFmtId="0" fontId="18" fillId="13" borderId="0" xfId="0" applyFont="1" applyFill="1" applyAlignment="1">
      <x:alignment horizontal="center"/>
    </x:xf>
    <x:xf numFmtId="166" fontId="19" fillId="0" borderId="3" xfId="0" applyNumberFormat="1" applyFont="1" applyBorder="1"/>
    <x:xf numFmtId="0" fontId="19" fillId="0" borderId="3" xfId="0" applyFont="1" applyBorder="1"/>
    <x:xf numFmtId="1" fontId="19" fillId="0" borderId="2" xfId="0" applyNumberFormat="1" applyFont="1" applyBorder="1"/>
    <x:xf numFmtId="0" fontId="19" fillId="0" borderId="2" xfId="0" applyFont="1" applyBorder="1"/>
    <x:xf numFmtId="1" fontId="19" fillId="0" borderId="3" xfId="0" applyNumberFormat="1" applyFont="1" applyBorder="1"/>
    <x:xf numFmtId="166" fontId="19" fillId="0" borderId="5" xfId="0" applyNumberFormat="1" applyFont="1" applyBorder="1"/>
    <x:xf numFmtId="0" fontId="19" fillId="0" borderId="5" xfId="0" applyFont="1" applyBorder="1"/>
    <x:xf numFmtId="0" fontId="20" fillId="16" borderId="17" xfId="0" applyFont="1" applyFill="1" applyBorder="1" applyAlignment="1">
      <x:alignment horizontal="center" vertical="center"/>
    </x:xf>
    <x:xf numFmtId="0" fontId="20" fillId="16" borderId="15" xfId="0" applyFont="1" applyFill="1" applyBorder="1" applyAlignment="1">
      <x:alignment horizontal="center" vertical="center"/>
    </x:xf>
    <x:xf numFmtId="0" fontId="22" fillId="18" borderId="0" xfId="0" applyFont="1" applyFill="1" applyAlignment="1">
      <x:alignment horizontal="center" vertical="center"/>
    </x:xf>
    <x:xf numFmtId="0" fontId="6" fillId="0" borderId="0" xfId="0" applyFont="1"/>
    <x:xf numFmtId="0" fontId="20" fillId="15" borderId="6" xfId="0" applyFont="1" applyFill="1" applyBorder="1" applyAlignment="1">
      <x:alignment horizontal="center" vertical="center"/>
    </x:xf>
    <x:xf numFmtId="0" fontId="20" fillId="15" borderId="7" xfId="0" applyFont="1" applyFill="1" applyBorder="1" applyAlignment="1">
      <x:alignment horizontal="center" vertical="center"/>
    </x:xf>
    <x:xf numFmtId="0" fontId="20" fillId="15" borderId="8" xfId="0" applyFont="1" applyFill="1" applyBorder="1" applyAlignment="1">
      <x:alignment horizontal="center" vertical="center"/>
    </x:xf>
    <x:xf numFmtId="167" fontId="20" fillId="17" borderId="18" xfId="0" applyNumberFormat="1" applyFont="1" applyFill="1" applyBorder="1" applyAlignment="1">
      <x:alignment horizontal="center" vertical="center"/>
    </x:xf>
    <x:xf numFmtId="0" fontId="20" fillId="17" borderId="19" xfId="0" applyFont="1" applyFill="1" applyBorder="1" applyAlignment="1">
      <x:alignment horizontal="center" vertical="center"/>
    </x:xf>
    <x:xf numFmtId="0" fontId="20" fillId="16" borderId="22" xfId="0" applyFont="1" applyFill="1" applyBorder="1" applyAlignment="1">
      <x:alignment horizontal="center" vertical="center"/>
    </x:xf>
    <x:xf numFmtId="0" fontId="21" fillId="16" borderId="13" xfId="0" applyFont="1" applyFill="1" applyBorder="1" applyAlignment="1">
      <x:alignment horizontal="center" vertical="center" wrapText="1"/>
    </x:xf>
    <x:xf numFmtId="0" fontId="21" fillId="16" borderId="11" xfId="0" applyFont="1" applyFill="1" applyBorder="1" applyAlignment="1">
      <x:alignment horizontal="center" vertical="center" wrapText="1"/>
    </x:xf>
    <x:xf numFmtId="167" fontId="21" fillId="17" borderId="20" xfId="0" applyNumberFormat="1" applyFont="1" applyFill="1" applyBorder="1" applyAlignment="1">
      <x:alignment horizontal="center" vertical="center" wrapText="1"/>
    </x:xf>
    <x:xf numFmtId="0" fontId="21" fillId="17" borderId="21" xfId="0" applyFont="1" applyFill="1" applyBorder="1" applyAlignment="1">
      <x:alignment horizontal="center" vertical="center" wrapText="1"/>
    </x:xf>
    <x:xf numFmtId="0" fontId="22" fillId="18" borderId="0" xfId="0" applyFont="1" applyFill="1" applyAlignment="1">
      <x:alignment horizontal="center" vertical="center" wrapText="1"/>
    </x:xf>
    <x:xf numFmtId="164" fontId="0" fillId="0" borderId="0" xfId="0" applyNumberFormat="1"/>
    <x:xf numFmtId="167" fontId="0" fillId="0" borderId="0" xfId="0" applyNumberFormat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20" borderId="0" xfId="0" applyNumberFormat="1" applyFont="1" applyFill="1" applyBorder="1"/>
    <x:xf numFmtId="0" fontId="29" fillId="20" borderId="0" xfId="0" applyNumberFormat="1" applyFont="1" applyFill="1" applyBorder="1"/>
    <x:xf numFmtId="0" fontId="29" fillId="20" borderId="0" xfId="0" applyNumberFormat="1" applyFont="1" applyFill="1" applyBorder="1" applyAlignment="1">
      <x:alignment vertical="center"/>
    </x:xf>
    <x:xf numFmtId="0" fontId="0" fillId="21" borderId="0" xfId="0" applyNumberFormat="1" applyFont="1" applyFill="1" applyBorder="1"/>
    <x:xf numFmtId="0" fontId="30" fillId="21" borderId="0" xfId="0" applyNumberFormat="1" applyFont="1" applyFill="1" applyBorder="1"/>
    <x:xf numFmtId="0" fontId="30" fillId="21" borderId="0" xfId="0" applyNumberFormat="1" applyFont="1" applyFill="1" applyBorder="1" applyAlignment="1">
      <x:alignment wrapText="1"/>
    </x:xf>
    <x:xf numFmtId="0" fontId="0" fillId="22" borderId="0" xfId="0" applyNumberFormat="1" applyFont="1" applyFill="1" applyBorder="1"/>
    <x:xf numFmtId="0" fontId="31" fillId="22" borderId="0" xfId="0" applyNumberFormat="1" applyFont="1" applyFill="1" applyBorder="1"/>
    <x:xf numFmtId="0" fontId="30" fillId="21" borderId="24" xfId="0" applyNumberFormat="1" applyFont="1" applyFill="1" applyBorder="1" applyAlignment="1">
      <x:alignment wrapText="1"/>
    </x:xf>
    <x:xf numFmtId="0" fontId="0" fillId="0" borderId="24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0" fillId="0" borderId="0" xfId="0" applyNumberFormat="1" applyFont="1" applyFill="1" applyBorder="1" applyAlignment="1">
      <x:alignment wrapText="1"/>
    </x:xf>
    <x:xf numFmtId="0" fontId="3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vertical="center"/>
    </x:xf>
    <x:xf numFmtId="0" fontId="30" fillId="21" borderId="24" xfId="0" applyNumberFormat="1" applyFont="1" applyFill="1" applyBorder="1" applyAlignment="1">
      <x:alignment vertical="center" wrapText="1"/>
    </x:xf>
    <x:xf numFmtId="0" fontId="0" fillId="0" borderId="24" xfId="0" applyNumberFormat="1" applyFont="1" applyFill="1" applyBorder="1" applyAlignment="1">
      <x:alignment vertical="center"/>
    </x:xf>
    <x:xf numFmtId="0" fontId="30" fillId="21" borderId="0" xfId="0" applyNumberFormat="1" applyFont="1" applyFill="1" applyBorder="1" applyAlignment="1">
      <x:alignment vertical="center"/>
    </x:xf>
    <x:xf numFmtId="0" fontId="30" fillId="0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31" fillId="2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4">
    <x:dxf>
      <x:fill>
        <x:patternFill>
          <x:bgColor rgb="FFEAF3F6"/>
        </x:patternFill>
      </x:fill>
    </x:dxf>
    <x:dxf>
      <x:fill>
        <x:patternFill>
          <x:bgColor rgb="FFEAF3F6"/>
        </x:patternFill>
      </x:fill>
    </x:dxf>
    <x:dxf>
      <x:fill>
        <x:patternFill>
          <x:bgColor rgb="FFEAF3F6"/>
        </x:patternFill>
      </x:fill>
    </x:dxf>
    <x:dxf>
      <x:font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ba72799902457d" /><Relationship Type="http://schemas.openxmlformats.org/officeDocument/2006/relationships/theme" Target="/xl/theme/theme1.xml" Id="R385f8543f8b347e3" /><Relationship Type="http://schemas.openxmlformats.org/officeDocument/2006/relationships/sheetMetadata" Target="/xl/metadata1.xml" Id="Rcc9ae8473aa04df6" /><Relationship Type="http://schemas.openxmlformats.org/officeDocument/2006/relationships/sharedStrings" Target="/xl/sharedStrings.xml" Id="Rc54212f26c504fc9" /><Relationship Type="http://schemas.openxmlformats.org/officeDocument/2006/relationships/worksheet" Target="/xl/worksheets/sheet1.xml" Id="Rcabb946ada65494b" /><Relationship Type="http://schemas.openxmlformats.org/officeDocument/2006/relationships/worksheet" Target="/xl/worksheets/sheet2.xml" Id="Rcb7e59c29b08488e" /><Relationship Type="http://schemas.openxmlformats.org/officeDocument/2006/relationships/worksheet" Target="/xl/worksheets/sheet3.xml" Id="Rf72334fffcfd4026" /><Relationship Type="http://schemas.openxmlformats.org/officeDocument/2006/relationships/worksheet" Target="/xl/worksheets/sheet4.xml" Id="R82008b6fa1774a3f" /><Relationship Type="http://schemas.openxmlformats.org/officeDocument/2006/relationships/worksheet" Target="/xl/worksheets/sheet5.xml" Id="R798c65a9dd33418c" /><Relationship Type="http://schemas.openxmlformats.org/officeDocument/2006/relationships/worksheet" Target="/xl/worksheets/sheet6.xml" Id="R440cc0a6fcdd411b" /><Relationship Type="http://schemas.openxmlformats.org/officeDocument/2006/relationships/worksheet" Target="/xl/worksheets/sheet7.xml" Id="R6e41ac2c9300411d" /><Relationship Type="http://schemas.openxmlformats.org/officeDocument/2006/relationships/worksheet" Target="/xl/worksheets/sheet8.xml" Id="Ra3f069cf92f547bb" /><Relationship Type="http://schemas.openxmlformats.org/officeDocument/2006/relationships/worksheet" Target="/xl/worksheets/sheet9.xml" Id="R5b07b21436004208" /><Relationship Type="http://schemas.openxmlformats.org/officeDocument/2006/relationships/worksheet" Target="/xl/worksheets/sheet10.xml" Id="Ra176bd964d904d93" /><Relationship Type="http://schemas.openxmlformats.org/officeDocument/2006/relationships/worksheet" Target="/xl/worksheets/sheet11.xml" Id="R5cbc155d58ed472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2f8ff5f6ea3469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1e19011372724aa9" /><Relationship Type="http://schemas.openxmlformats.org/officeDocument/2006/relationships/chart" Target="/xl/drawings/charts/chart3.xml" Id="Rf051af4af6934aae" /></Relationships>
</file>

<file path=xl/drawings/charts/chart1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400" b="0" i="0" u="non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Historia de decisiones monetarias y disensos</a:t>
            </a:r>
          </a:p>
        </c:rich>
      </c:tx>
      <c:overlay val="0"/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0" i="0" u="non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layout>
        <c:manualLayout>
          <c:layoutTarget val="inner"/>
          <c:xMode val="edge"/>
          <c:yMode val="edge"/>
          <c:x val="0.02073558810330056"/>
          <c:y val="0.2699164689791598"/>
          <c:w val="0.962978686640092"/>
          <c:h val="0.580656502824291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GRAPH_DATA!$E$1</c:f>
              <c:strCache>
                <c:ptCount val="1"/>
                <c:pt idx="0">
                  <c:v>Disensos_Hawk</c:v>
                </c:pt>
              </c:strCache>
            </c:strRef>
          </c:tx>
          <c:spPr>
            <a:solidFill xmlns:a="http://schemas.openxmlformats.org/drawingml/2006/main">
              <a:srgbClr val="00B0F0"/>
            </a:solidFill>
            <a:ln xmlns:a="http://schemas.openxmlformats.org/drawingml/2006/main">
              <a:solidFill>
                <a:srgbClr val="00B0F0"/>
              </a:solidFill>
            </a:ln>
          </c:spPr>
          <c:invertIfNegative val="0"/>
          <c:cat>
            <c:numRef>
              <c:f>GRAPH_DATA!$A$2:$A$237</c:f>
              <c:numCache>
                <c:formatCode>dd\-mmm\-yyyy</c:formatCode>
                <c:ptCount val="236"/>
                <c:pt idx="0">
                  <c:v>36543</c:v>
                </c:pt>
                <c:pt idx="1">
                  <c:v>36662</c:v>
                </c:pt>
                <c:pt idx="2">
                  <c:v>36703</c:v>
                </c:pt>
                <c:pt idx="3">
                  <c:v>36738</c:v>
                </c:pt>
                <c:pt idx="4">
                  <c:v>36816</c:v>
                </c:pt>
                <c:pt idx="5">
                  <c:v>36840</c:v>
                </c:pt>
                <c:pt idx="6">
                  <c:v>36903</c:v>
                </c:pt>
                <c:pt idx="7">
                  <c:v>37029</c:v>
                </c:pt>
                <c:pt idx="8">
                  <c:v>37103</c:v>
                </c:pt>
                <c:pt idx="9">
                  <c:v>37295</c:v>
                </c:pt>
                <c:pt idx="10">
                  <c:v>37358</c:v>
                </c:pt>
                <c:pt idx="11">
                  <c:v>37522</c:v>
                </c:pt>
                <c:pt idx="12">
                  <c:v>37596</c:v>
                </c:pt>
                <c:pt idx="13">
                  <c:v>37631</c:v>
                </c:pt>
                <c:pt idx="14">
                  <c:v>37645</c:v>
                </c:pt>
                <c:pt idx="15">
                  <c:v>37659</c:v>
                </c:pt>
                <c:pt idx="16">
                  <c:v>37673</c:v>
                </c:pt>
                <c:pt idx="17">
                  <c:v>37708</c:v>
                </c:pt>
                <c:pt idx="18">
                  <c:v>37736</c:v>
                </c:pt>
                <c:pt idx="19">
                  <c:v>37764</c:v>
                </c:pt>
                <c:pt idx="20">
                  <c:v>37799</c:v>
                </c:pt>
                <c:pt idx="21">
                  <c:v>37827</c:v>
                </c:pt>
                <c:pt idx="22">
                  <c:v>37855</c:v>
                </c:pt>
                <c:pt idx="23">
                  <c:v>37890</c:v>
                </c:pt>
                <c:pt idx="24">
                  <c:v>37918</c:v>
                </c:pt>
                <c:pt idx="25">
                  <c:v>37946</c:v>
                </c:pt>
                <c:pt idx="26">
                  <c:v>37966</c:v>
                </c:pt>
                <c:pt idx="27">
                  <c:v>38009</c:v>
                </c:pt>
                <c:pt idx="28">
                  <c:v>38037</c:v>
                </c:pt>
                <c:pt idx="29">
                  <c:v>38058</c:v>
                </c:pt>
                <c:pt idx="30">
                  <c:v>38072</c:v>
                </c:pt>
                <c:pt idx="31">
                  <c:v>38100</c:v>
                </c:pt>
                <c:pt idx="32">
                  <c:v>38104</c:v>
                </c:pt>
                <c:pt idx="33">
                  <c:v>38135</c:v>
                </c:pt>
                <c:pt idx="34">
                  <c:v>38163</c:v>
                </c:pt>
                <c:pt idx="35">
                  <c:v>38191</c:v>
                </c:pt>
                <c:pt idx="36">
                  <c:v>38226</c:v>
                </c:pt>
                <c:pt idx="37">
                  <c:v>38254</c:v>
                </c:pt>
                <c:pt idx="38">
                  <c:v>38282</c:v>
                </c:pt>
                <c:pt idx="39">
                  <c:v>38317</c:v>
                </c:pt>
                <c:pt idx="40">
                  <c:v>38331</c:v>
                </c:pt>
                <c:pt idx="41">
                  <c:v>38380</c:v>
                </c:pt>
                <c:pt idx="42">
                  <c:v>38408</c:v>
                </c:pt>
                <c:pt idx="43">
                  <c:v>38434</c:v>
                </c:pt>
                <c:pt idx="44">
                  <c:v>38464</c:v>
                </c:pt>
                <c:pt idx="45">
                  <c:v>38499</c:v>
                </c:pt>
                <c:pt idx="46">
                  <c:v>38527</c:v>
                </c:pt>
                <c:pt idx="47">
                  <c:v>38555</c:v>
                </c:pt>
                <c:pt idx="48">
                  <c:v>38590</c:v>
                </c:pt>
                <c:pt idx="49">
                  <c:v>38618</c:v>
                </c:pt>
                <c:pt idx="50">
                  <c:v>38653</c:v>
                </c:pt>
                <c:pt idx="51">
                  <c:v>38681</c:v>
                </c:pt>
                <c:pt idx="52">
                  <c:v>38695</c:v>
                </c:pt>
                <c:pt idx="53">
                  <c:v>38744</c:v>
                </c:pt>
                <c:pt idx="54">
                  <c:v>38772</c:v>
                </c:pt>
                <c:pt idx="55">
                  <c:v>38800</c:v>
                </c:pt>
                <c:pt idx="56">
                  <c:v>38828</c:v>
                </c:pt>
                <c:pt idx="57">
                  <c:v>38863</c:v>
                </c:pt>
                <c:pt idx="58">
                  <c:v>38891</c:v>
                </c:pt>
                <c:pt idx="59">
                  <c:v>38926</c:v>
                </c:pt>
                <c:pt idx="60">
                  <c:v>38954</c:v>
                </c:pt>
                <c:pt idx="61">
                  <c:v>38982</c:v>
                </c:pt>
                <c:pt idx="62">
                  <c:v>39017</c:v>
                </c:pt>
                <c:pt idx="63">
                  <c:v>39045</c:v>
                </c:pt>
                <c:pt idx="64">
                  <c:v>39059</c:v>
                </c:pt>
                <c:pt idx="65">
                  <c:v>39108</c:v>
                </c:pt>
                <c:pt idx="66">
                  <c:v>39136</c:v>
                </c:pt>
                <c:pt idx="67">
                  <c:v>39164</c:v>
                </c:pt>
                <c:pt idx="68">
                  <c:v>39199</c:v>
                </c:pt>
                <c:pt idx="69">
                  <c:v>39227</c:v>
                </c:pt>
                <c:pt idx="70">
                  <c:v>39255</c:v>
                </c:pt>
                <c:pt idx="71">
                  <c:v>39290</c:v>
                </c:pt>
                <c:pt idx="72">
                  <c:v>39318</c:v>
                </c:pt>
                <c:pt idx="73">
                  <c:v>39346</c:v>
                </c:pt>
                <c:pt idx="74">
                  <c:v>39381</c:v>
                </c:pt>
                <c:pt idx="75">
                  <c:v>39409</c:v>
                </c:pt>
                <c:pt idx="76">
                  <c:v>39423</c:v>
                </c:pt>
                <c:pt idx="77">
                  <c:v>39465</c:v>
                </c:pt>
                <c:pt idx="78">
                  <c:v>39493</c:v>
                </c:pt>
                <c:pt idx="79">
                  <c:v>39521</c:v>
                </c:pt>
                <c:pt idx="80">
                  <c:v>39556</c:v>
                </c:pt>
                <c:pt idx="81">
                  <c:v>39584</c:v>
                </c:pt>
                <c:pt idx="82">
                  <c:v>39619</c:v>
                </c:pt>
                <c:pt idx="83">
                  <c:v>39647</c:v>
                </c:pt>
                <c:pt idx="84">
                  <c:v>39675</c:v>
                </c:pt>
                <c:pt idx="85">
                  <c:v>39710</c:v>
                </c:pt>
                <c:pt idx="86">
                  <c:v>39738</c:v>
                </c:pt>
                <c:pt idx="87">
                  <c:v>39780</c:v>
                </c:pt>
                <c:pt idx="88">
                  <c:v>39829</c:v>
                </c:pt>
                <c:pt idx="89">
                  <c:v>39864</c:v>
                </c:pt>
                <c:pt idx="90">
                  <c:v>39892</c:v>
                </c:pt>
                <c:pt idx="91">
                  <c:v>39920</c:v>
                </c:pt>
                <c:pt idx="92">
                  <c:v>39948</c:v>
                </c:pt>
                <c:pt idx="93">
                  <c:v>39983</c:v>
                </c:pt>
                <c:pt idx="94">
                  <c:v>40011</c:v>
                </c:pt>
                <c:pt idx="95">
                  <c:v>40046</c:v>
                </c:pt>
                <c:pt idx="96">
                  <c:v>40074</c:v>
                </c:pt>
                <c:pt idx="97">
                  <c:v>40102</c:v>
                </c:pt>
                <c:pt idx="98">
                  <c:v>40144</c:v>
                </c:pt>
                <c:pt idx="99">
                  <c:v>40193</c:v>
                </c:pt>
                <c:pt idx="100">
                  <c:v>40228</c:v>
                </c:pt>
                <c:pt idx="101">
                  <c:v>40256</c:v>
                </c:pt>
                <c:pt idx="102">
                  <c:v>40284</c:v>
                </c:pt>
                <c:pt idx="103">
                  <c:v>40319</c:v>
                </c:pt>
                <c:pt idx="104">
                  <c:v>40347</c:v>
                </c:pt>
                <c:pt idx="105">
                  <c:v>40375</c:v>
                </c:pt>
                <c:pt idx="106">
                  <c:v>40410</c:v>
                </c:pt>
                <c:pt idx="107">
                  <c:v>40445</c:v>
                </c:pt>
                <c:pt idx="108">
                  <c:v>40466</c:v>
                </c:pt>
                <c:pt idx="109">
                  <c:v>40508</c:v>
                </c:pt>
                <c:pt idx="110">
                  <c:v>40564</c:v>
                </c:pt>
                <c:pt idx="111">
                  <c:v>40606</c:v>
                </c:pt>
                <c:pt idx="112">
                  <c:v>40648</c:v>
                </c:pt>
                <c:pt idx="113">
                  <c:v>40690</c:v>
                </c:pt>
                <c:pt idx="114">
                  <c:v>40732</c:v>
                </c:pt>
                <c:pt idx="115">
                  <c:v>40781</c:v>
                </c:pt>
                <c:pt idx="116">
                  <c:v>40830</c:v>
                </c:pt>
                <c:pt idx="117">
                  <c:v>40879</c:v>
                </c:pt>
                <c:pt idx="118">
                  <c:v>40928</c:v>
                </c:pt>
                <c:pt idx="119">
                  <c:v>40984</c:v>
                </c:pt>
                <c:pt idx="120">
                  <c:v>41026</c:v>
                </c:pt>
                <c:pt idx="121">
                  <c:v>41068</c:v>
                </c:pt>
                <c:pt idx="122">
                  <c:v>41110</c:v>
                </c:pt>
                <c:pt idx="123">
                  <c:v>41159</c:v>
                </c:pt>
                <c:pt idx="124">
                  <c:v>41208</c:v>
                </c:pt>
                <c:pt idx="125">
                  <c:v>41243</c:v>
                </c:pt>
                <c:pt idx="126">
                  <c:v>41292</c:v>
                </c:pt>
                <c:pt idx="127">
                  <c:v>41341</c:v>
                </c:pt>
                <c:pt idx="128">
                  <c:v>41390</c:v>
                </c:pt>
                <c:pt idx="129">
                  <c:v>41432</c:v>
                </c:pt>
                <c:pt idx="130">
                  <c:v>41467</c:v>
                </c:pt>
                <c:pt idx="131">
                  <c:v>41523</c:v>
                </c:pt>
                <c:pt idx="132">
                  <c:v>41572</c:v>
                </c:pt>
                <c:pt idx="133">
                  <c:v>41614</c:v>
                </c:pt>
                <c:pt idx="134">
                  <c:v>41670</c:v>
                </c:pt>
                <c:pt idx="135">
                  <c:v>41719</c:v>
                </c:pt>
                <c:pt idx="136">
                  <c:v>41754</c:v>
                </c:pt>
                <c:pt idx="137">
                  <c:v>41796</c:v>
                </c:pt>
                <c:pt idx="138">
                  <c:v>41831</c:v>
                </c:pt>
                <c:pt idx="139">
                  <c:v>41887</c:v>
                </c:pt>
                <c:pt idx="140">
                  <c:v>41943</c:v>
                </c:pt>
                <c:pt idx="141">
                  <c:v>41978</c:v>
                </c:pt>
                <c:pt idx="142">
                  <c:v>42033</c:v>
                </c:pt>
                <c:pt idx="143">
                  <c:v>42089</c:v>
                </c:pt>
                <c:pt idx="144">
                  <c:v>42124</c:v>
                </c:pt>
                <c:pt idx="145">
                  <c:v>42159</c:v>
                </c:pt>
                <c:pt idx="146">
                  <c:v>42215</c:v>
                </c:pt>
                <c:pt idx="147">
                  <c:v>42268</c:v>
                </c:pt>
                <c:pt idx="148">
                  <c:v>42306</c:v>
                </c:pt>
                <c:pt idx="149">
                  <c:v>42355</c:v>
                </c:pt>
                <c:pt idx="150">
                  <c:v>42404</c:v>
                </c:pt>
                <c:pt idx="151">
                  <c:v>42417</c:v>
                </c:pt>
                <c:pt idx="152">
                  <c:v>42447</c:v>
                </c:pt>
                <c:pt idx="153">
                  <c:v>42495</c:v>
                </c:pt>
                <c:pt idx="154">
                  <c:v>42551</c:v>
                </c:pt>
                <c:pt idx="155">
                  <c:v>42593</c:v>
                </c:pt>
                <c:pt idx="156">
                  <c:v>42642</c:v>
                </c:pt>
                <c:pt idx="157">
                  <c:v>42691</c:v>
                </c:pt>
                <c:pt idx="158">
                  <c:v>42719</c:v>
                </c:pt>
                <c:pt idx="159">
                  <c:v>42775</c:v>
                </c:pt>
                <c:pt idx="160">
                  <c:v>42824</c:v>
                </c:pt>
                <c:pt idx="161">
                  <c:v>42873</c:v>
                </c:pt>
                <c:pt idx="162">
                  <c:v>42908</c:v>
                </c:pt>
                <c:pt idx="163">
                  <c:v>42957</c:v>
                </c:pt>
                <c:pt idx="164">
                  <c:v>43006</c:v>
                </c:pt>
                <c:pt idx="165">
                  <c:v>43048</c:v>
                </c:pt>
                <c:pt idx="166">
                  <c:v>43083</c:v>
                </c:pt>
                <c:pt idx="167">
                  <c:v>43139</c:v>
                </c:pt>
                <c:pt idx="168">
                  <c:v>43202</c:v>
                </c:pt>
                <c:pt idx="169">
                  <c:v>43237</c:v>
                </c:pt>
                <c:pt idx="170">
                  <c:v>43272</c:v>
                </c:pt>
                <c:pt idx="171">
                  <c:v>43314</c:v>
                </c:pt>
                <c:pt idx="172">
                  <c:v>43377</c:v>
                </c:pt>
                <c:pt idx="173">
                  <c:v>43419</c:v>
                </c:pt>
                <c:pt idx="174">
                  <c:v>43454</c:v>
                </c:pt>
                <c:pt idx="175">
                  <c:v>43503</c:v>
                </c:pt>
                <c:pt idx="176">
                  <c:v>43552</c:v>
                </c:pt>
                <c:pt idx="177">
                  <c:v>43601</c:v>
                </c:pt>
                <c:pt idx="178">
                  <c:v>43643</c:v>
                </c:pt>
                <c:pt idx="179">
                  <c:v>43692</c:v>
                </c:pt>
                <c:pt idx="180">
                  <c:v>43734</c:v>
                </c:pt>
                <c:pt idx="181">
                  <c:v>43783</c:v>
                </c:pt>
                <c:pt idx="182">
                  <c:v>43818</c:v>
                </c:pt>
                <c:pt idx="183">
                  <c:v>43874</c:v>
                </c:pt>
                <c:pt idx="184">
                  <c:v>43910</c:v>
                </c:pt>
                <c:pt idx="185">
                  <c:v>43942</c:v>
                </c:pt>
                <c:pt idx="186">
                  <c:v>43965</c:v>
                </c:pt>
                <c:pt idx="187">
                  <c:v>44007</c:v>
                </c:pt>
                <c:pt idx="188">
                  <c:v>44056</c:v>
                </c:pt>
                <c:pt idx="189">
                  <c:v>44098</c:v>
                </c:pt>
                <c:pt idx="190">
                  <c:v>44147</c:v>
                </c:pt>
                <c:pt idx="191">
                  <c:v>44182</c:v>
                </c:pt>
                <c:pt idx="192">
                  <c:v>44238</c:v>
                </c:pt>
                <c:pt idx="193">
                  <c:v>44280</c:v>
                </c:pt>
                <c:pt idx="194">
                  <c:v>44329</c:v>
                </c:pt>
                <c:pt idx="195">
                  <c:v>44371</c:v>
                </c:pt>
                <c:pt idx="196">
                  <c:v>44420</c:v>
                </c:pt>
                <c:pt idx="197">
                  <c:v>44469</c:v>
                </c:pt>
                <c:pt idx="198">
                  <c:v>44511</c:v>
                </c:pt>
                <c:pt idx="199">
                  <c:v>44546</c:v>
                </c:pt>
                <c:pt idx="200">
                  <c:v>44602</c:v>
                </c:pt>
                <c:pt idx="201">
                  <c:v>44644</c:v>
                </c:pt>
                <c:pt idx="202">
                  <c:v>44693</c:v>
                </c:pt>
                <c:pt idx="203">
                  <c:v>44735</c:v>
                </c:pt>
                <c:pt idx="204">
                  <c:v>44784</c:v>
                </c:pt>
                <c:pt idx="205">
                  <c:v>44833</c:v>
                </c:pt>
                <c:pt idx="206">
                  <c:v>44875</c:v>
                </c:pt>
                <c:pt idx="207">
                  <c:v>44910</c:v>
                </c:pt>
                <c:pt idx="208">
                  <c:v>44966</c:v>
                </c:pt>
                <c:pt idx="209">
                  <c:v>45015</c:v>
                </c:pt>
                <c:pt idx="210">
                  <c:v>45064</c:v>
                </c:pt>
                <c:pt idx="211">
                  <c:v>45099</c:v>
                </c:pt>
                <c:pt idx="212">
                  <c:v>45148</c:v>
                </c:pt>
                <c:pt idx="213">
                  <c:v>45197</c:v>
                </c:pt>
                <c:pt idx="214">
                  <c:v>45239</c:v>
                </c:pt>
                <c:pt idx="215">
                  <c:v>45274</c:v>
                </c:pt>
                <c:pt idx="216">
                  <c:v>45330</c:v>
                </c:pt>
                <c:pt idx="217">
                  <c:v>45372</c:v>
                </c:pt>
                <c:pt idx="218">
                  <c:v>45421</c:v>
                </c:pt>
                <c:pt idx="219">
                  <c:v>45470</c:v>
                </c:pt>
                <c:pt idx="220">
                  <c:v>45512</c:v>
                </c:pt>
                <c:pt idx="221">
                  <c:v>45561</c:v>
                </c:pt>
                <c:pt idx="222">
                  <c:v>45610</c:v>
                </c:pt>
                <c:pt idx="223">
                  <c:v>45645</c:v>
                </c:pt>
                <c:pt idx="224">
                  <c:v>45694</c:v>
                </c:pt>
                <c:pt idx="225">
                  <c:v>45743</c:v>
                </c:pt>
                <c:pt idx="226">
                  <c:v>45792</c:v>
                </c:pt>
                <c:pt idx="227">
                  <c:v>45834</c:v>
                </c:pt>
                <c:pt idx="228">
                  <c:v>45876</c:v>
                </c:pt>
                <c:pt idx="229">
                  <c:v>45925</c:v>
                </c:pt>
                <c:pt idx="230">
                  <c:v>45967</c:v>
                </c:pt>
                <c:pt idx="231">
                  <c:v>46009</c:v>
                </c:pt>
                <c:pt idx="232">
                  <c:v>46058</c:v>
                </c:pt>
                <c:pt idx="233">
                  <c:v>46107</c:v>
                </c:pt>
                <c:pt idx="234">
                  <c:v>46149</c:v>
                </c:pt>
                <c:pt idx="235">
                  <c:v>46198</c:v>
                </c:pt>
              </c:numCache>
            </c:numRef>
          </c:cat>
          <c:val>
            <c:numRef>
              <c:f>GRAPH_DATA!$E$2:$E$237</c:f>
              <c:numCache>
                <c:formatCode>0</c:formatCode>
                <c:ptCount val="2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1</c:v>
                </c:pt>
                <c:pt idx="173">
                  <c:v>1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1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1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1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1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1</c:v>
                </c:pt>
                <c:pt idx="218">
                  <c:v>0</c:v>
                </c:pt>
                <c:pt idx="219">
                  <c:v>0</c:v>
                </c:pt>
                <c:pt idx="220">
                  <c:v>2</c:v>
                </c:pt>
                <c:pt idx="221">
                  <c:v>1</c:v>
                </c:pt>
                <c:pt idx="222">
                  <c:v>0</c:v>
                </c:pt>
                <c:pt idx="223">
                  <c:v>0</c:v>
                </c:pt>
                <c:pt idx="224">
                  <c:v>1</c:v>
                </c:pt>
                <c:pt idx="225">
                  <c:v>0</c:v>
                </c:pt>
                <c:pt idx="226">
                  <c:v>0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0</c:v>
                </c:pt>
                <c:pt idx="233">
                  <c:v>2</c:v>
                </c:pt>
                <c:pt idx="234">
                  <c:v>2</c:v>
                </c:pt>
                <c:pt idx="235">
                  <c:v>0</c:v>
                </c:pt>
              </c:numCache>
            </c:numRef>
          </c:val>
        </c:ser>
        <c:ser>
          <c:idx val="1"/>
          <c:order val="1"/>
          <c:tx>
            <c:strRef>
              <c:f>GRAPH_DATA!$F$1</c:f>
              <c:strCache>
                <c:ptCount val="1"/>
                <c:pt idx="0">
                  <c:v>Disensos_Dovish</c:v>
                </c:pt>
              </c:strCache>
            </c:strRef>
          </c:tx>
          <c:spPr>
            <a:solidFill xmlns:a="http://schemas.openxmlformats.org/drawingml/2006/main">
              <a:schemeClr val="accent2"/>
            </a:solidFill>
            <a:ln xmlns:a="http://schemas.openxmlformats.org/drawingml/2006/main">
              <a:solidFill>
                <a:schemeClr val="accent2"/>
              </a:solidFill>
            </a:ln>
          </c:spPr>
          <c:invertIfNegative val="0"/>
          <c:cat>
            <c:numRef>
              <c:f>GRAPH_DATA!$A$2:$A$237</c:f>
              <c:numCache>
                <c:formatCode>dd\-mmm\-yyyy</c:formatCode>
                <c:ptCount val="236"/>
                <c:pt idx="0">
                  <c:v>36543</c:v>
                </c:pt>
                <c:pt idx="1">
                  <c:v>36662</c:v>
                </c:pt>
                <c:pt idx="2">
                  <c:v>36703</c:v>
                </c:pt>
                <c:pt idx="3">
                  <c:v>36738</c:v>
                </c:pt>
                <c:pt idx="4">
                  <c:v>36816</c:v>
                </c:pt>
                <c:pt idx="5">
                  <c:v>36840</c:v>
                </c:pt>
                <c:pt idx="6">
                  <c:v>36903</c:v>
                </c:pt>
                <c:pt idx="7">
                  <c:v>37029</c:v>
                </c:pt>
                <c:pt idx="8">
                  <c:v>37103</c:v>
                </c:pt>
                <c:pt idx="9">
                  <c:v>37295</c:v>
                </c:pt>
                <c:pt idx="10">
                  <c:v>37358</c:v>
                </c:pt>
                <c:pt idx="11">
                  <c:v>37522</c:v>
                </c:pt>
                <c:pt idx="12">
                  <c:v>37596</c:v>
                </c:pt>
                <c:pt idx="13">
                  <c:v>37631</c:v>
                </c:pt>
                <c:pt idx="14">
                  <c:v>37645</c:v>
                </c:pt>
                <c:pt idx="15">
                  <c:v>37659</c:v>
                </c:pt>
                <c:pt idx="16">
                  <c:v>37673</c:v>
                </c:pt>
                <c:pt idx="17">
                  <c:v>37708</c:v>
                </c:pt>
                <c:pt idx="18">
                  <c:v>37736</c:v>
                </c:pt>
                <c:pt idx="19">
                  <c:v>37764</c:v>
                </c:pt>
                <c:pt idx="20">
                  <c:v>37799</c:v>
                </c:pt>
                <c:pt idx="21">
                  <c:v>37827</c:v>
                </c:pt>
                <c:pt idx="22">
                  <c:v>37855</c:v>
                </c:pt>
                <c:pt idx="23">
                  <c:v>37890</c:v>
                </c:pt>
                <c:pt idx="24">
                  <c:v>37918</c:v>
                </c:pt>
                <c:pt idx="25">
                  <c:v>37946</c:v>
                </c:pt>
                <c:pt idx="26">
                  <c:v>37966</c:v>
                </c:pt>
                <c:pt idx="27">
                  <c:v>38009</c:v>
                </c:pt>
                <c:pt idx="28">
                  <c:v>38037</c:v>
                </c:pt>
                <c:pt idx="29">
                  <c:v>38058</c:v>
                </c:pt>
                <c:pt idx="30">
                  <c:v>38072</c:v>
                </c:pt>
                <c:pt idx="31">
                  <c:v>38100</c:v>
                </c:pt>
                <c:pt idx="32">
                  <c:v>38104</c:v>
                </c:pt>
                <c:pt idx="33">
                  <c:v>38135</c:v>
                </c:pt>
                <c:pt idx="34">
                  <c:v>38163</c:v>
                </c:pt>
                <c:pt idx="35">
                  <c:v>38191</c:v>
                </c:pt>
                <c:pt idx="36">
                  <c:v>38226</c:v>
                </c:pt>
                <c:pt idx="37">
                  <c:v>38254</c:v>
                </c:pt>
                <c:pt idx="38">
                  <c:v>38282</c:v>
                </c:pt>
                <c:pt idx="39">
                  <c:v>38317</c:v>
                </c:pt>
                <c:pt idx="40">
                  <c:v>38331</c:v>
                </c:pt>
                <c:pt idx="41">
                  <c:v>38380</c:v>
                </c:pt>
                <c:pt idx="42">
                  <c:v>38408</c:v>
                </c:pt>
                <c:pt idx="43">
                  <c:v>38434</c:v>
                </c:pt>
                <c:pt idx="44">
                  <c:v>38464</c:v>
                </c:pt>
                <c:pt idx="45">
                  <c:v>38499</c:v>
                </c:pt>
                <c:pt idx="46">
                  <c:v>38527</c:v>
                </c:pt>
                <c:pt idx="47">
                  <c:v>38555</c:v>
                </c:pt>
                <c:pt idx="48">
                  <c:v>38590</c:v>
                </c:pt>
                <c:pt idx="49">
                  <c:v>38618</c:v>
                </c:pt>
                <c:pt idx="50">
                  <c:v>38653</c:v>
                </c:pt>
                <c:pt idx="51">
                  <c:v>38681</c:v>
                </c:pt>
                <c:pt idx="52">
                  <c:v>38695</c:v>
                </c:pt>
                <c:pt idx="53">
                  <c:v>38744</c:v>
                </c:pt>
                <c:pt idx="54">
                  <c:v>38772</c:v>
                </c:pt>
                <c:pt idx="55">
                  <c:v>38800</c:v>
                </c:pt>
                <c:pt idx="56">
                  <c:v>38828</c:v>
                </c:pt>
                <c:pt idx="57">
                  <c:v>38863</c:v>
                </c:pt>
                <c:pt idx="58">
                  <c:v>38891</c:v>
                </c:pt>
                <c:pt idx="59">
                  <c:v>38926</c:v>
                </c:pt>
                <c:pt idx="60">
                  <c:v>38954</c:v>
                </c:pt>
                <c:pt idx="61">
                  <c:v>38982</c:v>
                </c:pt>
                <c:pt idx="62">
                  <c:v>39017</c:v>
                </c:pt>
                <c:pt idx="63">
                  <c:v>39045</c:v>
                </c:pt>
                <c:pt idx="64">
                  <c:v>39059</c:v>
                </c:pt>
                <c:pt idx="65">
                  <c:v>39108</c:v>
                </c:pt>
                <c:pt idx="66">
                  <c:v>39136</c:v>
                </c:pt>
                <c:pt idx="67">
                  <c:v>39164</c:v>
                </c:pt>
                <c:pt idx="68">
                  <c:v>39199</c:v>
                </c:pt>
                <c:pt idx="69">
                  <c:v>39227</c:v>
                </c:pt>
                <c:pt idx="70">
                  <c:v>39255</c:v>
                </c:pt>
                <c:pt idx="71">
                  <c:v>39290</c:v>
                </c:pt>
                <c:pt idx="72">
                  <c:v>39318</c:v>
                </c:pt>
                <c:pt idx="73">
                  <c:v>39346</c:v>
                </c:pt>
                <c:pt idx="74">
                  <c:v>39381</c:v>
                </c:pt>
                <c:pt idx="75">
                  <c:v>39409</c:v>
                </c:pt>
                <c:pt idx="76">
                  <c:v>39423</c:v>
                </c:pt>
                <c:pt idx="77">
                  <c:v>39465</c:v>
                </c:pt>
                <c:pt idx="78">
                  <c:v>39493</c:v>
                </c:pt>
                <c:pt idx="79">
                  <c:v>39521</c:v>
                </c:pt>
                <c:pt idx="80">
                  <c:v>39556</c:v>
                </c:pt>
                <c:pt idx="81">
                  <c:v>39584</c:v>
                </c:pt>
                <c:pt idx="82">
                  <c:v>39619</c:v>
                </c:pt>
                <c:pt idx="83">
                  <c:v>39647</c:v>
                </c:pt>
                <c:pt idx="84">
                  <c:v>39675</c:v>
                </c:pt>
                <c:pt idx="85">
                  <c:v>39710</c:v>
                </c:pt>
                <c:pt idx="86">
                  <c:v>39738</c:v>
                </c:pt>
                <c:pt idx="87">
                  <c:v>39780</c:v>
                </c:pt>
                <c:pt idx="88">
                  <c:v>39829</c:v>
                </c:pt>
                <c:pt idx="89">
                  <c:v>39864</c:v>
                </c:pt>
                <c:pt idx="90">
                  <c:v>39892</c:v>
                </c:pt>
                <c:pt idx="91">
                  <c:v>39920</c:v>
                </c:pt>
                <c:pt idx="92">
                  <c:v>39948</c:v>
                </c:pt>
                <c:pt idx="93">
                  <c:v>39983</c:v>
                </c:pt>
                <c:pt idx="94">
                  <c:v>40011</c:v>
                </c:pt>
                <c:pt idx="95">
                  <c:v>40046</c:v>
                </c:pt>
                <c:pt idx="96">
                  <c:v>40074</c:v>
                </c:pt>
                <c:pt idx="97">
                  <c:v>40102</c:v>
                </c:pt>
                <c:pt idx="98">
                  <c:v>40144</c:v>
                </c:pt>
                <c:pt idx="99">
                  <c:v>40193</c:v>
                </c:pt>
                <c:pt idx="100">
                  <c:v>40228</c:v>
                </c:pt>
                <c:pt idx="101">
                  <c:v>40256</c:v>
                </c:pt>
                <c:pt idx="102">
                  <c:v>40284</c:v>
                </c:pt>
                <c:pt idx="103">
                  <c:v>40319</c:v>
                </c:pt>
                <c:pt idx="104">
                  <c:v>40347</c:v>
                </c:pt>
                <c:pt idx="105">
                  <c:v>40375</c:v>
                </c:pt>
                <c:pt idx="106">
                  <c:v>40410</c:v>
                </c:pt>
                <c:pt idx="107">
                  <c:v>40445</c:v>
                </c:pt>
                <c:pt idx="108">
                  <c:v>40466</c:v>
                </c:pt>
                <c:pt idx="109">
                  <c:v>40508</c:v>
                </c:pt>
                <c:pt idx="110">
                  <c:v>40564</c:v>
                </c:pt>
                <c:pt idx="111">
                  <c:v>40606</c:v>
                </c:pt>
                <c:pt idx="112">
                  <c:v>40648</c:v>
                </c:pt>
                <c:pt idx="113">
                  <c:v>40690</c:v>
                </c:pt>
                <c:pt idx="114">
                  <c:v>40732</c:v>
                </c:pt>
                <c:pt idx="115">
                  <c:v>40781</c:v>
                </c:pt>
                <c:pt idx="116">
                  <c:v>40830</c:v>
                </c:pt>
                <c:pt idx="117">
                  <c:v>40879</c:v>
                </c:pt>
                <c:pt idx="118">
                  <c:v>40928</c:v>
                </c:pt>
                <c:pt idx="119">
                  <c:v>40984</c:v>
                </c:pt>
                <c:pt idx="120">
                  <c:v>41026</c:v>
                </c:pt>
                <c:pt idx="121">
                  <c:v>41068</c:v>
                </c:pt>
                <c:pt idx="122">
                  <c:v>41110</c:v>
                </c:pt>
                <c:pt idx="123">
                  <c:v>41159</c:v>
                </c:pt>
                <c:pt idx="124">
                  <c:v>41208</c:v>
                </c:pt>
                <c:pt idx="125">
                  <c:v>41243</c:v>
                </c:pt>
                <c:pt idx="126">
                  <c:v>41292</c:v>
                </c:pt>
                <c:pt idx="127">
                  <c:v>41341</c:v>
                </c:pt>
                <c:pt idx="128">
                  <c:v>41390</c:v>
                </c:pt>
                <c:pt idx="129">
                  <c:v>41432</c:v>
                </c:pt>
                <c:pt idx="130">
                  <c:v>41467</c:v>
                </c:pt>
                <c:pt idx="131">
                  <c:v>41523</c:v>
                </c:pt>
                <c:pt idx="132">
                  <c:v>41572</c:v>
                </c:pt>
                <c:pt idx="133">
                  <c:v>41614</c:v>
                </c:pt>
                <c:pt idx="134">
                  <c:v>41670</c:v>
                </c:pt>
                <c:pt idx="135">
                  <c:v>41719</c:v>
                </c:pt>
                <c:pt idx="136">
                  <c:v>41754</c:v>
                </c:pt>
                <c:pt idx="137">
                  <c:v>41796</c:v>
                </c:pt>
                <c:pt idx="138">
                  <c:v>41831</c:v>
                </c:pt>
                <c:pt idx="139">
                  <c:v>41887</c:v>
                </c:pt>
                <c:pt idx="140">
                  <c:v>41943</c:v>
                </c:pt>
                <c:pt idx="141">
                  <c:v>41978</c:v>
                </c:pt>
                <c:pt idx="142">
                  <c:v>42033</c:v>
                </c:pt>
                <c:pt idx="143">
                  <c:v>42089</c:v>
                </c:pt>
                <c:pt idx="144">
                  <c:v>42124</c:v>
                </c:pt>
                <c:pt idx="145">
                  <c:v>42159</c:v>
                </c:pt>
                <c:pt idx="146">
                  <c:v>42215</c:v>
                </c:pt>
                <c:pt idx="147">
                  <c:v>42268</c:v>
                </c:pt>
                <c:pt idx="148">
                  <c:v>42306</c:v>
                </c:pt>
                <c:pt idx="149">
                  <c:v>42355</c:v>
                </c:pt>
                <c:pt idx="150">
                  <c:v>42404</c:v>
                </c:pt>
                <c:pt idx="151">
                  <c:v>42417</c:v>
                </c:pt>
                <c:pt idx="152">
                  <c:v>42447</c:v>
                </c:pt>
                <c:pt idx="153">
                  <c:v>42495</c:v>
                </c:pt>
                <c:pt idx="154">
                  <c:v>42551</c:v>
                </c:pt>
                <c:pt idx="155">
                  <c:v>42593</c:v>
                </c:pt>
                <c:pt idx="156">
                  <c:v>42642</c:v>
                </c:pt>
                <c:pt idx="157">
                  <c:v>42691</c:v>
                </c:pt>
                <c:pt idx="158">
                  <c:v>42719</c:v>
                </c:pt>
                <c:pt idx="159">
                  <c:v>42775</c:v>
                </c:pt>
                <c:pt idx="160">
                  <c:v>42824</c:v>
                </c:pt>
                <c:pt idx="161">
                  <c:v>42873</c:v>
                </c:pt>
                <c:pt idx="162">
                  <c:v>42908</c:v>
                </c:pt>
                <c:pt idx="163">
                  <c:v>42957</c:v>
                </c:pt>
                <c:pt idx="164">
                  <c:v>43006</c:v>
                </c:pt>
                <c:pt idx="165">
                  <c:v>43048</c:v>
                </c:pt>
                <c:pt idx="166">
                  <c:v>43083</c:v>
                </c:pt>
                <c:pt idx="167">
                  <c:v>43139</c:v>
                </c:pt>
                <c:pt idx="168">
                  <c:v>43202</c:v>
                </c:pt>
                <c:pt idx="169">
                  <c:v>43237</c:v>
                </c:pt>
                <c:pt idx="170">
                  <c:v>43272</c:v>
                </c:pt>
                <c:pt idx="171">
                  <c:v>43314</c:v>
                </c:pt>
                <c:pt idx="172">
                  <c:v>43377</c:v>
                </c:pt>
                <c:pt idx="173">
                  <c:v>43419</c:v>
                </c:pt>
                <c:pt idx="174">
                  <c:v>43454</c:v>
                </c:pt>
                <c:pt idx="175">
                  <c:v>43503</c:v>
                </c:pt>
                <c:pt idx="176">
                  <c:v>43552</c:v>
                </c:pt>
                <c:pt idx="177">
                  <c:v>43601</c:v>
                </c:pt>
                <c:pt idx="178">
                  <c:v>43643</c:v>
                </c:pt>
                <c:pt idx="179">
                  <c:v>43692</c:v>
                </c:pt>
                <c:pt idx="180">
                  <c:v>43734</c:v>
                </c:pt>
                <c:pt idx="181">
                  <c:v>43783</c:v>
                </c:pt>
                <c:pt idx="182">
                  <c:v>43818</c:v>
                </c:pt>
                <c:pt idx="183">
                  <c:v>43874</c:v>
                </c:pt>
                <c:pt idx="184">
                  <c:v>43910</c:v>
                </c:pt>
                <c:pt idx="185">
                  <c:v>43942</c:v>
                </c:pt>
                <c:pt idx="186">
                  <c:v>43965</c:v>
                </c:pt>
                <c:pt idx="187">
                  <c:v>44007</c:v>
                </c:pt>
                <c:pt idx="188">
                  <c:v>44056</c:v>
                </c:pt>
                <c:pt idx="189">
                  <c:v>44098</c:v>
                </c:pt>
                <c:pt idx="190">
                  <c:v>44147</c:v>
                </c:pt>
                <c:pt idx="191">
                  <c:v>44182</c:v>
                </c:pt>
                <c:pt idx="192">
                  <c:v>44238</c:v>
                </c:pt>
                <c:pt idx="193">
                  <c:v>44280</c:v>
                </c:pt>
                <c:pt idx="194">
                  <c:v>44329</c:v>
                </c:pt>
                <c:pt idx="195">
                  <c:v>44371</c:v>
                </c:pt>
                <c:pt idx="196">
                  <c:v>44420</c:v>
                </c:pt>
                <c:pt idx="197">
                  <c:v>44469</c:v>
                </c:pt>
                <c:pt idx="198">
                  <c:v>44511</c:v>
                </c:pt>
                <c:pt idx="199">
                  <c:v>44546</c:v>
                </c:pt>
                <c:pt idx="200">
                  <c:v>44602</c:v>
                </c:pt>
                <c:pt idx="201">
                  <c:v>44644</c:v>
                </c:pt>
                <c:pt idx="202">
                  <c:v>44693</c:v>
                </c:pt>
                <c:pt idx="203">
                  <c:v>44735</c:v>
                </c:pt>
                <c:pt idx="204">
                  <c:v>44784</c:v>
                </c:pt>
                <c:pt idx="205">
                  <c:v>44833</c:v>
                </c:pt>
                <c:pt idx="206">
                  <c:v>44875</c:v>
                </c:pt>
                <c:pt idx="207">
                  <c:v>44910</c:v>
                </c:pt>
                <c:pt idx="208">
                  <c:v>44966</c:v>
                </c:pt>
                <c:pt idx="209">
                  <c:v>45015</c:v>
                </c:pt>
                <c:pt idx="210">
                  <c:v>45064</c:v>
                </c:pt>
                <c:pt idx="211">
                  <c:v>45099</c:v>
                </c:pt>
                <c:pt idx="212">
                  <c:v>45148</c:v>
                </c:pt>
                <c:pt idx="213">
                  <c:v>45197</c:v>
                </c:pt>
                <c:pt idx="214">
                  <c:v>45239</c:v>
                </c:pt>
                <c:pt idx="215">
                  <c:v>45274</c:v>
                </c:pt>
                <c:pt idx="216">
                  <c:v>45330</c:v>
                </c:pt>
                <c:pt idx="217">
                  <c:v>45372</c:v>
                </c:pt>
                <c:pt idx="218">
                  <c:v>45421</c:v>
                </c:pt>
                <c:pt idx="219">
                  <c:v>45470</c:v>
                </c:pt>
                <c:pt idx="220">
                  <c:v>45512</c:v>
                </c:pt>
                <c:pt idx="221">
                  <c:v>45561</c:v>
                </c:pt>
                <c:pt idx="222">
                  <c:v>45610</c:v>
                </c:pt>
                <c:pt idx="223">
                  <c:v>45645</c:v>
                </c:pt>
                <c:pt idx="224">
                  <c:v>45694</c:v>
                </c:pt>
                <c:pt idx="225">
                  <c:v>45743</c:v>
                </c:pt>
                <c:pt idx="226">
                  <c:v>45792</c:v>
                </c:pt>
                <c:pt idx="227">
                  <c:v>45834</c:v>
                </c:pt>
                <c:pt idx="228">
                  <c:v>45876</c:v>
                </c:pt>
                <c:pt idx="229">
                  <c:v>45925</c:v>
                </c:pt>
                <c:pt idx="230">
                  <c:v>45967</c:v>
                </c:pt>
                <c:pt idx="231">
                  <c:v>46009</c:v>
                </c:pt>
                <c:pt idx="232">
                  <c:v>46058</c:v>
                </c:pt>
                <c:pt idx="233">
                  <c:v>46107</c:v>
                </c:pt>
                <c:pt idx="234">
                  <c:v>46149</c:v>
                </c:pt>
                <c:pt idx="235">
                  <c:v>46198</c:v>
                </c:pt>
              </c:numCache>
            </c:numRef>
          </c:cat>
          <c:val>
            <c:numRef>
              <c:f>GRAPH_DATA!$F$2:$F$237</c:f>
              <c:numCache>
                <c:formatCode>0</c:formatCode>
                <c:ptCount val="2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1</c:v>
                </c:pt>
                <c:pt idx="179">
                  <c:v>0</c:v>
                </c:pt>
                <c:pt idx="180">
                  <c:v>2</c:v>
                </c:pt>
                <c:pt idx="181">
                  <c:v>2</c:v>
                </c:pt>
                <c:pt idx="182">
                  <c:v>1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1</c:v>
                </c:pt>
                <c:pt idx="191">
                  <c:v>2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2</c:v>
                </c:pt>
                <c:pt idx="196">
                  <c:v>2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1</c:v>
                </c:pt>
                <c:pt idx="207">
                  <c:v>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357006000"/>
        <c:axId val="1380384688"/>
      </c:barChart>
      <c:lineChart>
        <c:grouping val="standard"/>
        <c:varyColors val="0"/>
        <c:ser>
          <c:idx val="2"/>
          <c:order val="2"/>
          <c:tx>
            <c:strRef>
              <c:f>GRAPH_DATA!$C$1</c:f>
              <c:strCache>
                <c:ptCount val="1"/>
                <c:pt idx="0">
                  <c:v>Tasa_Objetivo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1"/>
              </a:solidFill>
            </a:ln>
          </c:spPr>
          <c:marker>
            <c:symbol val="none"/>
          </c:marker>
          <c:dPt>
            <c:idx val="78"/>
            <c:marker>
              <c:symbol val="none"/>
            </c:marker>
            <c:spPr>
              <a:ln xmlns:a="http://schemas.openxmlformats.org/drawingml/2006/main" w="28575">
                <a:noFill/>
              </a:ln>
            </c:spPr>
          </c:dPt>
          <c:cat>
            <c:numRef>
              <c:f>GRAPH_DATA!$A$2:$A$237</c:f>
              <c:numCache>
                <c:formatCode>dd\-mmm\-yyyy</c:formatCode>
                <c:ptCount val="236"/>
                <c:pt idx="0">
                  <c:v>36543</c:v>
                </c:pt>
                <c:pt idx="1">
                  <c:v>36662</c:v>
                </c:pt>
                <c:pt idx="2">
                  <c:v>36703</c:v>
                </c:pt>
                <c:pt idx="3">
                  <c:v>36738</c:v>
                </c:pt>
                <c:pt idx="4">
                  <c:v>36816</c:v>
                </c:pt>
                <c:pt idx="5">
                  <c:v>36840</c:v>
                </c:pt>
                <c:pt idx="6">
                  <c:v>36903</c:v>
                </c:pt>
                <c:pt idx="7">
                  <c:v>37029</c:v>
                </c:pt>
                <c:pt idx="8">
                  <c:v>37103</c:v>
                </c:pt>
                <c:pt idx="9">
                  <c:v>37295</c:v>
                </c:pt>
                <c:pt idx="10">
                  <c:v>37358</c:v>
                </c:pt>
                <c:pt idx="11">
                  <c:v>37522</c:v>
                </c:pt>
                <c:pt idx="12">
                  <c:v>37596</c:v>
                </c:pt>
                <c:pt idx="13">
                  <c:v>37631</c:v>
                </c:pt>
                <c:pt idx="14">
                  <c:v>37645</c:v>
                </c:pt>
                <c:pt idx="15">
                  <c:v>37659</c:v>
                </c:pt>
                <c:pt idx="16">
                  <c:v>37673</c:v>
                </c:pt>
                <c:pt idx="17">
                  <c:v>37708</c:v>
                </c:pt>
                <c:pt idx="18">
                  <c:v>37736</c:v>
                </c:pt>
                <c:pt idx="19">
                  <c:v>37764</c:v>
                </c:pt>
                <c:pt idx="20">
                  <c:v>37799</c:v>
                </c:pt>
                <c:pt idx="21">
                  <c:v>37827</c:v>
                </c:pt>
                <c:pt idx="22">
                  <c:v>37855</c:v>
                </c:pt>
                <c:pt idx="23">
                  <c:v>37890</c:v>
                </c:pt>
                <c:pt idx="24">
                  <c:v>37918</c:v>
                </c:pt>
                <c:pt idx="25">
                  <c:v>37946</c:v>
                </c:pt>
                <c:pt idx="26">
                  <c:v>37966</c:v>
                </c:pt>
                <c:pt idx="27">
                  <c:v>38009</c:v>
                </c:pt>
                <c:pt idx="28">
                  <c:v>38037</c:v>
                </c:pt>
                <c:pt idx="29">
                  <c:v>38058</c:v>
                </c:pt>
                <c:pt idx="30">
                  <c:v>38072</c:v>
                </c:pt>
                <c:pt idx="31">
                  <c:v>38100</c:v>
                </c:pt>
                <c:pt idx="32">
                  <c:v>38104</c:v>
                </c:pt>
                <c:pt idx="33">
                  <c:v>38135</c:v>
                </c:pt>
                <c:pt idx="34">
                  <c:v>38163</c:v>
                </c:pt>
                <c:pt idx="35">
                  <c:v>38191</c:v>
                </c:pt>
                <c:pt idx="36">
                  <c:v>38226</c:v>
                </c:pt>
                <c:pt idx="37">
                  <c:v>38254</c:v>
                </c:pt>
                <c:pt idx="38">
                  <c:v>38282</c:v>
                </c:pt>
                <c:pt idx="39">
                  <c:v>38317</c:v>
                </c:pt>
                <c:pt idx="40">
                  <c:v>38331</c:v>
                </c:pt>
                <c:pt idx="41">
                  <c:v>38380</c:v>
                </c:pt>
                <c:pt idx="42">
                  <c:v>38408</c:v>
                </c:pt>
                <c:pt idx="43">
                  <c:v>38434</c:v>
                </c:pt>
                <c:pt idx="44">
                  <c:v>38464</c:v>
                </c:pt>
                <c:pt idx="45">
                  <c:v>38499</c:v>
                </c:pt>
                <c:pt idx="46">
                  <c:v>38527</c:v>
                </c:pt>
                <c:pt idx="47">
                  <c:v>38555</c:v>
                </c:pt>
                <c:pt idx="48">
                  <c:v>38590</c:v>
                </c:pt>
                <c:pt idx="49">
                  <c:v>38618</c:v>
                </c:pt>
                <c:pt idx="50">
                  <c:v>38653</c:v>
                </c:pt>
                <c:pt idx="51">
                  <c:v>38681</c:v>
                </c:pt>
                <c:pt idx="52">
                  <c:v>38695</c:v>
                </c:pt>
                <c:pt idx="53">
                  <c:v>38744</c:v>
                </c:pt>
                <c:pt idx="54">
                  <c:v>38772</c:v>
                </c:pt>
                <c:pt idx="55">
                  <c:v>38800</c:v>
                </c:pt>
                <c:pt idx="56">
                  <c:v>38828</c:v>
                </c:pt>
                <c:pt idx="57">
                  <c:v>38863</c:v>
                </c:pt>
                <c:pt idx="58">
                  <c:v>38891</c:v>
                </c:pt>
                <c:pt idx="59">
                  <c:v>38926</c:v>
                </c:pt>
                <c:pt idx="60">
                  <c:v>38954</c:v>
                </c:pt>
                <c:pt idx="61">
                  <c:v>38982</c:v>
                </c:pt>
                <c:pt idx="62">
                  <c:v>39017</c:v>
                </c:pt>
                <c:pt idx="63">
                  <c:v>39045</c:v>
                </c:pt>
                <c:pt idx="64">
                  <c:v>39059</c:v>
                </c:pt>
                <c:pt idx="65">
                  <c:v>39108</c:v>
                </c:pt>
                <c:pt idx="66">
                  <c:v>39136</c:v>
                </c:pt>
                <c:pt idx="67">
                  <c:v>39164</c:v>
                </c:pt>
                <c:pt idx="68">
                  <c:v>39199</c:v>
                </c:pt>
                <c:pt idx="69">
                  <c:v>39227</c:v>
                </c:pt>
                <c:pt idx="70">
                  <c:v>39255</c:v>
                </c:pt>
                <c:pt idx="71">
                  <c:v>39290</c:v>
                </c:pt>
                <c:pt idx="72">
                  <c:v>39318</c:v>
                </c:pt>
                <c:pt idx="73">
                  <c:v>39346</c:v>
                </c:pt>
                <c:pt idx="74">
                  <c:v>39381</c:v>
                </c:pt>
                <c:pt idx="75">
                  <c:v>39409</c:v>
                </c:pt>
                <c:pt idx="76">
                  <c:v>39423</c:v>
                </c:pt>
                <c:pt idx="77">
                  <c:v>39465</c:v>
                </c:pt>
                <c:pt idx="78">
                  <c:v>39493</c:v>
                </c:pt>
                <c:pt idx="79">
                  <c:v>39521</c:v>
                </c:pt>
                <c:pt idx="80">
                  <c:v>39556</c:v>
                </c:pt>
                <c:pt idx="81">
                  <c:v>39584</c:v>
                </c:pt>
                <c:pt idx="82">
                  <c:v>39619</c:v>
                </c:pt>
                <c:pt idx="83">
                  <c:v>39647</c:v>
                </c:pt>
                <c:pt idx="84">
                  <c:v>39675</c:v>
                </c:pt>
                <c:pt idx="85">
                  <c:v>39710</c:v>
                </c:pt>
                <c:pt idx="86">
                  <c:v>39738</c:v>
                </c:pt>
                <c:pt idx="87">
                  <c:v>39780</c:v>
                </c:pt>
                <c:pt idx="88">
                  <c:v>39829</c:v>
                </c:pt>
                <c:pt idx="89">
                  <c:v>39864</c:v>
                </c:pt>
                <c:pt idx="90">
                  <c:v>39892</c:v>
                </c:pt>
                <c:pt idx="91">
                  <c:v>39920</c:v>
                </c:pt>
                <c:pt idx="92">
                  <c:v>39948</c:v>
                </c:pt>
                <c:pt idx="93">
                  <c:v>39983</c:v>
                </c:pt>
                <c:pt idx="94">
                  <c:v>40011</c:v>
                </c:pt>
                <c:pt idx="95">
                  <c:v>40046</c:v>
                </c:pt>
                <c:pt idx="96">
                  <c:v>40074</c:v>
                </c:pt>
                <c:pt idx="97">
                  <c:v>40102</c:v>
                </c:pt>
                <c:pt idx="98">
                  <c:v>40144</c:v>
                </c:pt>
                <c:pt idx="99">
                  <c:v>40193</c:v>
                </c:pt>
                <c:pt idx="100">
                  <c:v>40228</c:v>
                </c:pt>
                <c:pt idx="101">
                  <c:v>40256</c:v>
                </c:pt>
                <c:pt idx="102">
                  <c:v>40284</c:v>
                </c:pt>
                <c:pt idx="103">
                  <c:v>40319</c:v>
                </c:pt>
                <c:pt idx="104">
                  <c:v>40347</c:v>
                </c:pt>
                <c:pt idx="105">
                  <c:v>40375</c:v>
                </c:pt>
                <c:pt idx="106">
                  <c:v>40410</c:v>
                </c:pt>
                <c:pt idx="107">
                  <c:v>40445</c:v>
                </c:pt>
                <c:pt idx="108">
                  <c:v>40466</c:v>
                </c:pt>
                <c:pt idx="109">
                  <c:v>40508</c:v>
                </c:pt>
                <c:pt idx="110">
                  <c:v>40564</c:v>
                </c:pt>
                <c:pt idx="111">
                  <c:v>40606</c:v>
                </c:pt>
                <c:pt idx="112">
                  <c:v>40648</c:v>
                </c:pt>
                <c:pt idx="113">
                  <c:v>40690</c:v>
                </c:pt>
                <c:pt idx="114">
                  <c:v>40732</c:v>
                </c:pt>
                <c:pt idx="115">
                  <c:v>40781</c:v>
                </c:pt>
                <c:pt idx="116">
                  <c:v>40830</c:v>
                </c:pt>
                <c:pt idx="117">
                  <c:v>40879</c:v>
                </c:pt>
                <c:pt idx="118">
                  <c:v>40928</c:v>
                </c:pt>
                <c:pt idx="119">
                  <c:v>40984</c:v>
                </c:pt>
                <c:pt idx="120">
                  <c:v>41026</c:v>
                </c:pt>
                <c:pt idx="121">
                  <c:v>41068</c:v>
                </c:pt>
                <c:pt idx="122">
                  <c:v>41110</c:v>
                </c:pt>
                <c:pt idx="123">
                  <c:v>41159</c:v>
                </c:pt>
                <c:pt idx="124">
                  <c:v>41208</c:v>
                </c:pt>
                <c:pt idx="125">
                  <c:v>41243</c:v>
                </c:pt>
                <c:pt idx="126">
                  <c:v>41292</c:v>
                </c:pt>
                <c:pt idx="127">
                  <c:v>41341</c:v>
                </c:pt>
                <c:pt idx="128">
                  <c:v>41390</c:v>
                </c:pt>
                <c:pt idx="129">
                  <c:v>41432</c:v>
                </c:pt>
                <c:pt idx="130">
                  <c:v>41467</c:v>
                </c:pt>
                <c:pt idx="131">
                  <c:v>41523</c:v>
                </c:pt>
                <c:pt idx="132">
                  <c:v>41572</c:v>
                </c:pt>
                <c:pt idx="133">
                  <c:v>41614</c:v>
                </c:pt>
                <c:pt idx="134">
                  <c:v>41670</c:v>
                </c:pt>
                <c:pt idx="135">
                  <c:v>41719</c:v>
                </c:pt>
                <c:pt idx="136">
                  <c:v>41754</c:v>
                </c:pt>
                <c:pt idx="137">
                  <c:v>41796</c:v>
                </c:pt>
                <c:pt idx="138">
                  <c:v>41831</c:v>
                </c:pt>
                <c:pt idx="139">
                  <c:v>41887</c:v>
                </c:pt>
                <c:pt idx="140">
                  <c:v>41943</c:v>
                </c:pt>
                <c:pt idx="141">
                  <c:v>41978</c:v>
                </c:pt>
                <c:pt idx="142">
                  <c:v>42033</c:v>
                </c:pt>
                <c:pt idx="143">
                  <c:v>42089</c:v>
                </c:pt>
                <c:pt idx="144">
                  <c:v>42124</c:v>
                </c:pt>
                <c:pt idx="145">
                  <c:v>42159</c:v>
                </c:pt>
                <c:pt idx="146">
                  <c:v>42215</c:v>
                </c:pt>
                <c:pt idx="147">
                  <c:v>42268</c:v>
                </c:pt>
                <c:pt idx="148">
                  <c:v>42306</c:v>
                </c:pt>
                <c:pt idx="149">
                  <c:v>42355</c:v>
                </c:pt>
                <c:pt idx="150">
                  <c:v>42404</c:v>
                </c:pt>
                <c:pt idx="151">
                  <c:v>42417</c:v>
                </c:pt>
                <c:pt idx="152">
                  <c:v>42447</c:v>
                </c:pt>
                <c:pt idx="153">
                  <c:v>42495</c:v>
                </c:pt>
                <c:pt idx="154">
                  <c:v>42551</c:v>
                </c:pt>
                <c:pt idx="155">
                  <c:v>42593</c:v>
                </c:pt>
                <c:pt idx="156">
                  <c:v>42642</c:v>
                </c:pt>
                <c:pt idx="157">
                  <c:v>42691</c:v>
                </c:pt>
                <c:pt idx="158">
                  <c:v>42719</c:v>
                </c:pt>
                <c:pt idx="159">
                  <c:v>42775</c:v>
                </c:pt>
                <c:pt idx="160">
                  <c:v>42824</c:v>
                </c:pt>
                <c:pt idx="161">
                  <c:v>42873</c:v>
                </c:pt>
                <c:pt idx="162">
                  <c:v>42908</c:v>
                </c:pt>
                <c:pt idx="163">
                  <c:v>42957</c:v>
                </c:pt>
                <c:pt idx="164">
                  <c:v>43006</c:v>
                </c:pt>
                <c:pt idx="165">
                  <c:v>43048</c:v>
                </c:pt>
                <c:pt idx="166">
                  <c:v>43083</c:v>
                </c:pt>
                <c:pt idx="167">
                  <c:v>43139</c:v>
                </c:pt>
                <c:pt idx="168">
                  <c:v>43202</c:v>
                </c:pt>
                <c:pt idx="169">
                  <c:v>43237</c:v>
                </c:pt>
                <c:pt idx="170">
                  <c:v>43272</c:v>
                </c:pt>
                <c:pt idx="171">
                  <c:v>43314</c:v>
                </c:pt>
                <c:pt idx="172">
                  <c:v>43377</c:v>
                </c:pt>
                <c:pt idx="173">
                  <c:v>43419</c:v>
                </c:pt>
                <c:pt idx="174">
                  <c:v>43454</c:v>
                </c:pt>
                <c:pt idx="175">
                  <c:v>43503</c:v>
                </c:pt>
                <c:pt idx="176">
                  <c:v>43552</c:v>
                </c:pt>
                <c:pt idx="177">
                  <c:v>43601</c:v>
                </c:pt>
                <c:pt idx="178">
                  <c:v>43643</c:v>
                </c:pt>
                <c:pt idx="179">
                  <c:v>43692</c:v>
                </c:pt>
                <c:pt idx="180">
                  <c:v>43734</c:v>
                </c:pt>
                <c:pt idx="181">
                  <c:v>43783</c:v>
                </c:pt>
                <c:pt idx="182">
                  <c:v>43818</c:v>
                </c:pt>
                <c:pt idx="183">
                  <c:v>43874</c:v>
                </c:pt>
                <c:pt idx="184">
                  <c:v>43910</c:v>
                </c:pt>
                <c:pt idx="185">
                  <c:v>43942</c:v>
                </c:pt>
                <c:pt idx="186">
                  <c:v>43965</c:v>
                </c:pt>
                <c:pt idx="187">
                  <c:v>44007</c:v>
                </c:pt>
                <c:pt idx="188">
                  <c:v>44056</c:v>
                </c:pt>
                <c:pt idx="189">
                  <c:v>44098</c:v>
                </c:pt>
                <c:pt idx="190">
                  <c:v>44147</c:v>
                </c:pt>
                <c:pt idx="191">
                  <c:v>44182</c:v>
                </c:pt>
                <c:pt idx="192">
                  <c:v>44238</c:v>
                </c:pt>
                <c:pt idx="193">
                  <c:v>44280</c:v>
                </c:pt>
                <c:pt idx="194">
                  <c:v>44329</c:v>
                </c:pt>
                <c:pt idx="195">
                  <c:v>44371</c:v>
                </c:pt>
                <c:pt idx="196">
                  <c:v>44420</c:v>
                </c:pt>
                <c:pt idx="197">
                  <c:v>44469</c:v>
                </c:pt>
                <c:pt idx="198">
                  <c:v>44511</c:v>
                </c:pt>
                <c:pt idx="199">
                  <c:v>44546</c:v>
                </c:pt>
                <c:pt idx="200">
                  <c:v>44602</c:v>
                </c:pt>
                <c:pt idx="201">
                  <c:v>44644</c:v>
                </c:pt>
                <c:pt idx="202">
                  <c:v>44693</c:v>
                </c:pt>
                <c:pt idx="203">
                  <c:v>44735</c:v>
                </c:pt>
                <c:pt idx="204">
                  <c:v>44784</c:v>
                </c:pt>
                <c:pt idx="205">
                  <c:v>44833</c:v>
                </c:pt>
                <c:pt idx="206">
                  <c:v>44875</c:v>
                </c:pt>
                <c:pt idx="207">
                  <c:v>44910</c:v>
                </c:pt>
                <c:pt idx="208">
                  <c:v>44966</c:v>
                </c:pt>
                <c:pt idx="209">
                  <c:v>45015</c:v>
                </c:pt>
                <c:pt idx="210">
                  <c:v>45064</c:v>
                </c:pt>
                <c:pt idx="211">
                  <c:v>45099</c:v>
                </c:pt>
                <c:pt idx="212">
                  <c:v>45148</c:v>
                </c:pt>
                <c:pt idx="213">
                  <c:v>45197</c:v>
                </c:pt>
                <c:pt idx="214">
                  <c:v>45239</c:v>
                </c:pt>
                <c:pt idx="215">
                  <c:v>45274</c:v>
                </c:pt>
                <c:pt idx="216">
                  <c:v>45330</c:v>
                </c:pt>
                <c:pt idx="217">
                  <c:v>45372</c:v>
                </c:pt>
                <c:pt idx="218">
                  <c:v>45421</c:v>
                </c:pt>
                <c:pt idx="219">
                  <c:v>45470</c:v>
                </c:pt>
                <c:pt idx="220">
                  <c:v>45512</c:v>
                </c:pt>
                <c:pt idx="221">
                  <c:v>45561</c:v>
                </c:pt>
                <c:pt idx="222">
                  <c:v>45610</c:v>
                </c:pt>
                <c:pt idx="223">
                  <c:v>45645</c:v>
                </c:pt>
                <c:pt idx="224">
                  <c:v>45694</c:v>
                </c:pt>
                <c:pt idx="225">
                  <c:v>45743</c:v>
                </c:pt>
                <c:pt idx="226">
                  <c:v>45792</c:v>
                </c:pt>
                <c:pt idx="227">
                  <c:v>45834</c:v>
                </c:pt>
                <c:pt idx="228">
                  <c:v>45876</c:v>
                </c:pt>
                <c:pt idx="229">
                  <c:v>45925</c:v>
                </c:pt>
                <c:pt idx="230">
                  <c:v>45967</c:v>
                </c:pt>
                <c:pt idx="231">
                  <c:v>46009</c:v>
                </c:pt>
                <c:pt idx="232">
                  <c:v>46058</c:v>
                </c:pt>
                <c:pt idx="233">
                  <c:v>46107</c:v>
                </c:pt>
                <c:pt idx="234">
                  <c:v>46149</c:v>
                </c:pt>
                <c:pt idx="235">
                  <c:v>46198</c:v>
                </c:pt>
              </c:numCache>
            </c:numRef>
          </c:cat>
          <c:val>
            <c:numRef>
              <c:f>GRAPH_DATA!$C$2:$C$237</c:f>
              <c:numCache>
                <c:formatCode>0.00</c:formatCode>
                <c:ptCount val="2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7.5</c:v>
                </c:pt>
                <c:pt idx="79">
                  <c:v>7.5</c:v>
                </c:pt>
                <c:pt idx="80">
                  <c:v>7.5</c:v>
                </c:pt>
                <c:pt idx="81">
                  <c:v>7.5</c:v>
                </c:pt>
                <c:pt idx="82">
                  <c:v>7.75</c:v>
                </c:pt>
                <c:pt idx="83">
                  <c:v>8</c:v>
                </c:pt>
                <c:pt idx="84">
                  <c:v>8.25</c:v>
                </c:pt>
                <c:pt idx="85">
                  <c:v>8.25</c:v>
                </c:pt>
                <c:pt idx="86">
                  <c:v>8.25</c:v>
                </c:pt>
                <c:pt idx="87">
                  <c:v>8.25</c:v>
                </c:pt>
                <c:pt idx="88">
                  <c:v>7.75</c:v>
                </c:pt>
                <c:pt idx="89">
                  <c:v>7.5</c:v>
                </c:pt>
                <c:pt idx="90">
                  <c:v>6.75</c:v>
                </c:pt>
                <c:pt idx="91">
                  <c:v>6</c:v>
                </c:pt>
                <c:pt idx="92">
                  <c:v>5.25</c:v>
                </c:pt>
                <c:pt idx="93">
                  <c:v>4.75</c:v>
                </c:pt>
                <c:pt idx="94">
                  <c:v>4.5</c:v>
                </c:pt>
                <c:pt idx="95">
                  <c:v>4.5</c:v>
                </c:pt>
                <c:pt idx="96">
                  <c:v>4.5</c:v>
                </c:pt>
                <c:pt idx="97">
                  <c:v>4.5</c:v>
                </c:pt>
                <c:pt idx="98">
                  <c:v>4.5</c:v>
                </c:pt>
                <c:pt idx="99">
                  <c:v>4.5</c:v>
                </c:pt>
                <c:pt idx="100">
                  <c:v>4.5</c:v>
                </c:pt>
                <c:pt idx="101">
                  <c:v>4.5</c:v>
                </c:pt>
                <c:pt idx="102">
                  <c:v>4.5</c:v>
                </c:pt>
                <c:pt idx="103">
                  <c:v>4.5</c:v>
                </c:pt>
                <c:pt idx="104">
                  <c:v>4.5</c:v>
                </c:pt>
                <c:pt idx="105">
                  <c:v>4.5</c:v>
                </c:pt>
                <c:pt idx="106">
                  <c:v>4.5</c:v>
                </c:pt>
                <c:pt idx="107">
                  <c:v>4.5</c:v>
                </c:pt>
                <c:pt idx="108">
                  <c:v>4.5</c:v>
                </c:pt>
                <c:pt idx="109">
                  <c:v>4.5</c:v>
                </c:pt>
                <c:pt idx="110">
                  <c:v>4.5</c:v>
                </c:pt>
                <c:pt idx="111">
                  <c:v>4.5</c:v>
                </c:pt>
                <c:pt idx="112">
                  <c:v>4.5</c:v>
                </c:pt>
                <c:pt idx="113">
                  <c:v>4.5</c:v>
                </c:pt>
                <c:pt idx="114">
                  <c:v>4.5</c:v>
                </c:pt>
                <c:pt idx="115">
                  <c:v>4.5</c:v>
                </c:pt>
                <c:pt idx="116">
                  <c:v>4.5</c:v>
                </c:pt>
                <c:pt idx="117">
                  <c:v>4.5</c:v>
                </c:pt>
                <c:pt idx="118">
                  <c:v>4.5</c:v>
                </c:pt>
                <c:pt idx="119">
                  <c:v>4.5</c:v>
                </c:pt>
                <c:pt idx="120">
                  <c:v>4.5</c:v>
                </c:pt>
                <c:pt idx="121">
                  <c:v>4.5</c:v>
                </c:pt>
                <c:pt idx="122">
                  <c:v>4.5</c:v>
                </c:pt>
                <c:pt idx="123">
                  <c:v>4.5</c:v>
                </c:pt>
                <c:pt idx="124">
                  <c:v>4.5</c:v>
                </c:pt>
                <c:pt idx="125">
                  <c:v>4.5</c:v>
                </c:pt>
                <c:pt idx="126">
                  <c:v>4.5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3.75</c:v>
                </c:pt>
                <c:pt idx="132">
                  <c:v>3.5</c:v>
                </c:pt>
                <c:pt idx="133">
                  <c:v>3.5</c:v>
                </c:pt>
                <c:pt idx="134">
                  <c:v>3.5</c:v>
                </c:pt>
                <c:pt idx="135">
                  <c:v>3.5</c:v>
                </c:pt>
                <c:pt idx="136">
                  <c:v>3.5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3</c:v>
                </c:pt>
                <c:pt idx="149">
                  <c:v>3.25</c:v>
                </c:pt>
                <c:pt idx="150">
                  <c:v>3.25</c:v>
                </c:pt>
                <c:pt idx="151">
                  <c:v>3.75</c:v>
                </c:pt>
                <c:pt idx="152">
                  <c:v>3.75</c:v>
                </c:pt>
                <c:pt idx="153">
                  <c:v>3.75</c:v>
                </c:pt>
                <c:pt idx="154">
                  <c:v>4.25</c:v>
                </c:pt>
                <c:pt idx="155">
                  <c:v>4.25</c:v>
                </c:pt>
                <c:pt idx="156">
                  <c:v>4.75</c:v>
                </c:pt>
                <c:pt idx="157">
                  <c:v>5.25</c:v>
                </c:pt>
                <c:pt idx="158">
                  <c:v>5.75</c:v>
                </c:pt>
                <c:pt idx="159">
                  <c:v>6.25</c:v>
                </c:pt>
                <c:pt idx="160">
                  <c:v>6.5</c:v>
                </c:pt>
                <c:pt idx="161">
                  <c:v>6.75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7.25</c:v>
                </c:pt>
                <c:pt idx="167">
                  <c:v>7.5</c:v>
                </c:pt>
                <c:pt idx="168">
                  <c:v>7.5</c:v>
                </c:pt>
                <c:pt idx="169">
                  <c:v>7.5</c:v>
                </c:pt>
                <c:pt idx="170">
                  <c:v>7.75</c:v>
                </c:pt>
                <c:pt idx="171">
                  <c:v>7.75</c:v>
                </c:pt>
                <c:pt idx="172">
                  <c:v>7.75</c:v>
                </c:pt>
                <c:pt idx="173">
                  <c:v>8</c:v>
                </c:pt>
                <c:pt idx="174">
                  <c:v>8.25</c:v>
                </c:pt>
                <c:pt idx="175">
                  <c:v>8.25</c:v>
                </c:pt>
                <c:pt idx="176">
                  <c:v>8.25</c:v>
                </c:pt>
                <c:pt idx="177">
                  <c:v>8.25</c:v>
                </c:pt>
                <c:pt idx="178">
                  <c:v>8.25</c:v>
                </c:pt>
                <c:pt idx="179">
                  <c:v>8</c:v>
                </c:pt>
                <c:pt idx="180">
                  <c:v>7.75</c:v>
                </c:pt>
                <c:pt idx="181">
                  <c:v>7.5</c:v>
                </c:pt>
                <c:pt idx="182">
                  <c:v>7.25</c:v>
                </c:pt>
                <c:pt idx="183">
                  <c:v>7</c:v>
                </c:pt>
                <c:pt idx="184">
                  <c:v>6.5</c:v>
                </c:pt>
                <c:pt idx="185">
                  <c:v>6</c:v>
                </c:pt>
                <c:pt idx="186">
                  <c:v>5.5</c:v>
                </c:pt>
                <c:pt idx="187">
                  <c:v>5</c:v>
                </c:pt>
                <c:pt idx="188">
                  <c:v>4.5</c:v>
                </c:pt>
                <c:pt idx="189">
                  <c:v>4.25</c:v>
                </c:pt>
                <c:pt idx="190">
                  <c:v>4.25</c:v>
                </c:pt>
                <c:pt idx="191">
                  <c:v>4.25</c:v>
                </c:pt>
                <c:pt idx="192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4.25</c:v>
                </c:pt>
                <c:pt idx="196">
                  <c:v>4.5</c:v>
                </c:pt>
                <c:pt idx="197">
                  <c:v>4.75</c:v>
                </c:pt>
                <c:pt idx="198">
                  <c:v>5</c:v>
                </c:pt>
                <c:pt idx="199">
                  <c:v>5.5</c:v>
                </c:pt>
                <c:pt idx="200">
                  <c:v>6</c:v>
                </c:pt>
                <c:pt idx="201">
                  <c:v>6.5</c:v>
                </c:pt>
                <c:pt idx="202">
                  <c:v>7</c:v>
                </c:pt>
                <c:pt idx="203">
                  <c:v>7.75</c:v>
                </c:pt>
                <c:pt idx="204">
                  <c:v>8.5</c:v>
                </c:pt>
                <c:pt idx="205">
                  <c:v>9.25</c:v>
                </c:pt>
                <c:pt idx="206">
                  <c:v>10</c:v>
                </c:pt>
                <c:pt idx="207">
                  <c:v>10.5</c:v>
                </c:pt>
                <c:pt idx="208">
                  <c:v>11</c:v>
                </c:pt>
                <c:pt idx="209">
                  <c:v>11.25</c:v>
                </c:pt>
                <c:pt idx="210">
                  <c:v>11.25</c:v>
                </c:pt>
                <c:pt idx="211">
                  <c:v>11.25</c:v>
                </c:pt>
                <c:pt idx="212">
                  <c:v>11.25</c:v>
                </c:pt>
                <c:pt idx="213">
                  <c:v>11.25</c:v>
                </c:pt>
                <c:pt idx="214">
                  <c:v>11.25</c:v>
                </c:pt>
                <c:pt idx="215">
                  <c:v>11.25</c:v>
                </c:pt>
                <c:pt idx="216">
                  <c:v>11.25</c:v>
                </c:pt>
                <c:pt idx="217">
                  <c:v>11</c:v>
                </c:pt>
                <c:pt idx="218">
                  <c:v>11</c:v>
                </c:pt>
                <c:pt idx="219">
                  <c:v>11</c:v>
                </c:pt>
                <c:pt idx="220">
                  <c:v>10.75</c:v>
                </c:pt>
                <c:pt idx="221">
                  <c:v>10.5</c:v>
                </c:pt>
                <c:pt idx="222">
                  <c:v>10.25</c:v>
                </c:pt>
                <c:pt idx="223">
                  <c:v>10</c:v>
                </c:pt>
                <c:pt idx="224">
                  <c:v>9.5</c:v>
                </c:pt>
                <c:pt idx="225">
                  <c:v>9</c:v>
                </c:pt>
                <c:pt idx="226">
                  <c:v>8.5</c:v>
                </c:pt>
                <c:pt idx="227">
                  <c:v>8</c:v>
                </c:pt>
                <c:pt idx="228">
                  <c:v>7.75</c:v>
                </c:pt>
                <c:pt idx="229">
                  <c:v>7.5</c:v>
                </c:pt>
                <c:pt idx="230">
                  <c:v>7.25</c:v>
                </c:pt>
                <c:pt idx="231">
                  <c:v>7</c:v>
                </c:pt>
                <c:pt idx="232">
                  <c:v>7</c:v>
                </c:pt>
                <c:pt idx="233">
                  <c:v>6.75</c:v>
                </c:pt>
                <c:pt idx="234">
                  <c:v>6.5</c:v>
                </c:pt>
                <c:pt idx="235">
                  <c:v>6.5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6021488"/>
        <c:axId val="1380480208"/>
      </c:lineChart>
      <c:dateAx>
        <c:axId val="1336021488"/>
        <c:scaling>
          <c:orientation val="minMax"/>
          <c:min val="39448"/>
        </c:scaling>
        <c:delete val="0"/>
        <c:axPos val="b"/>
        <c:numFmt formatCode="yyyy" sourceLinked="0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5400000" spcFirstLastPara="1" wrap="square" anchor="ctr" anchorCtr="1"/>
          <a:lstStyle xmlns:a="http://schemas.openxmlformats.org/drawingml/2006/main"/>
          <a:p xmlns:a="http://schemas.openxmlformats.org/drawingml/2006/main">
            <a:pPr>
              <a:defRPr sz="900" b="0" i="0" u="non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1380480208"/>
        <c:crosses val="autoZero"/>
        <c:auto val="1"/>
        <c:lblOffset val="100"/>
        <c:baseTimeUnit val="days"/>
        <c:majorUnit val="1"/>
        <c:majorTimeUnit val="years"/>
      </c:dateAx>
      <c:valAx>
        <c:axId val="1380480208"/>
        <c:scaling>
          <c:orientation val="minMax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0" sourceLinked="0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1050" b="0" i="0" u="non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</a:p>
        </c:txPr>
        <c:crossAx val="1336021488"/>
        <c:crosses val="autoZero"/>
        <c:crossBetween val="between"/>
      </c:valAx>
      <c:valAx>
        <c:axId val="1380384688"/>
        <c:scaling>
          <c:orientation val="minMax"/>
          <c:max val="2"/>
        </c:scaling>
        <c:delete val="0"/>
        <c:axPos val="r"/>
        <c:numFmt formatCode="0" sourceLinked="1"/>
        <c:majorTickMark val="out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1050" b="0" i="0" u="non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</a:p>
        </c:txPr>
        <c:crossAx val="1357006000"/>
        <c:crosses val="max"/>
        <c:crossBetween val="between"/>
        <c:majorUnit val="1"/>
      </c:valAx>
      <c:dateAx>
        <c:axId val="1357006000"/>
        <c:scaling>
          <c:orientation val="minMax"/>
        </c:scaling>
        <c:delete val="1"/>
        <c:axPos val="b"/>
        <c:numFmt formatCode="dd\-mmm\-yyyy" sourceLinked="1"/>
        <c:majorTickMark val="out"/>
        <c:minorTickMark val="none"/>
        <c:tickLblPos val="nextTo"/>
        <c:crossAx val="1380384688"/>
        <c:crosses val="autoZero"/>
        <c:auto val="1"/>
        <c:lblOffset val="100"/>
        <c:baseTimeUnit val="days"/>
      </c:dateAx>
      <c:spPr>
        <a:noFill xmlns:a="http://schemas.openxmlformats.org/drawingml/2006/main"/>
        <a:ln xmlns:a="http://schemas.openxmlformats.org/drawingml/2006/main">
          <a:noFill/>
        </a:ln>
      </c:spPr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charts/chart2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400" b="0" i="0" u="non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Historia de decisiones monetarias y disensos</a:t>
            </a:r>
          </a:p>
        </c:rich>
      </c:tx>
      <c:overlay val="0"/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0" i="0" u="non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GRAPH_DATA!$E$1</c:f>
              <c:strCache>
                <c:ptCount val="1"/>
                <c:pt idx="0">
                  <c:v>Disensos_Hawk</c:v>
                </c:pt>
              </c:strCache>
            </c:strRef>
          </c:tx>
          <c:spPr>
            <a:solidFill xmlns:a="http://schemas.openxmlformats.org/drawingml/2006/main">
              <a:srgbClr val="00B0F0"/>
            </a:solidFill>
            <a:ln xmlns:a="http://schemas.openxmlformats.org/drawingml/2006/main">
              <a:solidFill>
                <a:srgbClr val="00B0F0"/>
              </a:solidFill>
            </a:ln>
          </c:spPr>
          <c:invertIfNegative val="0"/>
          <c:cat>
            <c:numRef>
              <c:f>GRAPH_DATA!$A$2:$A$237</c:f>
              <c:numCache>
                <c:formatCode>dd\-mmm\-yyyy</c:formatCode>
                <c:ptCount val="236"/>
                <c:pt idx="0">
                  <c:v>36543</c:v>
                </c:pt>
                <c:pt idx="1">
                  <c:v>36662</c:v>
                </c:pt>
                <c:pt idx="2">
                  <c:v>36703</c:v>
                </c:pt>
                <c:pt idx="3">
                  <c:v>36738</c:v>
                </c:pt>
                <c:pt idx="4">
                  <c:v>36816</c:v>
                </c:pt>
                <c:pt idx="5">
                  <c:v>36840</c:v>
                </c:pt>
                <c:pt idx="6">
                  <c:v>36903</c:v>
                </c:pt>
                <c:pt idx="7">
                  <c:v>37029</c:v>
                </c:pt>
                <c:pt idx="8">
                  <c:v>37103</c:v>
                </c:pt>
                <c:pt idx="9">
                  <c:v>37295</c:v>
                </c:pt>
                <c:pt idx="10">
                  <c:v>37358</c:v>
                </c:pt>
                <c:pt idx="11">
                  <c:v>37522</c:v>
                </c:pt>
                <c:pt idx="12">
                  <c:v>37596</c:v>
                </c:pt>
                <c:pt idx="13">
                  <c:v>37631</c:v>
                </c:pt>
                <c:pt idx="14">
                  <c:v>37645</c:v>
                </c:pt>
                <c:pt idx="15">
                  <c:v>37659</c:v>
                </c:pt>
                <c:pt idx="16">
                  <c:v>37673</c:v>
                </c:pt>
                <c:pt idx="17">
                  <c:v>37708</c:v>
                </c:pt>
                <c:pt idx="18">
                  <c:v>37736</c:v>
                </c:pt>
                <c:pt idx="19">
                  <c:v>37764</c:v>
                </c:pt>
                <c:pt idx="20">
                  <c:v>37799</c:v>
                </c:pt>
                <c:pt idx="21">
                  <c:v>37827</c:v>
                </c:pt>
                <c:pt idx="22">
                  <c:v>37855</c:v>
                </c:pt>
                <c:pt idx="23">
                  <c:v>37890</c:v>
                </c:pt>
                <c:pt idx="24">
                  <c:v>37918</c:v>
                </c:pt>
                <c:pt idx="25">
                  <c:v>37946</c:v>
                </c:pt>
                <c:pt idx="26">
                  <c:v>37966</c:v>
                </c:pt>
                <c:pt idx="27">
                  <c:v>38009</c:v>
                </c:pt>
                <c:pt idx="28">
                  <c:v>38037</c:v>
                </c:pt>
                <c:pt idx="29">
                  <c:v>38058</c:v>
                </c:pt>
                <c:pt idx="30">
                  <c:v>38072</c:v>
                </c:pt>
                <c:pt idx="31">
                  <c:v>38100</c:v>
                </c:pt>
                <c:pt idx="32">
                  <c:v>38104</c:v>
                </c:pt>
                <c:pt idx="33">
                  <c:v>38135</c:v>
                </c:pt>
                <c:pt idx="34">
                  <c:v>38163</c:v>
                </c:pt>
                <c:pt idx="35">
                  <c:v>38191</c:v>
                </c:pt>
                <c:pt idx="36">
                  <c:v>38226</c:v>
                </c:pt>
                <c:pt idx="37">
                  <c:v>38254</c:v>
                </c:pt>
                <c:pt idx="38">
                  <c:v>38282</c:v>
                </c:pt>
                <c:pt idx="39">
                  <c:v>38317</c:v>
                </c:pt>
                <c:pt idx="40">
                  <c:v>38331</c:v>
                </c:pt>
                <c:pt idx="41">
                  <c:v>38380</c:v>
                </c:pt>
                <c:pt idx="42">
                  <c:v>38408</c:v>
                </c:pt>
                <c:pt idx="43">
                  <c:v>38434</c:v>
                </c:pt>
                <c:pt idx="44">
                  <c:v>38464</c:v>
                </c:pt>
                <c:pt idx="45">
                  <c:v>38499</c:v>
                </c:pt>
                <c:pt idx="46">
                  <c:v>38527</c:v>
                </c:pt>
                <c:pt idx="47">
                  <c:v>38555</c:v>
                </c:pt>
                <c:pt idx="48">
                  <c:v>38590</c:v>
                </c:pt>
                <c:pt idx="49">
                  <c:v>38618</c:v>
                </c:pt>
                <c:pt idx="50">
                  <c:v>38653</c:v>
                </c:pt>
                <c:pt idx="51">
                  <c:v>38681</c:v>
                </c:pt>
                <c:pt idx="52">
                  <c:v>38695</c:v>
                </c:pt>
                <c:pt idx="53">
                  <c:v>38744</c:v>
                </c:pt>
                <c:pt idx="54">
                  <c:v>38772</c:v>
                </c:pt>
                <c:pt idx="55">
                  <c:v>38800</c:v>
                </c:pt>
                <c:pt idx="56">
                  <c:v>38828</c:v>
                </c:pt>
                <c:pt idx="57">
                  <c:v>38863</c:v>
                </c:pt>
                <c:pt idx="58">
                  <c:v>38891</c:v>
                </c:pt>
                <c:pt idx="59">
                  <c:v>38926</c:v>
                </c:pt>
                <c:pt idx="60">
                  <c:v>38954</c:v>
                </c:pt>
                <c:pt idx="61">
                  <c:v>38982</c:v>
                </c:pt>
                <c:pt idx="62">
                  <c:v>39017</c:v>
                </c:pt>
                <c:pt idx="63">
                  <c:v>39045</c:v>
                </c:pt>
                <c:pt idx="64">
                  <c:v>39059</c:v>
                </c:pt>
                <c:pt idx="65">
                  <c:v>39108</c:v>
                </c:pt>
                <c:pt idx="66">
                  <c:v>39136</c:v>
                </c:pt>
                <c:pt idx="67">
                  <c:v>39164</c:v>
                </c:pt>
                <c:pt idx="68">
                  <c:v>39199</c:v>
                </c:pt>
                <c:pt idx="69">
                  <c:v>39227</c:v>
                </c:pt>
                <c:pt idx="70">
                  <c:v>39255</c:v>
                </c:pt>
                <c:pt idx="71">
                  <c:v>39290</c:v>
                </c:pt>
                <c:pt idx="72">
                  <c:v>39318</c:v>
                </c:pt>
                <c:pt idx="73">
                  <c:v>39346</c:v>
                </c:pt>
                <c:pt idx="74">
                  <c:v>39381</c:v>
                </c:pt>
                <c:pt idx="75">
                  <c:v>39409</c:v>
                </c:pt>
                <c:pt idx="76">
                  <c:v>39423</c:v>
                </c:pt>
                <c:pt idx="77">
                  <c:v>39465</c:v>
                </c:pt>
                <c:pt idx="78">
                  <c:v>39493</c:v>
                </c:pt>
                <c:pt idx="79">
                  <c:v>39521</c:v>
                </c:pt>
                <c:pt idx="80">
                  <c:v>39556</c:v>
                </c:pt>
                <c:pt idx="81">
                  <c:v>39584</c:v>
                </c:pt>
                <c:pt idx="82">
                  <c:v>39619</c:v>
                </c:pt>
                <c:pt idx="83">
                  <c:v>39647</c:v>
                </c:pt>
                <c:pt idx="84">
                  <c:v>39675</c:v>
                </c:pt>
                <c:pt idx="85">
                  <c:v>39710</c:v>
                </c:pt>
                <c:pt idx="86">
                  <c:v>39738</c:v>
                </c:pt>
                <c:pt idx="87">
                  <c:v>39780</c:v>
                </c:pt>
                <c:pt idx="88">
                  <c:v>39829</c:v>
                </c:pt>
                <c:pt idx="89">
                  <c:v>39864</c:v>
                </c:pt>
                <c:pt idx="90">
                  <c:v>39892</c:v>
                </c:pt>
                <c:pt idx="91">
                  <c:v>39920</c:v>
                </c:pt>
                <c:pt idx="92">
                  <c:v>39948</c:v>
                </c:pt>
                <c:pt idx="93">
                  <c:v>39983</c:v>
                </c:pt>
                <c:pt idx="94">
                  <c:v>40011</c:v>
                </c:pt>
                <c:pt idx="95">
                  <c:v>40046</c:v>
                </c:pt>
                <c:pt idx="96">
                  <c:v>40074</c:v>
                </c:pt>
                <c:pt idx="97">
                  <c:v>40102</c:v>
                </c:pt>
                <c:pt idx="98">
                  <c:v>40144</c:v>
                </c:pt>
                <c:pt idx="99">
                  <c:v>40193</c:v>
                </c:pt>
                <c:pt idx="100">
                  <c:v>40228</c:v>
                </c:pt>
                <c:pt idx="101">
                  <c:v>40256</c:v>
                </c:pt>
                <c:pt idx="102">
                  <c:v>40284</c:v>
                </c:pt>
                <c:pt idx="103">
                  <c:v>40319</c:v>
                </c:pt>
                <c:pt idx="104">
                  <c:v>40347</c:v>
                </c:pt>
                <c:pt idx="105">
                  <c:v>40375</c:v>
                </c:pt>
                <c:pt idx="106">
                  <c:v>40410</c:v>
                </c:pt>
                <c:pt idx="107">
                  <c:v>40445</c:v>
                </c:pt>
                <c:pt idx="108">
                  <c:v>40466</c:v>
                </c:pt>
                <c:pt idx="109">
                  <c:v>40508</c:v>
                </c:pt>
                <c:pt idx="110">
                  <c:v>40564</c:v>
                </c:pt>
                <c:pt idx="111">
                  <c:v>40606</c:v>
                </c:pt>
                <c:pt idx="112">
                  <c:v>40648</c:v>
                </c:pt>
                <c:pt idx="113">
                  <c:v>40690</c:v>
                </c:pt>
                <c:pt idx="114">
                  <c:v>40732</c:v>
                </c:pt>
                <c:pt idx="115">
                  <c:v>40781</c:v>
                </c:pt>
                <c:pt idx="116">
                  <c:v>40830</c:v>
                </c:pt>
                <c:pt idx="117">
                  <c:v>40879</c:v>
                </c:pt>
                <c:pt idx="118">
                  <c:v>40928</c:v>
                </c:pt>
                <c:pt idx="119">
                  <c:v>40984</c:v>
                </c:pt>
                <c:pt idx="120">
                  <c:v>41026</c:v>
                </c:pt>
                <c:pt idx="121">
                  <c:v>41068</c:v>
                </c:pt>
                <c:pt idx="122">
                  <c:v>41110</c:v>
                </c:pt>
                <c:pt idx="123">
                  <c:v>41159</c:v>
                </c:pt>
                <c:pt idx="124">
                  <c:v>41208</c:v>
                </c:pt>
                <c:pt idx="125">
                  <c:v>41243</c:v>
                </c:pt>
                <c:pt idx="126">
                  <c:v>41292</c:v>
                </c:pt>
                <c:pt idx="127">
                  <c:v>41341</c:v>
                </c:pt>
                <c:pt idx="128">
                  <c:v>41390</c:v>
                </c:pt>
                <c:pt idx="129">
                  <c:v>41432</c:v>
                </c:pt>
                <c:pt idx="130">
                  <c:v>41467</c:v>
                </c:pt>
                <c:pt idx="131">
                  <c:v>41523</c:v>
                </c:pt>
                <c:pt idx="132">
                  <c:v>41572</c:v>
                </c:pt>
                <c:pt idx="133">
                  <c:v>41614</c:v>
                </c:pt>
                <c:pt idx="134">
                  <c:v>41670</c:v>
                </c:pt>
                <c:pt idx="135">
                  <c:v>41719</c:v>
                </c:pt>
                <c:pt idx="136">
                  <c:v>41754</c:v>
                </c:pt>
                <c:pt idx="137">
                  <c:v>41796</c:v>
                </c:pt>
                <c:pt idx="138">
                  <c:v>41831</c:v>
                </c:pt>
                <c:pt idx="139">
                  <c:v>41887</c:v>
                </c:pt>
                <c:pt idx="140">
                  <c:v>41943</c:v>
                </c:pt>
                <c:pt idx="141">
                  <c:v>41978</c:v>
                </c:pt>
                <c:pt idx="142">
                  <c:v>42033</c:v>
                </c:pt>
                <c:pt idx="143">
                  <c:v>42089</c:v>
                </c:pt>
                <c:pt idx="144">
                  <c:v>42124</c:v>
                </c:pt>
                <c:pt idx="145">
                  <c:v>42159</c:v>
                </c:pt>
                <c:pt idx="146">
                  <c:v>42215</c:v>
                </c:pt>
                <c:pt idx="147">
                  <c:v>42268</c:v>
                </c:pt>
                <c:pt idx="148">
                  <c:v>42306</c:v>
                </c:pt>
                <c:pt idx="149">
                  <c:v>42355</c:v>
                </c:pt>
                <c:pt idx="150">
                  <c:v>42404</c:v>
                </c:pt>
                <c:pt idx="151">
                  <c:v>42417</c:v>
                </c:pt>
                <c:pt idx="152">
                  <c:v>42447</c:v>
                </c:pt>
                <c:pt idx="153">
                  <c:v>42495</c:v>
                </c:pt>
                <c:pt idx="154">
                  <c:v>42551</c:v>
                </c:pt>
                <c:pt idx="155">
                  <c:v>42593</c:v>
                </c:pt>
                <c:pt idx="156">
                  <c:v>42642</c:v>
                </c:pt>
                <c:pt idx="157">
                  <c:v>42691</c:v>
                </c:pt>
                <c:pt idx="158">
                  <c:v>42719</c:v>
                </c:pt>
                <c:pt idx="159">
                  <c:v>42775</c:v>
                </c:pt>
                <c:pt idx="160">
                  <c:v>42824</c:v>
                </c:pt>
                <c:pt idx="161">
                  <c:v>42873</c:v>
                </c:pt>
                <c:pt idx="162">
                  <c:v>42908</c:v>
                </c:pt>
                <c:pt idx="163">
                  <c:v>42957</c:v>
                </c:pt>
                <c:pt idx="164">
                  <c:v>43006</c:v>
                </c:pt>
                <c:pt idx="165">
                  <c:v>43048</c:v>
                </c:pt>
                <c:pt idx="166">
                  <c:v>43083</c:v>
                </c:pt>
                <c:pt idx="167">
                  <c:v>43139</c:v>
                </c:pt>
                <c:pt idx="168">
                  <c:v>43202</c:v>
                </c:pt>
                <c:pt idx="169">
                  <c:v>43237</c:v>
                </c:pt>
                <c:pt idx="170">
                  <c:v>43272</c:v>
                </c:pt>
                <c:pt idx="171">
                  <c:v>43314</c:v>
                </c:pt>
                <c:pt idx="172">
                  <c:v>43377</c:v>
                </c:pt>
                <c:pt idx="173">
                  <c:v>43419</c:v>
                </c:pt>
                <c:pt idx="174">
                  <c:v>43454</c:v>
                </c:pt>
                <c:pt idx="175">
                  <c:v>43503</c:v>
                </c:pt>
                <c:pt idx="176">
                  <c:v>43552</c:v>
                </c:pt>
                <c:pt idx="177">
                  <c:v>43601</c:v>
                </c:pt>
                <c:pt idx="178">
                  <c:v>43643</c:v>
                </c:pt>
                <c:pt idx="179">
                  <c:v>43692</c:v>
                </c:pt>
                <c:pt idx="180">
                  <c:v>43734</c:v>
                </c:pt>
                <c:pt idx="181">
                  <c:v>43783</c:v>
                </c:pt>
                <c:pt idx="182">
                  <c:v>43818</c:v>
                </c:pt>
                <c:pt idx="183">
                  <c:v>43874</c:v>
                </c:pt>
                <c:pt idx="184">
                  <c:v>43910</c:v>
                </c:pt>
                <c:pt idx="185">
                  <c:v>43942</c:v>
                </c:pt>
                <c:pt idx="186">
                  <c:v>43965</c:v>
                </c:pt>
                <c:pt idx="187">
                  <c:v>44007</c:v>
                </c:pt>
                <c:pt idx="188">
                  <c:v>44056</c:v>
                </c:pt>
                <c:pt idx="189">
                  <c:v>44098</c:v>
                </c:pt>
                <c:pt idx="190">
                  <c:v>44147</c:v>
                </c:pt>
                <c:pt idx="191">
                  <c:v>44182</c:v>
                </c:pt>
                <c:pt idx="192">
                  <c:v>44238</c:v>
                </c:pt>
                <c:pt idx="193">
                  <c:v>44280</c:v>
                </c:pt>
                <c:pt idx="194">
                  <c:v>44329</c:v>
                </c:pt>
                <c:pt idx="195">
                  <c:v>44371</c:v>
                </c:pt>
                <c:pt idx="196">
                  <c:v>44420</c:v>
                </c:pt>
                <c:pt idx="197">
                  <c:v>44469</c:v>
                </c:pt>
                <c:pt idx="198">
                  <c:v>44511</c:v>
                </c:pt>
                <c:pt idx="199">
                  <c:v>44546</c:v>
                </c:pt>
                <c:pt idx="200">
                  <c:v>44602</c:v>
                </c:pt>
                <c:pt idx="201">
                  <c:v>44644</c:v>
                </c:pt>
                <c:pt idx="202">
                  <c:v>44693</c:v>
                </c:pt>
                <c:pt idx="203">
                  <c:v>44735</c:v>
                </c:pt>
                <c:pt idx="204">
                  <c:v>44784</c:v>
                </c:pt>
                <c:pt idx="205">
                  <c:v>44833</c:v>
                </c:pt>
                <c:pt idx="206">
                  <c:v>44875</c:v>
                </c:pt>
                <c:pt idx="207">
                  <c:v>44910</c:v>
                </c:pt>
                <c:pt idx="208">
                  <c:v>44966</c:v>
                </c:pt>
                <c:pt idx="209">
                  <c:v>45015</c:v>
                </c:pt>
                <c:pt idx="210">
                  <c:v>45064</c:v>
                </c:pt>
                <c:pt idx="211">
                  <c:v>45099</c:v>
                </c:pt>
                <c:pt idx="212">
                  <c:v>45148</c:v>
                </c:pt>
                <c:pt idx="213">
                  <c:v>45197</c:v>
                </c:pt>
                <c:pt idx="214">
                  <c:v>45239</c:v>
                </c:pt>
                <c:pt idx="215">
                  <c:v>45274</c:v>
                </c:pt>
                <c:pt idx="216">
                  <c:v>45330</c:v>
                </c:pt>
                <c:pt idx="217">
                  <c:v>45372</c:v>
                </c:pt>
                <c:pt idx="218">
                  <c:v>45421</c:v>
                </c:pt>
                <c:pt idx="219">
                  <c:v>45470</c:v>
                </c:pt>
                <c:pt idx="220">
                  <c:v>45512</c:v>
                </c:pt>
                <c:pt idx="221">
                  <c:v>45561</c:v>
                </c:pt>
                <c:pt idx="222">
                  <c:v>45610</c:v>
                </c:pt>
                <c:pt idx="223">
                  <c:v>45645</c:v>
                </c:pt>
                <c:pt idx="224">
                  <c:v>45694</c:v>
                </c:pt>
                <c:pt idx="225">
                  <c:v>45743</c:v>
                </c:pt>
                <c:pt idx="226">
                  <c:v>45792</c:v>
                </c:pt>
                <c:pt idx="227">
                  <c:v>45834</c:v>
                </c:pt>
                <c:pt idx="228">
                  <c:v>45876</c:v>
                </c:pt>
                <c:pt idx="229">
                  <c:v>45925</c:v>
                </c:pt>
                <c:pt idx="230">
                  <c:v>45967</c:v>
                </c:pt>
                <c:pt idx="231">
                  <c:v>46009</c:v>
                </c:pt>
                <c:pt idx="232">
                  <c:v>46058</c:v>
                </c:pt>
                <c:pt idx="233">
                  <c:v>46107</c:v>
                </c:pt>
                <c:pt idx="234">
                  <c:v>46149</c:v>
                </c:pt>
                <c:pt idx="235">
                  <c:v>46198</c:v>
                </c:pt>
              </c:numCache>
            </c:numRef>
          </c:cat>
          <c:val>
            <c:numRef>
              <c:f>GRAPH_DATA!$E$2:$E$237</c:f>
              <c:numCache>
                <c:formatCode>0</c:formatCode>
                <c:ptCount val="2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1</c:v>
                </c:pt>
                <c:pt idx="173">
                  <c:v>1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1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1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1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1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1</c:v>
                </c:pt>
                <c:pt idx="218">
                  <c:v>0</c:v>
                </c:pt>
                <c:pt idx="219">
                  <c:v>0</c:v>
                </c:pt>
                <c:pt idx="220">
                  <c:v>2</c:v>
                </c:pt>
                <c:pt idx="221">
                  <c:v>1</c:v>
                </c:pt>
                <c:pt idx="222">
                  <c:v>0</c:v>
                </c:pt>
                <c:pt idx="223">
                  <c:v>0</c:v>
                </c:pt>
                <c:pt idx="224">
                  <c:v>1</c:v>
                </c:pt>
                <c:pt idx="225">
                  <c:v>0</c:v>
                </c:pt>
                <c:pt idx="226">
                  <c:v>0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0</c:v>
                </c:pt>
                <c:pt idx="233">
                  <c:v>2</c:v>
                </c:pt>
                <c:pt idx="234">
                  <c:v>2</c:v>
                </c:pt>
                <c:pt idx="235">
                  <c:v>0</c:v>
                </c:pt>
              </c:numCache>
            </c:numRef>
          </c:val>
        </c:ser>
        <c:ser>
          <c:idx val="1"/>
          <c:order val="1"/>
          <c:tx>
            <c:strRef>
              <c:f>GRAPH_DATA!$F$1</c:f>
              <c:strCache>
                <c:ptCount val="1"/>
                <c:pt idx="0">
                  <c:v>Disensos_Dovish</c:v>
                </c:pt>
              </c:strCache>
            </c:strRef>
          </c:tx>
          <c:spPr>
            <a:solidFill xmlns:a="http://schemas.openxmlformats.org/drawingml/2006/main">
              <a:schemeClr val="accent2"/>
            </a:solidFill>
            <a:ln xmlns:a="http://schemas.openxmlformats.org/drawingml/2006/main">
              <a:solidFill>
                <a:schemeClr val="accent2"/>
              </a:solidFill>
            </a:ln>
          </c:spPr>
          <c:invertIfNegative val="0"/>
          <c:cat>
            <c:numRef>
              <c:f>GRAPH_DATA!$A$2:$A$237</c:f>
              <c:numCache>
                <c:formatCode>dd\-mmm\-yyyy</c:formatCode>
                <c:ptCount val="236"/>
                <c:pt idx="0">
                  <c:v>36543</c:v>
                </c:pt>
                <c:pt idx="1">
                  <c:v>36662</c:v>
                </c:pt>
                <c:pt idx="2">
                  <c:v>36703</c:v>
                </c:pt>
                <c:pt idx="3">
                  <c:v>36738</c:v>
                </c:pt>
                <c:pt idx="4">
                  <c:v>36816</c:v>
                </c:pt>
                <c:pt idx="5">
                  <c:v>36840</c:v>
                </c:pt>
                <c:pt idx="6">
                  <c:v>36903</c:v>
                </c:pt>
                <c:pt idx="7">
                  <c:v>37029</c:v>
                </c:pt>
                <c:pt idx="8">
                  <c:v>37103</c:v>
                </c:pt>
                <c:pt idx="9">
                  <c:v>37295</c:v>
                </c:pt>
                <c:pt idx="10">
                  <c:v>37358</c:v>
                </c:pt>
                <c:pt idx="11">
                  <c:v>37522</c:v>
                </c:pt>
                <c:pt idx="12">
                  <c:v>37596</c:v>
                </c:pt>
                <c:pt idx="13">
                  <c:v>37631</c:v>
                </c:pt>
                <c:pt idx="14">
                  <c:v>37645</c:v>
                </c:pt>
                <c:pt idx="15">
                  <c:v>37659</c:v>
                </c:pt>
                <c:pt idx="16">
                  <c:v>37673</c:v>
                </c:pt>
                <c:pt idx="17">
                  <c:v>37708</c:v>
                </c:pt>
                <c:pt idx="18">
                  <c:v>37736</c:v>
                </c:pt>
                <c:pt idx="19">
                  <c:v>37764</c:v>
                </c:pt>
                <c:pt idx="20">
                  <c:v>37799</c:v>
                </c:pt>
                <c:pt idx="21">
                  <c:v>37827</c:v>
                </c:pt>
                <c:pt idx="22">
                  <c:v>37855</c:v>
                </c:pt>
                <c:pt idx="23">
                  <c:v>37890</c:v>
                </c:pt>
                <c:pt idx="24">
                  <c:v>37918</c:v>
                </c:pt>
                <c:pt idx="25">
                  <c:v>37946</c:v>
                </c:pt>
                <c:pt idx="26">
                  <c:v>37966</c:v>
                </c:pt>
                <c:pt idx="27">
                  <c:v>38009</c:v>
                </c:pt>
                <c:pt idx="28">
                  <c:v>38037</c:v>
                </c:pt>
                <c:pt idx="29">
                  <c:v>38058</c:v>
                </c:pt>
                <c:pt idx="30">
                  <c:v>38072</c:v>
                </c:pt>
                <c:pt idx="31">
                  <c:v>38100</c:v>
                </c:pt>
                <c:pt idx="32">
                  <c:v>38104</c:v>
                </c:pt>
                <c:pt idx="33">
                  <c:v>38135</c:v>
                </c:pt>
                <c:pt idx="34">
                  <c:v>38163</c:v>
                </c:pt>
                <c:pt idx="35">
                  <c:v>38191</c:v>
                </c:pt>
                <c:pt idx="36">
                  <c:v>38226</c:v>
                </c:pt>
                <c:pt idx="37">
                  <c:v>38254</c:v>
                </c:pt>
                <c:pt idx="38">
                  <c:v>38282</c:v>
                </c:pt>
                <c:pt idx="39">
                  <c:v>38317</c:v>
                </c:pt>
                <c:pt idx="40">
                  <c:v>38331</c:v>
                </c:pt>
                <c:pt idx="41">
                  <c:v>38380</c:v>
                </c:pt>
                <c:pt idx="42">
                  <c:v>38408</c:v>
                </c:pt>
                <c:pt idx="43">
                  <c:v>38434</c:v>
                </c:pt>
                <c:pt idx="44">
                  <c:v>38464</c:v>
                </c:pt>
                <c:pt idx="45">
                  <c:v>38499</c:v>
                </c:pt>
                <c:pt idx="46">
                  <c:v>38527</c:v>
                </c:pt>
                <c:pt idx="47">
                  <c:v>38555</c:v>
                </c:pt>
                <c:pt idx="48">
                  <c:v>38590</c:v>
                </c:pt>
                <c:pt idx="49">
                  <c:v>38618</c:v>
                </c:pt>
                <c:pt idx="50">
                  <c:v>38653</c:v>
                </c:pt>
                <c:pt idx="51">
                  <c:v>38681</c:v>
                </c:pt>
                <c:pt idx="52">
                  <c:v>38695</c:v>
                </c:pt>
                <c:pt idx="53">
                  <c:v>38744</c:v>
                </c:pt>
                <c:pt idx="54">
                  <c:v>38772</c:v>
                </c:pt>
                <c:pt idx="55">
                  <c:v>38800</c:v>
                </c:pt>
                <c:pt idx="56">
                  <c:v>38828</c:v>
                </c:pt>
                <c:pt idx="57">
                  <c:v>38863</c:v>
                </c:pt>
                <c:pt idx="58">
                  <c:v>38891</c:v>
                </c:pt>
                <c:pt idx="59">
                  <c:v>38926</c:v>
                </c:pt>
                <c:pt idx="60">
                  <c:v>38954</c:v>
                </c:pt>
                <c:pt idx="61">
                  <c:v>38982</c:v>
                </c:pt>
                <c:pt idx="62">
                  <c:v>39017</c:v>
                </c:pt>
                <c:pt idx="63">
                  <c:v>39045</c:v>
                </c:pt>
                <c:pt idx="64">
                  <c:v>39059</c:v>
                </c:pt>
                <c:pt idx="65">
                  <c:v>39108</c:v>
                </c:pt>
                <c:pt idx="66">
                  <c:v>39136</c:v>
                </c:pt>
                <c:pt idx="67">
                  <c:v>39164</c:v>
                </c:pt>
                <c:pt idx="68">
                  <c:v>39199</c:v>
                </c:pt>
                <c:pt idx="69">
                  <c:v>39227</c:v>
                </c:pt>
                <c:pt idx="70">
                  <c:v>39255</c:v>
                </c:pt>
                <c:pt idx="71">
                  <c:v>39290</c:v>
                </c:pt>
                <c:pt idx="72">
                  <c:v>39318</c:v>
                </c:pt>
                <c:pt idx="73">
                  <c:v>39346</c:v>
                </c:pt>
                <c:pt idx="74">
                  <c:v>39381</c:v>
                </c:pt>
                <c:pt idx="75">
                  <c:v>39409</c:v>
                </c:pt>
                <c:pt idx="76">
                  <c:v>39423</c:v>
                </c:pt>
                <c:pt idx="77">
                  <c:v>39465</c:v>
                </c:pt>
                <c:pt idx="78">
                  <c:v>39493</c:v>
                </c:pt>
                <c:pt idx="79">
                  <c:v>39521</c:v>
                </c:pt>
                <c:pt idx="80">
                  <c:v>39556</c:v>
                </c:pt>
                <c:pt idx="81">
                  <c:v>39584</c:v>
                </c:pt>
                <c:pt idx="82">
                  <c:v>39619</c:v>
                </c:pt>
                <c:pt idx="83">
                  <c:v>39647</c:v>
                </c:pt>
                <c:pt idx="84">
                  <c:v>39675</c:v>
                </c:pt>
                <c:pt idx="85">
                  <c:v>39710</c:v>
                </c:pt>
                <c:pt idx="86">
                  <c:v>39738</c:v>
                </c:pt>
                <c:pt idx="87">
                  <c:v>39780</c:v>
                </c:pt>
                <c:pt idx="88">
                  <c:v>39829</c:v>
                </c:pt>
                <c:pt idx="89">
                  <c:v>39864</c:v>
                </c:pt>
                <c:pt idx="90">
                  <c:v>39892</c:v>
                </c:pt>
                <c:pt idx="91">
                  <c:v>39920</c:v>
                </c:pt>
                <c:pt idx="92">
                  <c:v>39948</c:v>
                </c:pt>
                <c:pt idx="93">
                  <c:v>39983</c:v>
                </c:pt>
                <c:pt idx="94">
                  <c:v>40011</c:v>
                </c:pt>
                <c:pt idx="95">
                  <c:v>40046</c:v>
                </c:pt>
                <c:pt idx="96">
                  <c:v>40074</c:v>
                </c:pt>
                <c:pt idx="97">
                  <c:v>40102</c:v>
                </c:pt>
                <c:pt idx="98">
                  <c:v>40144</c:v>
                </c:pt>
                <c:pt idx="99">
                  <c:v>40193</c:v>
                </c:pt>
                <c:pt idx="100">
                  <c:v>40228</c:v>
                </c:pt>
                <c:pt idx="101">
                  <c:v>40256</c:v>
                </c:pt>
                <c:pt idx="102">
                  <c:v>40284</c:v>
                </c:pt>
                <c:pt idx="103">
                  <c:v>40319</c:v>
                </c:pt>
                <c:pt idx="104">
                  <c:v>40347</c:v>
                </c:pt>
                <c:pt idx="105">
                  <c:v>40375</c:v>
                </c:pt>
                <c:pt idx="106">
                  <c:v>40410</c:v>
                </c:pt>
                <c:pt idx="107">
                  <c:v>40445</c:v>
                </c:pt>
                <c:pt idx="108">
                  <c:v>40466</c:v>
                </c:pt>
                <c:pt idx="109">
                  <c:v>40508</c:v>
                </c:pt>
                <c:pt idx="110">
                  <c:v>40564</c:v>
                </c:pt>
                <c:pt idx="111">
                  <c:v>40606</c:v>
                </c:pt>
                <c:pt idx="112">
                  <c:v>40648</c:v>
                </c:pt>
                <c:pt idx="113">
                  <c:v>40690</c:v>
                </c:pt>
                <c:pt idx="114">
                  <c:v>40732</c:v>
                </c:pt>
                <c:pt idx="115">
                  <c:v>40781</c:v>
                </c:pt>
                <c:pt idx="116">
                  <c:v>40830</c:v>
                </c:pt>
                <c:pt idx="117">
                  <c:v>40879</c:v>
                </c:pt>
                <c:pt idx="118">
                  <c:v>40928</c:v>
                </c:pt>
                <c:pt idx="119">
                  <c:v>40984</c:v>
                </c:pt>
                <c:pt idx="120">
                  <c:v>41026</c:v>
                </c:pt>
                <c:pt idx="121">
                  <c:v>41068</c:v>
                </c:pt>
                <c:pt idx="122">
                  <c:v>41110</c:v>
                </c:pt>
                <c:pt idx="123">
                  <c:v>41159</c:v>
                </c:pt>
                <c:pt idx="124">
                  <c:v>41208</c:v>
                </c:pt>
                <c:pt idx="125">
                  <c:v>41243</c:v>
                </c:pt>
                <c:pt idx="126">
                  <c:v>41292</c:v>
                </c:pt>
                <c:pt idx="127">
                  <c:v>41341</c:v>
                </c:pt>
                <c:pt idx="128">
                  <c:v>41390</c:v>
                </c:pt>
                <c:pt idx="129">
                  <c:v>41432</c:v>
                </c:pt>
                <c:pt idx="130">
                  <c:v>41467</c:v>
                </c:pt>
                <c:pt idx="131">
                  <c:v>41523</c:v>
                </c:pt>
                <c:pt idx="132">
                  <c:v>41572</c:v>
                </c:pt>
                <c:pt idx="133">
                  <c:v>41614</c:v>
                </c:pt>
                <c:pt idx="134">
                  <c:v>41670</c:v>
                </c:pt>
                <c:pt idx="135">
                  <c:v>41719</c:v>
                </c:pt>
                <c:pt idx="136">
                  <c:v>41754</c:v>
                </c:pt>
                <c:pt idx="137">
                  <c:v>41796</c:v>
                </c:pt>
                <c:pt idx="138">
                  <c:v>41831</c:v>
                </c:pt>
                <c:pt idx="139">
                  <c:v>41887</c:v>
                </c:pt>
                <c:pt idx="140">
                  <c:v>41943</c:v>
                </c:pt>
                <c:pt idx="141">
                  <c:v>41978</c:v>
                </c:pt>
                <c:pt idx="142">
                  <c:v>42033</c:v>
                </c:pt>
                <c:pt idx="143">
                  <c:v>42089</c:v>
                </c:pt>
                <c:pt idx="144">
                  <c:v>42124</c:v>
                </c:pt>
                <c:pt idx="145">
                  <c:v>42159</c:v>
                </c:pt>
                <c:pt idx="146">
                  <c:v>42215</c:v>
                </c:pt>
                <c:pt idx="147">
                  <c:v>42268</c:v>
                </c:pt>
                <c:pt idx="148">
                  <c:v>42306</c:v>
                </c:pt>
                <c:pt idx="149">
                  <c:v>42355</c:v>
                </c:pt>
                <c:pt idx="150">
                  <c:v>42404</c:v>
                </c:pt>
                <c:pt idx="151">
                  <c:v>42417</c:v>
                </c:pt>
                <c:pt idx="152">
                  <c:v>42447</c:v>
                </c:pt>
                <c:pt idx="153">
                  <c:v>42495</c:v>
                </c:pt>
                <c:pt idx="154">
                  <c:v>42551</c:v>
                </c:pt>
                <c:pt idx="155">
                  <c:v>42593</c:v>
                </c:pt>
                <c:pt idx="156">
                  <c:v>42642</c:v>
                </c:pt>
                <c:pt idx="157">
                  <c:v>42691</c:v>
                </c:pt>
                <c:pt idx="158">
                  <c:v>42719</c:v>
                </c:pt>
                <c:pt idx="159">
                  <c:v>42775</c:v>
                </c:pt>
                <c:pt idx="160">
                  <c:v>42824</c:v>
                </c:pt>
                <c:pt idx="161">
                  <c:v>42873</c:v>
                </c:pt>
                <c:pt idx="162">
                  <c:v>42908</c:v>
                </c:pt>
                <c:pt idx="163">
                  <c:v>42957</c:v>
                </c:pt>
                <c:pt idx="164">
                  <c:v>43006</c:v>
                </c:pt>
                <c:pt idx="165">
                  <c:v>43048</c:v>
                </c:pt>
                <c:pt idx="166">
                  <c:v>43083</c:v>
                </c:pt>
                <c:pt idx="167">
                  <c:v>43139</c:v>
                </c:pt>
                <c:pt idx="168">
                  <c:v>43202</c:v>
                </c:pt>
                <c:pt idx="169">
                  <c:v>43237</c:v>
                </c:pt>
                <c:pt idx="170">
                  <c:v>43272</c:v>
                </c:pt>
                <c:pt idx="171">
                  <c:v>43314</c:v>
                </c:pt>
                <c:pt idx="172">
                  <c:v>43377</c:v>
                </c:pt>
                <c:pt idx="173">
                  <c:v>43419</c:v>
                </c:pt>
                <c:pt idx="174">
                  <c:v>43454</c:v>
                </c:pt>
                <c:pt idx="175">
                  <c:v>43503</c:v>
                </c:pt>
                <c:pt idx="176">
                  <c:v>43552</c:v>
                </c:pt>
                <c:pt idx="177">
                  <c:v>43601</c:v>
                </c:pt>
                <c:pt idx="178">
                  <c:v>43643</c:v>
                </c:pt>
                <c:pt idx="179">
                  <c:v>43692</c:v>
                </c:pt>
                <c:pt idx="180">
                  <c:v>43734</c:v>
                </c:pt>
                <c:pt idx="181">
                  <c:v>43783</c:v>
                </c:pt>
                <c:pt idx="182">
                  <c:v>43818</c:v>
                </c:pt>
                <c:pt idx="183">
                  <c:v>43874</c:v>
                </c:pt>
                <c:pt idx="184">
                  <c:v>43910</c:v>
                </c:pt>
                <c:pt idx="185">
                  <c:v>43942</c:v>
                </c:pt>
                <c:pt idx="186">
                  <c:v>43965</c:v>
                </c:pt>
                <c:pt idx="187">
                  <c:v>44007</c:v>
                </c:pt>
                <c:pt idx="188">
                  <c:v>44056</c:v>
                </c:pt>
                <c:pt idx="189">
                  <c:v>44098</c:v>
                </c:pt>
                <c:pt idx="190">
                  <c:v>44147</c:v>
                </c:pt>
                <c:pt idx="191">
                  <c:v>44182</c:v>
                </c:pt>
                <c:pt idx="192">
                  <c:v>44238</c:v>
                </c:pt>
                <c:pt idx="193">
                  <c:v>44280</c:v>
                </c:pt>
                <c:pt idx="194">
                  <c:v>44329</c:v>
                </c:pt>
                <c:pt idx="195">
                  <c:v>44371</c:v>
                </c:pt>
                <c:pt idx="196">
                  <c:v>44420</c:v>
                </c:pt>
                <c:pt idx="197">
                  <c:v>44469</c:v>
                </c:pt>
                <c:pt idx="198">
                  <c:v>44511</c:v>
                </c:pt>
                <c:pt idx="199">
                  <c:v>44546</c:v>
                </c:pt>
                <c:pt idx="200">
                  <c:v>44602</c:v>
                </c:pt>
                <c:pt idx="201">
                  <c:v>44644</c:v>
                </c:pt>
                <c:pt idx="202">
                  <c:v>44693</c:v>
                </c:pt>
                <c:pt idx="203">
                  <c:v>44735</c:v>
                </c:pt>
                <c:pt idx="204">
                  <c:v>44784</c:v>
                </c:pt>
                <c:pt idx="205">
                  <c:v>44833</c:v>
                </c:pt>
                <c:pt idx="206">
                  <c:v>44875</c:v>
                </c:pt>
                <c:pt idx="207">
                  <c:v>44910</c:v>
                </c:pt>
                <c:pt idx="208">
                  <c:v>44966</c:v>
                </c:pt>
                <c:pt idx="209">
                  <c:v>45015</c:v>
                </c:pt>
                <c:pt idx="210">
                  <c:v>45064</c:v>
                </c:pt>
                <c:pt idx="211">
                  <c:v>45099</c:v>
                </c:pt>
                <c:pt idx="212">
                  <c:v>45148</c:v>
                </c:pt>
                <c:pt idx="213">
                  <c:v>45197</c:v>
                </c:pt>
                <c:pt idx="214">
                  <c:v>45239</c:v>
                </c:pt>
                <c:pt idx="215">
                  <c:v>45274</c:v>
                </c:pt>
                <c:pt idx="216">
                  <c:v>45330</c:v>
                </c:pt>
                <c:pt idx="217">
                  <c:v>45372</c:v>
                </c:pt>
                <c:pt idx="218">
                  <c:v>45421</c:v>
                </c:pt>
                <c:pt idx="219">
                  <c:v>45470</c:v>
                </c:pt>
                <c:pt idx="220">
                  <c:v>45512</c:v>
                </c:pt>
                <c:pt idx="221">
                  <c:v>45561</c:v>
                </c:pt>
                <c:pt idx="222">
                  <c:v>45610</c:v>
                </c:pt>
                <c:pt idx="223">
                  <c:v>45645</c:v>
                </c:pt>
                <c:pt idx="224">
                  <c:v>45694</c:v>
                </c:pt>
                <c:pt idx="225">
                  <c:v>45743</c:v>
                </c:pt>
                <c:pt idx="226">
                  <c:v>45792</c:v>
                </c:pt>
                <c:pt idx="227">
                  <c:v>45834</c:v>
                </c:pt>
                <c:pt idx="228">
                  <c:v>45876</c:v>
                </c:pt>
                <c:pt idx="229">
                  <c:v>45925</c:v>
                </c:pt>
                <c:pt idx="230">
                  <c:v>45967</c:v>
                </c:pt>
                <c:pt idx="231">
                  <c:v>46009</c:v>
                </c:pt>
                <c:pt idx="232">
                  <c:v>46058</c:v>
                </c:pt>
                <c:pt idx="233">
                  <c:v>46107</c:v>
                </c:pt>
                <c:pt idx="234">
                  <c:v>46149</c:v>
                </c:pt>
                <c:pt idx="235">
                  <c:v>46198</c:v>
                </c:pt>
              </c:numCache>
            </c:numRef>
          </c:cat>
          <c:val>
            <c:numRef>
              <c:f>GRAPH_DATA!$F$2:$F$237</c:f>
              <c:numCache>
                <c:formatCode>0</c:formatCode>
                <c:ptCount val="2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1</c:v>
                </c:pt>
                <c:pt idx="179">
                  <c:v>0</c:v>
                </c:pt>
                <c:pt idx="180">
                  <c:v>2</c:v>
                </c:pt>
                <c:pt idx="181">
                  <c:v>2</c:v>
                </c:pt>
                <c:pt idx="182">
                  <c:v>1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1</c:v>
                </c:pt>
                <c:pt idx="191">
                  <c:v>2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2</c:v>
                </c:pt>
                <c:pt idx="196">
                  <c:v>2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1</c:v>
                </c:pt>
                <c:pt idx="207">
                  <c:v>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357006000"/>
        <c:axId val="1380384688"/>
      </c:barChart>
      <c:lineChart>
        <c:grouping val="standard"/>
        <c:varyColors val="0"/>
        <c:ser>
          <c:idx val="2"/>
          <c:order val="2"/>
          <c:tx>
            <c:strRef>
              <c:f>GRAPH_DATA!$C$1</c:f>
              <c:strCache>
                <c:ptCount val="1"/>
                <c:pt idx="0">
                  <c:v>Tasa_Objetivo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1"/>
              </a:solidFill>
            </a:ln>
          </c:spPr>
          <c:marker>
            <c:symbol val="none"/>
          </c:marker>
          <c:dPt>
            <c:idx val="78"/>
            <c:marker>
              <c:symbol val="none"/>
            </c:marker>
            <c:spPr>
              <a:ln xmlns:a="http://schemas.openxmlformats.org/drawingml/2006/main" w="28575">
                <a:noFill/>
              </a:ln>
            </c:spPr>
          </c:dPt>
          <c:cat>
            <c:numRef>
              <c:f>GRAPH_DATA!$A$2:$A$237</c:f>
              <c:numCache>
                <c:formatCode>dd\-mmm\-yyyy</c:formatCode>
                <c:ptCount val="236"/>
                <c:pt idx="0">
                  <c:v>36543</c:v>
                </c:pt>
                <c:pt idx="1">
                  <c:v>36662</c:v>
                </c:pt>
                <c:pt idx="2">
                  <c:v>36703</c:v>
                </c:pt>
                <c:pt idx="3">
                  <c:v>36738</c:v>
                </c:pt>
                <c:pt idx="4">
                  <c:v>36816</c:v>
                </c:pt>
                <c:pt idx="5">
                  <c:v>36840</c:v>
                </c:pt>
                <c:pt idx="6">
                  <c:v>36903</c:v>
                </c:pt>
                <c:pt idx="7">
                  <c:v>37029</c:v>
                </c:pt>
                <c:pt idx="8">
                  <c:v>37103</c:v>
                </c:pt>
                <c:pt idx="9">
                  <c:v>37295</c:v>
                </c:pt>
                <c:pt idx="10">
                  <c:v>37358</c:v>
                </c:pt>
                <c:pt idx="11">
                  <c:v>37522</c:v>
                </c:pt>
                <c:pt idx="12">
                  <c:v>37596</c:v>
                </c:pt>
                <c:pt idx="13">
                  <c:v>37631</c:v>
                </c:pt>
                <c:pt idx="14">
                  <c:v>37645</c:v>
                </c:pt>
                <c:pt idx="15">
                  <c:v>37659</c:v>
                </c:pt>
                <c:pt idx="16">
                  <c:v>37673</c:v>
                </c:pt>
                <c:pt idx="17">
                  <c:v>37708</c:v>
                </c:pt>
                <c:pt idx="18">
                  <c:v>37736</c:v>
                </c:pt>
                <c:pt idx="19">
                  <c:v>37764</c:v>
                </c:pt>
                <c:pt idx="20">
                  <c:v>37799</c:v>
                </c:pt>
                <c:pt idx="21">
                  <c:v>37827</c:v>
                </c:pt>
                <c:pt idx="22">
                  <c:v>37855</c:v>
                </c:pt>
                <c:pt idx="23">
                  <c:v>37890</c:v>
                </c:pt>
                <c:pt idx="24">
                  <c:v>37918</c:v>
                </c:pt>
                <c:pt idx="25">
                  <c:v>37946</c:v>
                </c:pt>
                <c:pt idx="26">
                  <c:v>37966</c:v>
                </c:pt>
                <c:pt idx="27">
                  <c:v>38009</c:v>
                </c:pt>
                <c:pt idx="28">
                  <c:v>38037</c:v>
                </c:pt>
                <c:pt idx="29">
                  <c:v>38058</c:v>
                </c:pt>
                <c:pt idx="30">
                  <c:v>38072</c:v>
                </c:pt>
                <c:pt idx="31">
                  <c:v>38100</c:v>
                </c:pt>
                <c:pt idx="32">
                  <c:v>38104</c:v>
                </c:pt>
                <c:pt idx="33">
                  <c:v>38135</c:v>
                </c:pt>
                <c:pt idx="34">
                  <c:v>38163</c:v>
                </c:pt>
                <c:pt idx="35">
                  <c:v>38191</c:v>
                </c:pt>
                <c:pt idx="36">
                  <c:v>38226</c:v>
                </c:pt>
                <c:pt idx="37">
                  <c:v>38254</c:v>
                </c:pt>
                <c:pt idx="38">
                  <c:v>38282</c:v>
                </c:pt>
                <c:pt idx="39">
                  <c:v>38317</c:v>
                </c:pt>
                <c:pt idx="40">
                  <c:v>38331</c:v>
                </c:pt>
                <c:pt idx="41">
                  <c:v>38380</c:v>
                </c:pt>
                <c:pt idx="42">
                  <c:v>38408</c:v>
                </c:pt>
                <c:pt idx="43">
                  <c:v>38434</c:v>
                </c:pt>
                <c:pt idx="44">
                  <c:v>38464</c:v>
                </c:pt>
                <c:pt idx="45">
                  <c:v>38499</c:v>
                </c:pt>
                <c:pt idx="46">
                  <c:v>38527</c:v>
                </c:pt>
                <c:pt idx="47">
                  <c:v>38555</c:v>
                </c:pt>
                <c:pt idx="48">
                  <c:v>38590</c:v>
                </c:pt>
                <c:pt idx="49">
                  <c:v>38618</c:v>
                </c:pt>
                <c:pt idx="50">
                  <c:v>38653</c:v>
                </c:pt>
                <c:pt idx="51">
                  <c:v>38681</c:v>
                </c:pt>
                <c:pt idx="52">
                  <c:v>38695</c:v>
                </c:pt>
                <c:pt idx="53">
                  <c:v>38744</c:v>
                </c:pt>
                <c:pt idx="54">
                  <c:v>38772</c:v>
                </c:pt>
                <c:pt idx="55">
                  <c:v>38800</c:v>
                </c:pt>
                <c:pt idx="56">
                  <c:v>38828</c:v>
                </c:pt>
                <c:pt idx="57">
                  <c:v>38863</c:v>
                </c:pt>
                <c:pt idx="58">
                  <c:v>38891</c:v>
                </c:pt>
                <c:pt idx="59">
                  <c:v>38926</c:v>
                </c:pt>
                <c:pt idx="60">
                  <c:v>38954</c:v>
                </c:pt>
                <c:pt idx="61">
                  <c:v>38982</c:v>
                </c:pt>
                <c:pt idx="62">
                  <c:v>39017</c:v>
                </c:pt>
                <c:pt idx="63">
                  <c:v>39045</c:v>
                </c:pt>
                <c:pt idx="64">
                  <c:v>39059</c:v>
                </c:pt>
                <c:pt idx="65">
                  <c:v>39108</c:v>
                </c:pt>
                <c:pt idx="66">
                  <c:v>39136</c:v>
                </c:pt>
                <c:pt idx="67">
                  <c:v>39164</c:v>
                </c:pt>
                <c:pt idx="68">
                  <c:v>39199</c:v>
                </c:pt>
                <c:pt idx="69">
                  <c:v>39227</c:v>
                </c:pt>
                <c:pt idx="70">
                  <c:v>39255</c:v>
                </c:pt>
                <c:pt idx="71">
                  <c:v>39290</c:v>
                </c:pt>
                <c:pt idx="72">
                  <c:v>39318</c:v>
                </c:pt>
                <c:pt idx="73">
                  <c:v>39346</c:v>
                </c:pt>
                <c:pt idx="74">
                  <c:v>39381</c:v>
                </c:pt>
                <c:pt idx="75">
                  <c:v>39409</c:v>
                </c:pt>
                <c:pt idx="76">
                  <c:v>39423</c:v>
                </c:pt>
                <c:pt idx="77">
                  <c:v>39465</c:v>
                </c:pt>
                <c:pt idx="78">
                  <c:v>39493</c:v>
                </c:pt>
                <c:pt idx="79">
                  <c:v>39521</c:v>
                </c:pt>
                <c:pt idx="80">
                  <c:v>39556</c:v>
                </c:pt>
                <c:pt idx="81">
                  <c:v>39584</c:v>
                </c:pt>
                <c:pt idx="82">
                  <c:v>39619</c:v>
                </c:pt>
                <c:pt idx="83">
                  <c:v>39647</c:v>
                </c:pt>
                <c:pt idx="84">
                  <c:v>39675</c:v>
                </c:pt>
                <c:pt idx="85">
                  <c:v>39710</c:v>
                </c:pt>
                <c:pt idx="86">
                  <c:v>39738</c:v>
                </c:pt>
                <c:pt idx="87">
                  <c:v>39780</c:v>
                </c:pt>
                <c:pt idx="88">
                  <c:v>39829</c:v>
                </c:pt>
                <c:pt idx="89">
                  <c:v>39864</c:v>
                </c:pt>
                <c:pt idx="90">
                  <c:v>39892</c:v>
                </c:pt>
                <c:pt idx="91">
                  <c:v>39920</c:v>
                </c:pt>
                <c:pt idx="92">
                  <c:v>39948</c:v>
                </c:pt>
                <c:pt idx="93">
                  <c:v>39983</c:v>
                </c:pt>
                <c:pt idx="94">
                  <c:v>40011</c:v>
                </c:pt>
                <c:pt idx="95">
                  <c:v>40046</c:v>
                </c:pt>
                <c:pt idx="96">
                  <c:v>40074</c:v>
                </c:pt>
                <c:pt idx="97">
                  <c:v>40102</c:v>
                </c:pt>
                <c:pt idx="98">
                  <c:v>40144</c:v>
                </c:pt>
                <c:pt idx="99">
                  <c:v>40193</c:v>
                </c:pt>
                <c:pt idx="100">
                  <c:v>40228</c:v>
                </c:pt>
                <c:pt idx="101">
                  <c:v>40256</c:v>
                </c:pt>
                <c:pt idx="102">
                  <c:v>40284</c:v>
                </c:pt>
                <c:pt idx="103">
                  <c:v>40319</c:v>
                </c:pt>
                <c:pt idx="104">
                  <c:v>40347</c:v>
                </c:pt>
                <c:pt idx="105">
                  <c:v>40375</c:v>
                </c:pt>
                <c:pt idx="106">
                  <c:v>40410</c:v>
                </c:pt>
                <c:pt idx="107">
                  <c:v>40445</c:v>
                </c:pt>
                <c:pt idx="108">
                  <c:v>40466</c:v>
                </c:pt>
                <c:pt idx="109">
                  <c:v>40508</c:v>
                </c:pt>
                <c:pt idx="110">
                  <c:v>40564</c:v>
                </c:pt>
                <c:pt idx="111">
                  <c:v>40606</c:v>
                </c:pt>
                <c:pt idx="112">
                  <c:v>40648</c:v>
                </c:pt>
                <c:pt idx="113">
                  <c:v>40690</c:v>
                </c:pt>
                <c:pt idx="114">
                  <c:v>40732</c:v>
                </c:pt>
                <c:pt idx="115">
                  <c:v>40781</c:v>
                </c:pt>
                <c:pt idx="116">
                  <c:v>40830</c:v>
                </c:pt>
                <c:pt idx="117">
                  <c:v>40879</c:v>
                </c:pt>
                <c:pt idx="118">
                  <c:v>40928</c:v>
                </c:pt>
                <c:pt idx="119">
                  <c:v>40984</c:v>
                </c:pt>
                <c:pt idx="120">
                  <c:v>41026</c:v>
                </c:pt>
                <c:pt idx="121">
                  <c:v>41068</c:v>
                </c:pt>
                <c:pt idx="122">
                  <c:v>41110</c:v>
                </c:pt>
                <c:pt idx="123">
                  <c:v>41159</c:v>
                </c:pt>
                <c:pt idx="124">
                  <c:v>41208</c:v>
                </c:pt>
                <c:pt idx="125">
                  <c:v>41243</c:v>
                </c:pt>
                <c:pt idx="126">
                  <c:v>41292</c:v>
                </c:pt>
                <c:pt idx="127">
                  <c:v>41341</c:v>
                </c:pt>
                <c:pt idx="128">
                  <c:v>41390</c:v>
                </c:pt>
                <c:pt idx="129">
                  <c:v>41432</c:v>
                </c:pt>
                <c:pt idx="130">
                  <c:v>41467</c:v>
                </c:pt>
                <c:pt idx="131">
                  <c:v>41523</c:v>
                </c:pt>
                <c:pt idx="132">
                  <c:v>41572</c:v>
                </c:pt>
                <c:pt idx="133">
                  <c:v>41614</c:v>
                </c:pt>
                <c:pt idx="134">
                  <c:v>41670</c:v>
                </c:pt>
                <c:pt idx="135">
                  <c:v>41719</c:v>
                </c:pt>
                <c:pt idx="136">
                  <c:v>41754</c:v>
                </c:pt>
                <c:pt idx="137">
                  <c:v>41796</c:v>
                </c:pt>
                <c:pt idx="138">
                  <c:v>41831</c:v>
                </c:pt>
                <c:pt idx="139">
                  <c:v>41887</c:v>
                </c:pt>
                <c:pt idx="140">
                  <c:v>41943</c:v>
                </c:pt>
                <c:pt idx="141">
                  <c:v>41978</c:v>
                </c:pt>
                <c:pt idx="142">
                  <c:v>42033</c:v>
                </c:pt>
                <c:pt idx="143">
                  <c:v>42089</c:v>
                </c:pt>
                <c:pt idx="144">
                  <c:v>42124</c:v>
                </c:pt>
                <c:pt idx="145">
                  <c:v>42159</c:v>
                </c:pt>
                <c:pt idx="146">
                  <c:v>42215</c:v>
                </c:pt>
                <c:pt idx="147">
                  <c:v>42268</c:v>
                </c:pt>
                <c:pt idx="148">
                  <c:v>42306</c:v>
                </c:pt>
                <c:pt idx="149">
                  <c:v>42355</c:v>
                </c:pt>
                <c:pt idx="150">
                  <c:v>42404</c:v>
                </c:pt>
                <c:pt idx="151">
                  <c:v>42417</c:v>
                </c:pt>
                <c:pt idx="152">
                  <c:v>42447</c:v>
                </c:pt>
                <c:pt idx="153">
                  <c:v>42495</c:v>
                </c:pt>
                <c:pt idx="154">
                  <c:v>42551</c:v>
                </c:pt>
                <c:pt idx="155">
                  <c:v>42593</c:v>
                </c:pt>
                <c:pt idx="156">
                  <c:v>42642</c:v>
                </c:pt>
                <c:pt idx="157">
                  <c:v>42691</c:v>
                </c:pt>
                <c:pt idx="158">
                  <c:v>42719</c:v>
                </c:pt>
                <c:pt idx="159">
                  <c:v>42775</c:v>
                </c:pt>
                <c:pt idx="160">
                  <c:v>42824</c:v>
                </c:pt>
                <c:pt idx="161">
                  <c:v>42873</c:v>
                </c:pt>
                <c:pt idx="162">
                  <c:v>42908</c:v>
                </c:pt>
                <c:pt idx="163">
                  <c:v>42957</c:v>
                </c:pt>
                <c:pt idx="164">
                  <c:v>43006</c:v>
                </c:pt>
                <c:pt idx="165">
                  <c:v>43048</c:v>
                </c:pt>
                <c:pt idx="166">
                  <c:v>43083</c:v>
                </c:pt>
                <c:pt idx="167">
                  <c:v>43139</c:v>
                </c:pt>
                <c:pt idx="168">
                  <c:v>43202</c:v>
                </c:pt>
                <c:pt idx="169">
                  <c:v>43237</c:v>
                </c:pt>
                <c:pt idx="170">
                  <c:v>43272</c:v>
                </c:pt>
                <c:pt idx="171">
                  <c:v>43314</c:v>
                </c:pt>
                <c:pt idx="172">
                  <c:v>43377</c:v>
                </c:pt>
                <c:pt idx="173">
                  <c:v>43419</c:v>
                </c:pt>
                <c:pt idx="174">
                  <c:v>43454</c:v>
                </c:pt>
                <c:pt idx="175">
                  <c:v>43503</c:v>
                </c:pt>
                <c:pt idx="176">
                  <c:v>43552</c:v>
                </c:pt>
                <c:pt idx="177">
                  <c:v>43601</c:v>
                </c:pt>
                <c:pt idx="178">
                  <c:v>43643</c:v>
                </c:pt>
                <c:pt idx="179">
                  <c:v>43692</c:v>
                </c:pt>
                <c:pt idx="180">
                  <c:v>43734</c:v>
                </c:pt>
                <c:pt idx="181">
                  <c:v>43783</c:v>
                </c:pt>
                <c:pt idx="182">
                  <c:v>43818</c:v>
                </c:pt>
                <c:pt idx="183">
                  <c:v>43874</c:v>
                </c:pt>
                <c:pt idx="184">
                  <c:v>43910</c:v>
                </c:pt>
                <c:pt idx="185">
                  <c:v>43942</c:v>
                </c:pt>
                <c:pt idx="186">
                  <c:v>43965</c:v>
                </c:pt>
                <c:pt idx="187">
                  <c:v>44007</c:v>
                </c:pt>
                <c:pt idx="188">
                  <c:v>44056</c:v>
                </c:pt>
                <c:pt idx="189">
                  <c:v>44098</c:v>
                </c:pt>
                <c:pt idx="190">
                  <c:v>44147</c:v>
                </c:pt>
                <c:pt idx="191">
                  <c:v>44182</c:v>
                </c:pt>
                <c:pt idx="192">
                  <c:v>44238</c:v>
                </c:pt>
                <c:pt idx="193">
                  <c:v>44280</c:v>
                </c:pt>
                <c:pt idx="194">
                  <c:v>44329</c:v>
                </c:pt>
                <c:pt idx="195">
                  <c:v>44371</c:v>
                </c:pt>
                <c:pt idx="196">
                  <c:v>44420</c:v>
                </c:pt>
                <c:pt idx="197">
                  <c:v>44469</c:v>
                </c:pt>
                <c:pt idx="198">
                  <c:v>44511</c:v>
                </c:pt>
                <c:pt idx="199">
                  <c:v>44546</c:v>
                </c:pt>
                <c:pt idx="200">
                  <c:v>44602</c:v>
                </c:pt>
                <c:pt idx="201">
                  <c:v>44644</c:v>
                </c:pt>
                <c:pt idx="202">
                  <c:v>44693</c:v>
                </c:pt>
                <c:pt idx="203">
                  <c:v>44735</c:v>
                </c:pt>
                <c:pt idx="204">
                  <c:v>44784</c:v>
                </c:pt>
                <c:pt idx="205">
                  <c:v>44833</c:v>
                </c:pt>
                <c:pt idx="206">
                  <c:v>44875</c:v>
                </c:pt>
                <c:pt idx="207">
                  <c:v>44910</c:v>
                </c:pt>
                <c:pt idx="208">
                  <c:v>44966</c:v>
                </c:pt>
                <c:pt idx="209">
                  <c:v>45015</c:v>
                </c:pt>
                <c:pt idx="210">
                  <c:v>45064</c:v>
                </c:pt>
                <c:pt idx="211">
                  <c:v>45099</c:v>
                </c:pt>
                <c:pt idx="212">
                  <c:v>45148</c:v>
                </c:pt>
                <c:pt idx="213">
                  <c:v>45197</c:v>
                </c:pt>
                <c:pt idx="214">
                  <c:v>45239</c:v>
                </c:pt>
                <c:pt idx="215">
                  <c:v>45274</c:v>
                </c:pt>
                <c:pt idx="216">
                  <c:v>45330</c:v>
                </c:pt>
                <c:pt idx="217">
                  <c:v>45372</c:v>
                </c:pt>
                <c:pt idx="218">
                  <c:v>45421</c:v>
                </c:pt>
                <c:pt idx="219">
                  <c:v>45470</c:v>
                </c:pt>
                <c:pt idx="220">
                  <c:v>45512</c:v>
                </c:pt>
                <c:pt idx="221">
                  <c:v>45561</c:v>
                </c:pt>
                <c:pt idx="222">
                  <c:v>45610</c:v>
                </c:pt>
                <c:pt idx="223">
                  <c:v>45645</c:v>
                </c:pt>
                <c:pt idx="224">
                  <c:v>45694</c:v>
                </c:pt>
                <c:pt idx="225">
                  <c:v>45743</c:v>
                </c:pt>
                <c:pt idx="226">
                  <c:v>45792</c:v>
                </c:pt>
                <c:pt idx="227">
                  <c:v>45834</c:v>
                </c:pt>
                <c:pt idx="228">
                  <c:v>45876</c:v>
                </c:pt>
                <c:pt idx="229">
                  <c:v>45925</c:v>
                </c:pt>
                <c:pt idx="230">
                  <c:v>45967</c:v>
                </c:pt>
                <c:pt idx="231">
                  <c:v>46009</c:v>
                </c:pt>
                <c:pt idx="232">
                  <c:v>46058</c:v>
                </c:pt>
                <c:pt idx="233">
                  <c:v>46107</c:v>
                </c:pt>
                <c:pt idx="234">
                  <c:v>46149</c:v>
                </c:pt>
                <c:pt idx="235">
                  <c:v>46198</c:v>
                </c:pt>
              </c:numCache>
            </c:numRef>
          </c:cat>
          <c:val>
            <c:numRef>
              <c:f>GRAPH_DATA!$C$2:$C$237</c:f>
              <c:numCache>
                <c:formatCode>0.00</c:formatCode>
                <c:ptCount val="2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7.5</c:v>
                </c:pt>
                <c:pt idx="79">
                  <c:v>7.5</c:v>
                </c:pt>
                <c:pt idx="80">
                  <c:v>7.5</c:v>
                </c:pt>
                <c:pt idx="81">
                  <c:v>7.5</c:v>
                </c:pt>
                <c:pt idx="82">
                  <c:v>7.75</c:v>
                </c:pt>
                <c:pt idx="83">
                  <c:v>8</c:v>
                </c:pt>
                <c:pt idx="84">
                  <c:v>8.25</c:v>
                </c:pt>
                <c:pt idx="85">
                  <c:v>8.25</c:v>
                </c:pt>
                <c:pt idx="86">
                  <c:v>8.25</c:v>
                </c:pt>
                <c:pt idx="87">
                  <c:v>8.25</c:v>
                </c:pt>
                <c:pt idx="88">
                  <c:v>7.75</c:v>
                </c:pt>
                <c:pt idx="89">
                  <c:v>7.5</c:v>
                </c:pt>
                <c:pt idx="90">
                  <c:v>6.75</c:v>
                </c:pt>
                <c:pt idx="91">
                  <c:v>6</c:v>
                </c:pt>
                <c:pt idx="92">
                  <c:v>5.25</c:v>
                </c:pt>
                <c:pt idx="93">
                  <c:v>4.75</c:v>
                </c:pt>
                <c:pt idx="94">
                  <c:v>4.5</c:v>
                </c:pt>
                <c:pt idx="95">
                  <c:v>4.5</c:v>
                </c:pt>
                <c:pt idx="96">
                  <c:v>4.5</c:v>
                </c:pt>
                <c:pt idx="97">
                  <c:v>4.5</c:v>
                </c:pt>
                <c:pt idx="98">
                  <c:v>4.5</c:v>
                </c:pt>
                <c:pt idx="99">
                  <c:v>4.5</c:v>
                </c:pt>
                <c:pt idx="100">
                  <c:v>4.5</c:v>
                </c:pt>
                <c:pt idx="101">
                  <c:v>4.5</c:v>
                </c:pt>
                <c:pt idx="102">
                  <c:v>4.5</c:v>
                </c:pt>
                <c:pt idx="103">
                  <c:v>4.5</c:v>
                </c:pt>
                <c:pt idx="104">
                  <c:v>4.5</c:v>
                </c:pt>
                <c:pt idx="105">
                  <c:v>4.5</c:v>
                </c:pt>
                <c:pt idx="106">
                  <c:v>4.5</c:v>
                </c:pt>
                <c:pt idx="107">
                  <c:v>4.5</c:v>
                </c:pt>
                <c:pt idx="108">
                  <c:v>4.5</c:v>
                </c:pt>
                <c:pt idx="109">
                  <c:v>4.5</c:v>
                </c:pt>
                <c:pt idx="110">
                  <c:v>4.5</c:v>
                </c:pt>
                <c:pt idx="111">
                  <c:v>4.5</c:v>
                </c:pt>
                <c:pt idx="112">
                  <c:v>4.5</c:v>
                </c:pt>
                <c:pt idx="113">
                  <c:v>4.5</c:v>
                </c:pt>
                <c:pt idx="114">
                  <c:v>4.5</c:v>
                </c:pt>
                <c:pt idx="115">
                  <c:v>4.5</c:v>
                </c:pt>
                <c:pt idx="116">
                  <c:v>4.5</c:v>
                </c:pt>
                <c:pt idx="117">
                  <c:v>4.5</c:v>
                </c:pt>
                <c:pt idx="118">
                  <c:v>4.5</c:v>
                </c:pt>
                <c:pt idx="119">
                  <c:v>4.5</c:v>
                </c:pt>
                <c:pt idx="120">
                  <c:v>4.5</c:v>
                </c:pt>
                <c:pt idx="121">
                  <c:v>4.5</c:v>
                </c:pt>
                <c:pt idx="122">
                  <c:v>4.5</c:v>
                </c:pt>
                <c:pt idx="123">
                  <c:v>4.5</c:v>
                </c:pt>
                <c:pt idx="124">
                  <c:v>4.5</c:v>
                </c:pt>
                <c:pt idx="125">
                  <c:v>4.5</c:v>
                </c:pt>
                <c:pt idx="126">
                  <c:v>4.5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3.75</c:v>
                </c:pt>
                <c:pt idx="132">
                  <c:v>3.5</c:v>
                </c:pt>
                <c:pt idx="133">
                  <c:v>3.5</c:v>
                </c:pt>
                <c:pt idx="134">
                  <c:v>3.5</c:v>
                </c:pt>
                <c:pt idx="135">
                  <c:v>3.5</c:v>
                </c:pt>
                <c:pt idx="136">
                  <c:v>3.5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3</c:v>
                </c:pt>
                <c:pt idx="149">
                  <c:v>3.25</c:v>
                </c:pt>
                <c:pt idx="150">
                  <c:v>3.25</c:v>
                </c:pt>
                <c:pt idx="151">
                  <c:v>3.75</c:v>
                </c:pt>
                <c:pt idx="152">
                  <c:v>3.75</c:v>
                </c:pt>
                <c:pt idx="153">
                  <c:v>3.75</c:v>
                </c:pt>
                <c:pt idx="154">
                  <c:v>4.25</c:v>
                </c:pt>
                <c:pt idx="155">
                  <c:v>4.25</c:v>
                </c:pt>
                <c:pt idx="156">
                  <c:v>4.75</c:v>
                </c:pt>
                <c:pt idx="157">
                  <c:v>5.25</c:v>
                </c:pt>
                <c:pt idx="158">
                  <c:v>5.75</c:v>
                </c:pt>
                <c:pt idx="159">
                  <c:v>6.25</c:v>
                </c:pt>
                <c:pt idx="160">
                  <c:v>6.5</c:v>
                </c:pt>
                <c:pt idx="161">
                  <c:v>6.75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7.25</c:v>
                </c:pt>
                <c:pt idx="167">
                  <c:v>7.5</c:v>
                </c:pt>
                <c:pt idx="168">
                  <c:v>7.5</c:v>
                </c:pt>
                <c:pt idx="169">
                  <c:v>7.5</c:v>
                </c:pt>
                <c:pt idx="170">
                  <c:v>7.75</c:v>
                </c:pt>
                <c:pt idx="171">
                  <c:v>7.75</c:v>
                </c:pt>
                <c:pt idx="172">
                  <c:v>7.75</c:v>
                </c:pt>
                <c:pt idx="173">
                  <c:v>8</c:v>
                </c:pt>
                <c:pt idx="174">
                  <c:v>8.25</c:v>
                </c:pt>
                <c:pt idx="175">
                  <c:v>8.25</c:v>
                </c:pt>
                <c:pt idx="176">
                  <c:v>8.25</c:v>
                </c:pt>
                <c:pt idx="177">
                  <c:v>8.25</c:v>
                </c:pt>
                <c:pt idx="178">
                  <c:v>8.25</c:v>
                </c:pt>
                <c:pt idx="179">
                  <c:v>8</c:v>
                </c:pt>
                <c:pt idx="180">
                  <c:v>7.75</c:v>
                </c:pt>
                <c:pt idx="181">
                  <c:v>7.5</c:v>
                </c:pt>
                <c:pt idx="182">
                  <c:v>7.25</c:v>
                </c:pt>
                <c:pt idx="183">
                  <c:v>7</c:v>
                </c:pt>
                <c:pt idx="184">
                  <c:v>6.5</c:v>
                </c:pt>
                <c:pt idx="185">
                  <c:v>6</c:v>
                </c:pt>
                <c:pt idx="186">
                  <c:v>5.5</c:v>
                </c:pt>
                <c:pt idx="187">
                  <c:v>5</c:v>
                </c:pt>
                <c:pt idx="188">
                  <c:v>4.5</c:v>
                </c:pt>
                <c:pt idx="189">
                  <c:v>4.25</c:v>
                </c:pt>
                <c:pt idx="190">
                  <c:v>4.25</c:v>
                </c:pt>
                <c:pt idx="191">
                  <c:v>4.25</c:v>
                </c:pt>
                <c:pt idx="192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4.25</c:v>
                </c:pt>
                <c:pt idx="196">
                  <c:v>4.5</c:v>
                </c:pt>
                <c:pt idx="197">
                  <c:v>4.75</c:v>
                </c:pt>
                <c:pt idx="198">
                  <c:v>5</c:v>
                </c:pt>
                <c:pt idx="199">
                  <c:v>5.5</c:v>
                </c:pt>
                <c:pt idx="200">
                  <c:v>6</c:v>
                </c:pt>
                <c:pt idx="201">
                  <c:v>6.5</c:v>
                </c:pt>
                <c:pt idx="202">
                  <c:v>7</c:v>
                </c:pt>
                <c:pt idx="203">
                  <c:v>7.75</c:v>
                </c:pt>
                <c:pt idx="204">
                  <c:v>8.5</c:v>
                </c:pt>
                <c:pt idx="205">
                  <c:v>9.25</c:v>
                </c:pt>
                <c:pt idx="206">
                  <c:v>10</c:v>
                </c:pt>
                <c:pt idx="207">
                  <c:v>10.5</c:v>
                </c:pt>
                <c:pt idx="208">
                  <c:v>11</c:v>
                </c:pt>
                <c:pt idx="209">
                  <c:v>11.25</c:v>
                </c:pt>
                <c:pt idx="210">
                  <c:v>11.25</c:v>
                </c:pt>
                <c:pt idx="211">
                  <c:v>11.25</c:v>
                </c:pt>
                <c:pt idx="212">
                  <c:v>11.25</c:v>
                </c:pt>
                <c:pt idx="213">
                  <c:v>11.25</c:v>
                </c:pt>
                <c:pt idx="214">
                  <c:v>11.25</c:v>
                </c:pt>
                <c:pt idx="215">
                  <c:v>11.25</c:v>
                </c:pt>
                <c:pt idx="216">
                  <c:v>11.25</c:v>
                </c:pt>
                <c:pt idx="217">
                  <c:v>11</c:v>
                </c:pt>
                <c:pt idx="218">
                  <c:v>11</c:v>
                </c:pt>
                <c:pt idx="219">
                  <c:v>11</c:v>
                </c:pt>
                <c:pt idx="220">
                  <c:v>10.75</c:v>
                </c:pt>
                <c:pt idx="221">
                  <c:v>10.5</c:v>
                </c:pt>
                <c:pt idx="222">
                  <c:v>10.25</c:v>
                </c:pt>
                <c:pt idx="223">
                  <c:v>10</c:v>
                </c:pt>
                <c:pt idx="224">
                  <c:v>9.5</c:v>
                </c:pt>
                <c:pt idx="225">
                  <c:v>9</c:v>
                </c:pt>
                <c:pt idx="226">
                  <c:v>8.5</c:v>
                </c:pt>
                <c:pt idx="227">
                  <c:v>8</c:v>
                </c:pt>
                <c:pt idx="228">
                  <c:v>7.75</c:v>
                </c:pt>
                <c:pt idx="229">
                  <c:v>7.5</c:v>
                </c:pt>
                <c:pt idx="230">
                  <c:v>7.25</c:v>
                </c:pt>
                <c:pt idx="231">
                  <c:v>7</c:v>
                </c:pt>
                <c:pt idx="232">
                  <c:v>7</c:v>
                </c:pt>
                <c:pt idx="233">
                  <c:v>6.75</c:v>
                </c:pt>
                <c:pt idx="234">
                  <c:v>6.5</c:v>
                </c:pt>
                <c:pt idx="235">
                  <c:v>6.5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6021488"/>
        <c:axId val="1380480208"/>
      </c:lineChart>
      <c:dateAx>
        <c:axId val="1336021488"/>
        <c:scaling>
          <c:orientation val="minMax"/>
          <c:min val="39448"/>
        </c:scaling>
        <c:delete val="0"/>
        <c:axPos val="b"/>
        <c:numFmt formatCode="yyyy" sourceLinked="0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5400000" spcFirstLastPara="1" wrap="square" anchor="ctr" anchorCtr="1"/>
          <a:lstStyle xmlns:a="http://schemas.openxmlformats.org/drawingml/2006/main"/>
          <a:p xmlns:a="http://schemas.openxmlformats.org/drawingml/2006/main">
            <a:pPr>
              <a:defRPr sz="900" b="0" i="0" u="non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1380480208"/>
        <c:crosses val="autoZero"/>
        <c:auto val="1"/>
        <c:lblOffset val="100"/>
        <c:baseTimeUnit val="days"/>
        <c:majorUnit val="1"/>
        <c:majorTimeUnit val="years"/>
      </c:dateAx>
      <c:valAx>
        <c:axId val="1380480208"/>
        <c:scaling>
          <c:orientation val="minMax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0" sourceLinked="0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1050" b="0" i="0" u="non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</a:p>
        </c:txPr>
        <c:crossAx val="1336021488"/>
        <c:crosses val="autoZero"/>
        <c:crossBetween val="between"/>
      </c:valAx>
      <c:valAx>
        <c:axId val="1380384688"/>
        <c:scaling>
          <c:orientation val="minMax"/>
          <c:max val="2"/>
        </c:scaling>
        <c:delete val="0"/>
        <c:axPos val="r"/>
        <c:numFmt formatCode="0" sourceLinked="1"/>
        <c:majorTickMark val="out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1050" b="0" i="0" u="non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</a:p>
        </c:txPr>
        <c:crossAx val="1357006000"/>
        <c:crosses val="max"/>
        <c:crossBetween val="between"/>
        <c:majorUnit val="1"/>
      </c:valAx>
      <c:dateAx>
        <c:axId val="1357006000"/>
        <c:scaling>
          <c:orientation val="minMax"/>
        </c:scaling>
        <c:delete val="1"/>
        <c:axPos val="b"/>
        <c:numFmt formatCode="dd\-mmm\-yyyy" sourceLinked="1"/>
        <c:majorTickMark val="out"/>
        <c:minorTickMark val="none"/>
        <c:tickLblPos val="nextTo"/>
        <c:crossAx val="1380384688"/>
        <c:crosses val="autoZero"/>
        <c:auto val="1"/>
        <c:lblOffset val="100"/>
        <c:baseTimeUnit val="days"/>
      </c:dateAx>
      <c:spPr>
        <a:noFill xmlns:a="http://schemas.openxmlformats.org/drawingml/2006/main"/>
        <a:ln xmlns:a="http://schemas.openxmlformats.org/drawingml/2006/main">
          <a:noFill/>
        </a:ln>
      </c:spPr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400" b="0" i="0" u="non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Historia de decisiones monetarias y disensos del integrante</a:t>
            </a:r>
          </a:p>
        </c:rich>
      </c:tx>
      <c:overlay val="0"/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0" i="0" u="non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GRAPH_DATA!$E$1</c:f>
              <c:strCache>
                <c:ptCount val="1"/>
                <c:pt idx="0">
                  <c:v>Disensos_Hawk</c:v>
                </c:pt>
              </c:strCache>
            </c:strRef>
          </c:tx>
          <c:spPr>
            <a:solidFill xmlns:a="http://schemas.openxmlformats.org/drawingml/2006/main">
              <a:srgbClr val="00B0F0"/>
            </a:solidFill>
            <a:ln xmlns:a="http://schemas.openxmlformats.org/drawingml/2006/main">
              <a:solidFill>
                <a:srgbClr val="00B0F0"/>
              </a:solidFill>
            </a:ln>
          </c:spPr>
          <c:invertIfNegative val="0"/>
          <c:cat>
            <c:numRef>
              <c:f>GRAPH_DATA!$A$2:$A$237</c:f>
              <c:numCache>
                <c:formatCode>dd\-mmm\-yyyy</c:formatCode>
                <c:ptCount val="236"/>
                <c:pt idx="0">
                  <c:v>36543</c:v>
                </c:pt>
                <c:pt idx="1">
                  <c:v>36662</c:v>
                </c:pt>
                <c:pt idx="2">
                  <c:v>36703</c:v>
                </c:pt>
                <c:pt idx="3">
                  <c:v>36738</c:v>
                </c:pt>
                <c:pt idx="4">
                  <c:v>36816</c:v>
                </c:pt>
                <c:pt idx="5">
                  <c:v>36840</c:v>
                </c:pt>
                <c:pt idx="6">
                  <c:v>36903</c:v>
                </c:pt>
                <c:pt idx="7">
                  <c:v>37029</c:v>
                </c:pt>
                <c:pt idx="8">
                  <c:v>37103</c:v>
                </c:pt>
                <c:pt idx="9">
                  <c:v>37295</c:v>
                </c:pt>
                <c:pt idx="10">
                  <c:v>37358</c:v>
                </c:pt>
                <c:pt idx="11">
                  <c:v>37522</c:v>
                </c:pt>
                <c:pt idx="12">
                  <c:v>37596</c:v>
                </c:pt>
                <c:pt idx="13">
                  <c:v>37631</c:v>
                </c:pt>
                <c:pt idx="14">
                  <c:v>37645</c:v>
                </c:pt>
                <c:pt idx="15">
                  <c:v>37659</c:v>
                </c:pt>
                <c:pt idx="16">
                  <c:v>37673</c:v>
                </c:pt>
                <c:pt idx="17">
                  <c:v>37708</c:v>
                </c:pt>
                <c:pt idx="18">
                  <c:v>37736</c:v>
                </c:pt>
                <c:pt idx="19">
                  <c:v>37764</c:v>
                </c:pt>
                <c:pt idx="20">
                  <c:v>37799</c:v>
                </c:pt>
                <c:pt idx="21">
                  <c:v>37827</c:v>
                </c:pt>
                <c:pt idx="22">
                  <c:v>37855</c:v>
                </c:pt>
                <c:pt idx="23">
                  <c:v>37890</c:v>
                </c:pt>
                <c:pt idx="24">
                  <c:v>37918</c:v>
                </c:pt>
                <c:pt idx="25">
                  <c:v>37946</c:v>
                </c:pt>
                <c:pt idx="26">
                  <c:v>37966</c:v>
                </c:pt>
                <c:pt idx="27">
                  <c:v>38009</c:v>
                </c:pt>
                <c:pt idx="28">
                  <c:v>38037</c:v>
                </c:pt>
                <c:pt idx="29">
                  <c:v>38058</c:v>
                </c:pt>
                <c:pt idx="30">
                  <c:v>38072</c:v>
                </c:pt>
                <c:pt idx="31">
                  <c:v>38100</c:v>
                </c:pt>
                <c:pt idx="32">
                  <c:v>38104</c:v>
                </c:pt>
                <c:pt idx="33">
                  <c:v>38135</c:v>
                </c:pt>
                <c:pt idx="34">
                  <c:v>38163</c:v>
                </c:pt>
                <c:pt idx="35">
                  <c:v>38191</c:v>
                </c:pt>
                <c:pt idx="36">
                  <c:v>38226</c:v>
                </c:pt>
                <c:pt idx="37">
                  <c:v>38254</c:v>
                </c:pt>
                <c:pt idx="38">
                  <c:v>38282</c:v>
                </c:pt>
                <c:pt idx="39">
                  <c:v>38317</c:v>
                </c:pt>
                <c:pt idx="40">
                  <c:v>38331</c:v>
                </c:pt>
                <c:pt idx="41">
                  <c:v>38380</c:v>
                </c:pt>
                <c:pt idx="42">
                  <c:v>38408</c:v>
                </c:pt>
                <c:pt idx="43">
                  <c:v>38434</c:v>
                </c:pt>
                <c:pt idx="44">
                  <c:v>38464</c:v>
                </c:pt>
                <c:pt idx="45">
                  <c:v>38499</c:v>
                </c:pt>
                <c:pt idx="46">
                  <c:v>38527</c:v>
                </c:pt>
                <c:pt idx="47">
                  <c:v>38555</c:v>
                </c:pt>
                <c:pt idx="48">
                  <c:v>38590</c:v>
                </c:pt>
                <c:pt idx="49">
                  <c:v>38618</c:v>
                </c:pt>
                <c:pt idx="50">
                  <c:v>38653</c:v>
                </c:pt>
                <c:pt idx="51">
                  <c:v>38681</c:v>
                </c:pt>
                <c:pt idx="52">
                  <c:v>38695</c:v>
                </c:pt>
                <c:pt idx="53">
                  <c:v>38744</c:v>
                </c:pt>
                <c:pt idx="54">
                  <c:v>38772</c:v>
                </c:pt>
                <c:pt idx="55">
                  <c:v>38800</c:v>
                </c:pt>
                <c:pt idx="56">
                  <c:v>38828</c:v>
                </c:pt>
                <c:pt idx="57">
                  <c:v>38863</c:v>
                </c:pt>
                <c:pt idx="58">
                  <c:v>38891</c:v>
                </c:pt>
                <c:pt idx="59">
                  <c:v>38926</c:v>
                </c:pt>
                <c:pt idx="60">
                  <c:v>38954</c:v>
                </c:pt>
                <c:pt idx="61">
                  <c:v>38982</c:v>
                </c:pt>
                <c:pt idx="62">
                  <c:v>39017</c:v>
                </c:pt>
                <c:pt idx="63">
                  <c:v>39045</c:v>
                </c:pt>
                <c:pt idx="64">
                  <c:v>39059</c:v>
                </c:pt>
                <c:pt idx="65">
                  <c:v>39108</c:v>
                </c:pt>
                <c:pt idx="66">
                  <c:v>39136</c:v>
                </c:pt>
                <c:pt idx="67">
                  <c:v>39164</c:v>
                </c:pt>
                <c:pt idx="68">
                  <c:v>39199</c:v>
                </c:pt>
                <c:pt idx="69">
                  <c:v>39227</c:v>
                </c:pt>
                <c:pt idx="70">
                  <c:v>39255</c:v>
                </c:pt>
                <c:pt idx="71">
                  <c:v>39290</c:v>
                </c:pt>
                <c:pt idx="72">
                  <c:v>39318</c:v>
                </c:pt>
                <c:pt idx="73">
                  <c:v>39346</c:v>
                </c:pt>
                <c:pt idx="74">
                  <c:v>39381</c:v>
                </c:pt>
                <c:pt idx="75">
                  <c:v>39409</c:v>
                </c:pt>
                <c:pt idx="76">
                  <c:v>39423</c:v>
                </c:pt>
                <c:pt idx="77">
                  <c:v>39465</c:v>
                </c:pt>
                <c:pt idx="78">
                  <c:v>39493</c:v>
                </c:pt>
                <c:pt idx="79">
                  <c:v>39521</c:v>
                </c:pt>
                <c:pt idx="80">
                  <c:v>39556</c:v>
                </c:pt>
                <c:pt idx="81">
                  <c:v>39584</c:v>
                </c:pt>
                <c:pt idx="82">
                  <c:v>39619</c:v>
                </c:pt>
                <c:pt idx="83">
                  <c:v>39647</c:v>
                </c:pt>
                <c:pt idx="84">
                  <c:v>39675</c:v>
                </c:pt>
                <c:pt idx="85">
                  <c:v>39710</c:v>
                </c:pt>
                <c:pt idx="86">
                  <c:v>39738</c:v>
                </c:pt>
                <c:pt idx="87">
                  <c:v>39780</c:v>
                </c:pt>
                <c:pt idx="88">
                  <c:v>39829</c:v>
                </c:pt>
                <c:pt idx="89">
                  <c:v>39864</c:v>
                </c:pt>
                <c:pt idx="90">
                  <c:v>39892</c:v>
                </c:pt>
                <c:pt idx="91">
                  <c:v>39920</c:v>
                </c:pt>
                <c:pt idx="92">
                  <c:v>39948</c:v>
                </c:pt>
                <c:pt idx="93">
                  <c:v>39983</c:v>
                </c:pt>
                <c:pt idx="94">
                  <c:v>40011</c:v>
                </c:pt>
                <c:pt idx="95">
                  <c:v>40046</c:v>
                </c:pt>
                <c:pt idx="96">
                  <c:v>40074</c:v>
                </c:pt>
                <c:pt idx="97">
                  <c:v>40102</c:v>
                </c:pt>
                <c:pt idx="98">
                  <c:v>40144</c:v>
                </c:pt>
                <c:pt idx="99">
                  <c:v>40193</c:v>
                </c:pt>
                <c:pt idx="100">
                  <c:v>40228</c:v>
                </c:pt>
                <c:pt idx="101">
                  <c:v>40256</c:v>
                </c:pt>
                <c:pt idx="102">
                  <c:v>40284</c:v>
                </c:pt>
                <c:pt idx="103">
                  <c:v>40319</c:v>
                </c:pt>
                <c:pt idx="104">
                  <c:v>40347</c:v>
                </c:pt>
                <c:pt idx="105">
                  <c:v>40375</c:v>
                </c:pt>
                <c:pt idx="106">
                  <c:v>40410</c:v>
                </c:pt>
                <c:pt idx="107">
                  <c:v>40445</c:v>
                </c:pt>
                <c:pt idx="108">
                  <c:v>40466</c:v>
                </c:pt>
                <c:pt idx="109">
                  <c:v>40508</c:v>
                </c:pt>
                <c:pt idx="110">
                  <c:v>40564</c:v>
                </c:pt>
                <c:pt idx="111">
                  <c:v>40606</c:v>
                </c:pt>
                <c:pt idx="112">
                  <c:v>40648</c:v>
                </c:pt>
                <c:pt idx="113">
                  <c:v>40690</c:v>
                </c:pt>
                <c:pt idx="114">
                  <c:v>40732</c:v>
                </c:pt>
                <c:pt idx="115">
                  <c:v>40781</c:v>
                </c:pt>
                <c:pt idx="116">
                  <c:v>40830</c:v>
                </c:pt>
                <c:pt idx="117">
                  <c:v>40879</c:v>
                </c:pt>
                <c:pt idx="118">
                  <c:v>40928</c:v>
                </c:pt>
                <c:pt idx="119">
                  <c:v>40984</c:v>
                </c:pt>
                <c:pt idx="120">
                  <c:v>41026</c:v>
                </c:pt>
                <c:pt idx="121">
                  <c:v>41068</c:v>
                </c:pt>
                <c:pt idx="122">
                  <c:v>41110</c:v>
                </c:pt>
                <c:pt idx="123">
                  <c:v>41159</c:v>
                </c:pt>
                <c:pt idx="124">
                  <c:v>41208</c:v>
                </c:pt>
                <c:pt idx="125">
                  <c:v>41243</c:v>
                </c:pt>
                <c:pt idx="126">
                  <c:v>41292</c:v>
                </c:pt>
                <c:pt idx="127">
                  <c:v>41341</c:v>
                </c:pt>
                <c:pt idx="128">
                  <c:v>41390</c:v>
                </c:pt>
                <c:pt idx="129">
                  <c:v>41432</c:v>
                </c:pt>
                <c:pt idx="130">
                  <c:v>41467</c:v>
                </c:pt>
                <c:pt idx="131">
                  <c:v>41523</c:v>
                </c:pt>
                <c:pt idx="132">
                  <c:v>41572</c:v>
                </c:pt>
                <c:pt idx="133">
                  <c:v>41614</c:v>
                </c:pt>
                <c:pt idx="134">
                  <c:v>41670</c:v>
                </c:pt>
                <c:pt idx="135">
                  <c:v>41719</c:v>
                </c:pt>
                <c:pt idx="136">
                  <c:v>41754</c:v>
                </c:pt>
                <c:pt idx="137">
                  <c:v>41796</c:v>
                </c:pt>
                <c:pt idx="138">
                  <c:v>41831</c:v>
                </c:pt>
                <c:pt idx="139">
                  <c:v>41887</c:v>
                </c:pt>
                <c:pt idx="140">
                  <c:v>41943</c:v>
                </c:pt>
                <c:pt idx="141">
                  <c:v>41978</c:v>
                </c:pt>
                <c:pt idx="142">
                  <c:v>42033</c:v>
                </c:pt>
                <c:pt idx="143">
                  <c:v>42089</c:v>
                </c:pt>
                <c:pt idx="144">
                  <c:v>42124</c:v>
                </c:pt>
                <c:pt idx="145">
                  <c:v>42159</c:v>
                </c:pt>
                <c:pt idx="146">
                  <c:v>42215</c:v>
                </c:pt>
                <c:pt idx="147">
                  <c:v>42268</c:v>
                </c:pt>
                <c:pt idx="148">
                  <c:v>42306</c:v>
                </c:pt>
                <c:pt idx="149">
                  <c:v>42355</c:v>
                </c:pt>
                <c:pt idx="150">
                  <c:v>42404</c:v>
                </c:pt>
                <c:pt idx="151">
                  <c:v>42417</c:v>
                </c:pt>
                <c:pt idx="152">
                  <c:v>42447</c:v>
                </c:pt>
                <c:pt idx="153">
                  <c:v>42495</c:v>
                </c:pt>
                <c:pt idx="154">
                  <c:v>42551</c:v>
                </c:pt>
                <c:pt idx="155">
                  <c:v>42593</c:v>
                </c:pt>
                <c:pt idx="156">
                  <c:v>42642</c:v>
                </c:pt>
                <c:pt idx="157">
                  <c:v>42691</c:v>
                </c:pt>
                <c:pt idx="158">
                  <c:v>42719</c:v>
                </c:pt>
                <c:pt idx="159">
                  <c:v>42775</c:v>
                </c:pt>
                <c:pt idx="160">
                  <c:v>42824</c:v>
                </c:pt>
                <c:pt idx="161">
                  <c:v>42873</c:v>
                </c:pt>
                <c:pt idx="162">
                  <c:v>42908</c:v>
                </c:pt>
                <c:pt idx="163">
                  <c:v>42957</c:v>
                </c:pt>
                <c:pt idx="164">
                  <c:v>43006</c:v>
                </c:pt>
                <c:pt idx="165">
                  <c:v>43048</c:v>
                </c:pt>
                <c:pt idx="166">
                  <c:v>43083</c:v>
                </c:pt>
                <c:pt idx="167">
                  <c:v>43139</c:v>
                </c:pt>
                <c:pt idx="168">
                  <c:v>43202</c:v>
                </c:pt>
                <c:pt idx="169">
                  <c:v>43237</c:v>
                </c:pt>
                <c:pt idx="170">
                  <c:v>43272</c:v>
                </c:pt>
                <c:pt idx="171">
                  <c:v>43314</c:v>
                </c:pt>
                <c:pt idx="172">
                  <c:v>43377</c:v>
                </c:pt>
                <c:pt idx="173">
                  <c:v>43419</c:v>
                </c:pt>
                <c:pt idx="174">
                  <c:v>43454</c:v>
                </c:pt>
                <c:pt idx="175">
                  <c:v>43503</c:v>
                </c:pt>
                <c:pt idx="176">
                  <c:v>43552</c:v>
                </c:pt>
                <c:pt idx="177">
                  <c:v>43601</c:v>
                </c:pt>
                <c:pt idx="178">
                  <c:v>43643</c:v>
                </c:pt>
                <c:pt idx="179">
                  <c:v>43692</c:v>
                </c:pt>
                <c:pt idx="180">
                  <c:v>43734</c:v>
                </c:pt>
                <c:pt idx="181">
                  <c:v>43783</c:v>
                </c:pt>
                <c:pt idx="182">
                  <c:v>43818</c:v>
                </c:pt>
                <c:pt idx="183">
                  <c:v>43874</c:v>
                </c:pt>
                <c:pt idx="184">
                  <c:v>43910</c:v>
                </c:pt>
                <c:pt idx="185">
                  <c:v>43942</c:v>
                </c:pt>
                <c:pt idx="186">
                  <c:v>43965</c:v>
                </c:pt>
                <c:pt idx="187">
                  <c:v>44007</c:v>
                </c:pt>
                <c:pt idx="188">
                  <c:v>44056</c:v>
                </c:pt>
                <c:pt idx="189">
                  <c:v>44098</c:v>
                </c:pt>
                <c:pt idx="190">
                  <c:v>44147</c:v>
                </c:pt>
                <c:pt idx="191">
                  <c:v>44182</c:v>
                </c:pt>
                <c:pt idx="192">
                  <c:v>44238</c:v>
                </c:pt>
                <c:pt idx="193">
                  <c:v>44280</c:v>
                </c:pt>
                <c:pt idx="194">
                  <c:v>44329</c:v>
                </c:pt>
                <c:pt idx="195">
                  <c:v>44371</c:v>
                </c:pt>
                <c:pt idx="196">
                  <c:v>44420</c:v>
                </c:pt>
                <c:pt idx="197">
                  <c:v>44469</c:v>
                </c:pt>
                <c:pt idx="198">
                  <c:v>44511</c:v>
                </c:pt>
                <c:pt idx="199">
                  <c:v>44546</c:v>
                </c:pt>
                <c:pt idx="200">
                  <c:v>44602</c:v>
                </c:pt>
                <c:pt idx="201">
                  <c:v>44644</c:v>
                </c:pt>
                <c:pt idx="202">
                  <c:v>44693</c:v>
                </c:pt>
                <c:pt idx="203">
                  <c:v>44735</c:v>
                </c:pt>
                <c:pt idx="204">
                  <c:v>44784</c:v>
                </c:pt>
                <c:pt idx="205">
                  <c:v>44833</c:v>
                </c:pt>
                <c:pt idx="206">
                  <c:v>44875</c:v>
                </c:pt>
                <c:pt idx="207">
                  <c:v>44910</c:v>
                </c:pt>
                <c:pt idx="208">
                  <c:v>44966</c:v>
                </c:pt>
                <c:pt idx="209">
                  <c:v>45015</c:v>
                </c:pt>
                <c:pt idx="210">
                  <c:v>45064</c:v>
                </c:pt>
                <c:pt idx="211">
                  <c:v>45099</c:v>
                </c:pt>
                <c:pt idx="212">
                  <c:v>45148</c:v>
                </c:pt>
                <c:pt idx="213">
                  <c:v>45197</c:v>
                </c:pt>
                <c:pt idx="214">
                  <c:v>45239</c:v>
                </c:pt>
                <c:pt idx="215">
                  <c:v>45274</c:v>
                </c:pt>
                <c:pt idx="216">
                  <c:v>45330</c:v>
                </c:pt>
                <c:pt idx="217">
                  <c:v>45372</c:v>
                </c:pt>
                <c:pt idx="218">
                  <c:v>45421</c:v>
                </c:pt>
                <c:pt idx="219">
                  <c:v>45470</c:v>
                </c:pt>
                <c:pt idx="220">
                  <c:v>45512</c:v>
                </c:pt>
                <c:pt idx="221">
                  <c:v>45561</c:v>
                </c:pt>
                <c:pt idx="222">
                  <c:v>45610</c:v>
                </c:pt>
                <c:pt idx="223">
                  <c:v>45645</c:v>
                </c:pt>
                <c:pt idx="224">
                  <c:v>45694</c:v>
                </c:pt>
                <c:pt idx="225">
                  <c:v>45743</c:v>
                </c:pt>
                <c:pt idx="226">
                  <c:v>45792</c:v>
                </c:pt>
                <c:pt idx="227">
                  <c:v>45834</c:v>
                </c:pt>
                <c:pt idx="228">
                  <c:v>45876</c:v>
                </c:pt>
                <c:pt idx="229">
                  <c:v>45925</c:v>
                </c:pt>
                <c:pt idx="230">
                  <c:v>45967</c:v>
                </c:pt>
                <c:pt idx="231">
                  <c:v>46009</c:v>
                </c:pt>
                <c:pt idx="232">
                  <c:v>46058</c:v>
                </c:pt>
                <c:pt idx="233">
                  <c:v>46107</c:v>
                </c:pt>
                <c:pt idx="234">
                  <c:v>46149</c:v>
                </c:pt>
                <c:pt idx="235">
                  <c:v>46198</c:v>
                </c:pt>
              </c:numCache>
            </c:numRef>
          </c:cat>
          <c:val>
            <c:numRef>
              <c:f>GRAPH_DATA_INTEGRANTE!$D$2:$D$237</c:f>
              <c:numCache>
                <c:formatCode>General</c:formatCode>
                <c:ptCount val="2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1</c:v>
                </c:pt>
                <c:pt idx="47">
                  <c:v>0</c:v>
                </c:pt>
                <c:pt idx="48">
                  <c:v>0</c:v>
                </c:pt>
                <c:pt idx="49">
                  <c:v>1</c:v>
                </c:pt>
                <c:pt idx="50">
                  <c:v>0</c:v>
                </c:pt>
                <c:pt idx="51">
                  <c:v>0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0</c:v>
                </c:pt>
                <c:pt idx="58">
                  <c:v>1</c:v>
                </c:pt>
                <c:pt idx="59">
                  <c:v>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</c:numCache>
            </c:numRef>
          </c:val>
        </c:ser>
        <c:ser>
          <c:idx val="1"/>
          <c:order val="1"/>
          <c:tx>
            <c:strRef>
              <c:f>GRAPH_DATA!$F$1</c:f>
              <c:strCache>
                <c:ptCount val="1"/>
                <c:pt idx="0">
                  <c:v>Disensos_Dovish</c:v>
                </c:pt>
              </c:strCache>
            </c:strRef>
          </c:tx>
          <c:spPr>
            <a:solidFill xmlns:a="http://schemas.openxmlformats.org/drawingml/2006/main">
              <a:schemeClr val="accent2"/>
            </a:solidFill>
            <a:ln xmlns:a="http://schemas.openxmlformats.org/drawingml/2006/main">
              <a:solidFill>
                <a:schemeClr val="accent2"/>
              </a:solidFill>
            </a:ln>
          </c:spPr>
          <c:invertIfNegative val="0"/>
          <c:cat>
            <c:numRef>
              <c:f>GRAPH_DATA!$A$2:$A$237</c:f>
              <c:numCache>
                <c:formatCode>dd\-mmm\-yyyy</c:formatCode>
                <c:ptCount val="236"/>
                <c:pt idx="0">
                  <c:v>36543</c:v>
                </c:pt>
                <c:pt idx="1">
                  <c:v>36662</c:v>
                </c:pt>
                <c:pt idx="2">
                  <c:v>36703</c:v>
                </c:pt>
                <c:pt idx="3">
                  <c:v>36738</c:v>
                </c:pt>
                <c:pt idx="4">
                  <c:v>36816</c:v>
                </c:pt>
                <c:pt idx="5">
                  <c:v>36840</c:v>
                </c:pt>
                <c:pt idx="6">
                  <c:v>36903</c:v>
                </c:pt>
                <c:pt idx="7">
                  <c:v>37029</c:v>
                </c:pt>
                <c:pt idx="8">
                  <c:v>37103</c:v>
                </c:pt>
                <c:pt idx="9">
                  <c:v>37295</c:v>
                </c:pt>
                <c:pt idx="10">
                  <c:v>37358</c:v>
                </c:pt>
                <c:pt idx="11">
                  <c:v>37522</c:v>
                </c:pt>
                <c:pt idx="12">
                  <c:v>37596</c:v>
                </c:pt>
                <c:pt idx="13">
                  <c:v>37631</c:v>
                </c:pt>
                <c:pt idx="14">
                  <c:v>37645</c:v>
                </c:pt>
                <c:pt idx="15">
                  <c:v>37659</c:v>
                </c:pt>
                <c:pt idx="16">
                  <c:v>37673</c:v>
                </c:pt>
                <c:pt idx="17">
                  <c:v>37708</c:v>
                </c:pt>
                <c:pt idx="18">
                  <c:v>37736</c:v>
                </c:pt>
                <c:pt idx="19">
                  <c:v>37764</c:v>
                </c:pt>
                <c:pt idx="20">
                  <c:v>37799</c:v>
                </c:pt>
                <c:pt idx="21">
                  <c:v>37827</c:v>
                </c:pt>
                <c:pt idx="22">
                  <c:v>37855</c:v>
                </c:pt>
                <c:pt idx="23">
                  <c:v>37890</c:v>
                </c:pt>
                <c:pt idx="24">
                  <c:v>37918</c:v>
                </c:pt>
                <c:pt idx="25">
                  <c:v>37946</c:v>
                </c:pt>
                <c:pt idx="26">
                  <c:v>37966</c:v>
                </c:pt>
                <c:pt idx="27">
                  <c:v>38009</c:v>
                </c:pt>
                <c:pt idx="28">
                  <c:v>38037</c:v>
                </c:pt>
                <c:pt idx="29">
                  <c:v>38058</c:v>
                </c:pt>
                <c:pt idx="30">
                  <c:v>38072</c:v>
                </c:pt>
                <c:pt idx="31">
                  <c:v>38100</c:v>
                </c:pt>
                <c:pt idx="32">
                  <c:v>38104</c:v>
                </c:pt>
                <c:pt idx="33">
                  <c:v>38135</c:v>
                </c:pt>
                <c:pt idx="34">
                  <c:v>38163</c:v>
                </c:pt>
                <c:pt idx="35">
                  <c:v>38191</c:v>
                </c:pt>
                <c:pt idx="36">
                  <c:v>38226</c:v>
                </c:pt>
                <c:pt idx="37">
                  <c:v>38254</c:v>
                </c:pt>
                <c:pt idx="38">
                  <c:v>38282</c:v>
                </c:pt>
                <c:pt idx="39">
                  <c:v>38317</c:v>
                </c:pt>
                <c:pt idx="40">
                  <c:v>38331</c:v>
                </c:pt>
                <c:pt idx="41">
                  <c:v>38380</c:v>
                </c:pt>
                <c:pt idx="42">
                  <c:v>38408</c:v>
                </c:pt>
                <c:pt idx="43">
                  <c:v>38434</c:v>
                </c:pt>
                <c:pt idx="44">
                  <c:v>38464</c:v>
                </c:pt>
                <c:pt idx="45">
                  <c:v>38499</c:v>
                </c:pt>
                <c:pt idx="46">
                  <c:v>38527</c:v>
                </c:pt>
                <c:pt idx="47">
                  <c:v>38555</c:v>
                </c:pt>
                <c:pt idx="48">
                  <c:v>38590</c:v>
                </c:pt>
                <c:pt idx="49">
                  <c:v>38618</c:v>
                </c:pt>
                <c:pt idx="50">
                  <c:v>38653</c:v>
                </c:pt>
                <c:pt idx="51">
                  <c:v>38681</c:v>
                </c:pt>
                <c:pt idx="52">
                  <c:v>38695</c:v>
                </c:pt>
                <c:pt idx="53">
                  <c:v>38744</c:v>
                </c:pt>
                <c:pt idx="54">
                  <c:v>38772</c:v>
                </c:pt>
                <c:pt idx="55">
                  <c:v>38800</c:v>
                </c:pt>
                <c:pt idx="56">
                  <c:v>38828</c:v>
                </c:pt>
                <c:pt idx="57">
                  <c:v>38863</c:v>
                </c:pt>
                <c:pt idx="58">
                  <c:v>38891</c:v>
                </c:pt>
                <c:pt idx="59">
                  <c:v>38926</c:v>
                </c:pt>
                <c:pt idx="60">
                  <c:v>38954</c:v>
                </c:pt>
                <c:pt idx="61">
                  <c:v>38982</c:v>
                </c:pt>
                <c:pt idx="62">
                  <c:v>39017</c:v>
                </c:pt>
                <c:pt idx="63">
                  <c:v>39045</c:v>
                </c:pt>
                <c:pt idx="64">
                  <c:v>39059</c:v>
                </c:pt>
                <c:pt idx="65">
                  <c:v>39108</c:v>
                </c:pt>
                <c:pt idx="66">
                  <c:v>39136</c:v>
                </c:pt>
                <c:pt idx="67">
                  <c:v>39164</c:v>
                </c:pt>
                <c:pt idx="68">
                  <c:v>39199</c:v>
                </c:pt>
                <c:pt idx="69">
                  <c:v>39227</c:v>
                </c:pt>
                <c:pt idx="70">
                  <c:v>39255</c:v>
                </c:pt>
                <c:pt idx="71">
                  <c:v>39290</c:v>
                </c:pt>
                <c:pt idx="72">
                  <c:v>39318</c:v>
                </c:pt>
                <c:pt idx="73">
                  <c:v>39346</c:v>
                </c:pt>
                <c:pt idx="74">
                  <c:v>39381</c:v>
                </c:pt>
                <c:pt idx="75">
                  <c:v>39409</c:v>
                </c:pt>
                <c:pt idx="76">
                  <c:v>39423</c:v>
                </c:pt>
                <c:pt idx="77">
                  <c:v>39465</c:v>
                </c:pt>
                <c:pt idx="78">
                  <c:v>39493</c:v>
                </c:pt>
                <c:pt idx="79">
                  <c:v>39521</c:v>
                </c:pt>
                <c:pt idx="80">
                  <c:v>39556</c:v>
                </c:pt>
                <c:pt idx="81">
                  <c:v>39584</c:v>
                </c:pt>
                <c:pt idx="82">
                  <c:v>39619</c:v>
                </c:pt>
                <c:pt idx="83">
                  <c:v>39647</c:v>
                </c:pt>
                <c:pt idx="84">
                  <c:v>39675</c:v>
                </c:pt>
                <c:pt idx="85">
                  <c:v>39710</c:v>
                </c:pt>
                <c:pt idx="86">
                  <c:v>39738</c:v>
                </c:pt>
                <c:pt idx="87">
                  <c:v>39780</c:v>
                </c:pt>
                <c:pt idx="88">
                  <c:v>39829</c:v>
                </c:pt>
                <c:pt idx="89">
                  <c:v>39864</c:v>
                </c:pt>
                <c:pt idx="90">
                  <c:v>39892</c:v>
                </c:pt>
                <c:pt idx="91">
                  <c:v>39920</c:v>
                </c:pt>
                <c:pt idx="92">
                  <c:v>39948</c:v>
                </c:pt>
                <c:pt idx="93">
                  <c:v>39983</c:v>
                </c:pt>
                <c:pt idx="94">
                  <c:v>40011</c:v>
                </c:pt>
                <c:pt idx="95">
                  <c:v>40046</c:v>
                </c:pt>
                <c:pt idx="96">
                  <c:v>40074</c:v>
                </c:pt>
                <c:pt idx="97">
                  <c:v>40102</c:v>
                </c:pt>
                <c:pt idx="98">
                  <c:v>40144</c:v>
                </c:pt>
                <c:pt idx="99">
                  <c:v>40193</c:v>
                </c:pt>
                <c:pt idx="100">
                  <c:v>40228</c:v>
                </c:pt>
                <c:pt idx="101">
                  <c:v>40256</c:v>
                </c:pt>
                <c:pt idx="102">
                  <c:v>40284</c:v>
                </c:pt>
                <c:pt idx="103">
                  <c:v>40319</c:v>
                </c:pt>
                <c:pt idx="104">
                  <c:v>40347</c:v>
                </c:pt>
                <c:pt idx="105">
                  <c:v>40375</c:v>
                </c:pt>
                <c:pt idx="106">
                  <c:v>40410</c:v>
                </c:pt>
                <c:pt idx="107">
                  <c:v>40445</c:v>
                </c:pt>
                <c:pt idx="108">
                  <c:v>40466</c:v>
                </c:pt>
                <c:pt idx="109">
                  <c:v>40508</c:v>
                </c:pt>
                <c:pt idx="110">
                  <c:v>40564</c:v>
                </c:pt>
                <c:pt idx="111">
                  <c:v>40606</c:v>
                </c:pt>
                <c:pt idx="112">
                  <c:v>40648</c:v>
                </c:pt>
                <c:pt idx="113">
                  <c:v>40690</c:v>
                </c:pt>
                <c:pt idx="114">
                  <c:v>40732</c:v>
                </c:pt>
                <c:pt idx="115">
                  <c:v>40781</c:v>
                </c:pt>
                <c:pt idx="116">
                  <c:v>40830</c:v>
                </c:pt>
                <c:pt idx="117">
                  <c:v>40879</c:v>
                </c:pt>
                <c:pt idx="118">
                  <c:v>40928</c:v>
                </c:pt>
                <c:pt idx="119">
                  <c:v>40984</c:v>
                </c:pt>
                <c:pt idx="120">
                  <c:v>41026</c:v>
                </c:pt>
                <c:pt idx="121">
                  <c:v>41068</c:v>
                </c:pt>
                <c:pt idx="122">
                  <c:v>41110</c:v>
                </c:pt>
                <c:pt idx="123">
                  <c:v>41159</c:v>
                </c:pt>
                <c:pt idx="124">
                  <c:v>41208</c:v>
                </c:pt>
                <c:pt idx="125">
                  <c:v>41243</c:v>
                </c:pt>
                <c:pt idx="126">
                  <c:v>41292</c:v>
                </c:pt>
                <c:pt idx="127">
                  <c:v>41341</c:v>
                </c:pt>
                <c:pt idx="128">
                  <c:v>41390</c:v>
                </c:pt>
                <c:pt idx="129">
                  <c:v>41432</c:v>
                </c:pt>
                <c:pt idx="130">
                  <c:v>41467</c:v>
                </c:pt>
                <c:pt idx="131">
                  <c:v>41523</c:v>
                </c:pt>
                <c:pt idx="132">
                  <c:v>41572</c:v>
                </c:pt>
                <c:pt idx="133">
                  <c:v>41614</c:v>
                </c:pt>
                <c:pt idx="134">
                  <c:v>41670</c:v>
                </c:pt>
                <c:pt idx="135">
                  <c:v>41719</c:v>
                </c:pt>
                <c:pt idx="136">
                  <c:v>41754</c:v>
                </c:pt>
                <c:pt idx="137">
                  <c:v>41796</c:v>
                </c:pt>
                <c:pt idx="138">
                  <c:v>41831</c:v>
                </c:pt>
                <c:pt idx="139">
                  <c:v>41887</c:v>
                </c:pt>
                <c:pt idx="140">
                  <c:v>41943</c:v>
                </c:pt>
                <c:pt idx="141">
                  <c:v>41978</c:v>
                </c:pt>
                <c:pt idx="142">
                  <c:v>42033</c:v>
                </c:pt>
                <c:pt idx="143">
                  <c:v>42089</c:v>
                </c:pt>
                <c:pt idx="144">
                  <c:v>42124</c:v>
                </c:pt>
                <c:pt idx="145">
                  <c:v>42159</c:v>
                </c:pt>
                <c:pt idx="146">
                  <c:v>42215</c:v>
                </c:pt>
                <c:pt idx="147">
                  <c:v>42268</c:v>
                </c:pt>
                <c:pt idx="148">
                  <c:v>42306</c:v>
                </c:pt>
                <c:pt idx="149">
                  <c:v>42355</c:v>
                </c:pt>
                <c:pt idx="150">
                  <c:v>42404</c:v>
                </c:pt>
                <c:pt idx="151">
                  <c:v>42417</c:v>
                </c:pt>
                <c:pt idx="152">
                  <c:v>42447</c:v>
                </c:pt>
                <c:pt idx="153">
                  <c:v>42495</c:v>
                </c:pt>
                <c:pt idx="154">
                  <c:v>42551</c:v>
                </c:pt>
                <c:pt idx="155">
                  <c:v>42593</c:v>
                </c:pt>
                <c:pt idx="156">
                  <c:v>42642</c:v>
                </c:pt>
                <c:pt idx="157">
                  <c:v>42691</c:v>
                </c:pt>
                <c:pt idx="158">
                  <c:v>42719</c:v>
                </c:pt>
                <c:pt idx="159">
                  <c:v>42775</c:v>
                </c:pt>
                <c:pt idx="160">
                  <c:v>42824</c:v>
                </c:pt>
                <c:pt idx="161">
                  <c:v>42873</c:v>
                </c:pt>
                <c:pt idx="162">
                  <c:v>42908</c:v>
                </c:pt>
                <c:pt idx="163">
                  <c:v>42957</c:v>
                </c:pt>
                <c:pt idx="164">
                  <c:v>43006</c:v>
                </c:pt>
                <c:pt idx="165">
                  <c:v>43048</c:v>
                </c:pt>
                <c:pt idx="166">
                  <c:v>43083</c:v>
                </c:pt>
                <c:pt idx="167">
                  <c:v>43139</c:v>
                </c:pt>
                <c:pt idx="168">
                  <c:v>43202</c:v>
                </c:pt>
                <c:pt idx="169">
                  <c:v>43237</c:v>
                </c:pt>
                <c:pt idx="170">
                  <c:v>43272</c:v>
                </c:pt>
                <c:pt idx="171">
                  <c:v>43314</c:v>
                </c:pt>
                <c:pt idx="172">
                  <c:v>43377</c:v>
                </c:pt>
                <c:pt idx="173">
                  <c:v>43419</c:v>
                </c:pt>
                <c:pt idx="174">
                  <c:v>43454</c:v>
                </c:pt>
                <c:pt idx="175">
                  <c:v>43503</c:v>
                </c:pt>
                <c:pt idx="176">
                  <c:v>43552</c:v>
                </c:pt>
                <c:pt idx="177">
                  <c:v>43601</c:v>
                </c:pt>
                <c:pt idx="178">
                  <c:v>43643</c:v>
                </c:pt>
                <c:pt idx="179">
                  <c:v>43692</c:v>
                </c:pt>
                <c:pt idx="180">
                  <c:v>43734</c:v>
                </c:pt>
                <c:pt idx="181">
                  <c:v>43783</c:v>
                </c:pt>
                <c:pt idx="182">
                  <c:v>43818</c:v>
                </c:pt>
                <c:pt idx="183">
                  <c:v>43874</c:v>
                </c:pt>
                <c:pt idx="184">
                  <c:v>43910</c:v>
                </c:pt>
                <c:pt idx="185">
                  <c:v>43942</c:v>
                </c:pt>
                <c:pt idx="186">
                  <c:v>43965</c:v>
                </c:pt>
                <c:pt idx="187">
                  <c:v>44007</c:v>
                </c:pt>
                <c:pt idx="188">
                  <c:v>44056</c:v>
                </c:pt>
                <c:pt idx="189">
                  <c:v>44098</c:v>
                </c:pt>
                <c:pt idx="190">
                  <c:v>44147</c:v>
                </c:pt>
                <c:pt idx="191">
                  <c:v>44182</c:v>
                </c:pt>
                <c:pt idx="192">
                  <c:v>44238</c:v>
                </c:pt>
                <c:pt idx="193">
                  <c:v>44280</c:v>
                </c:pt>
                <c:pt idx="194">
                  <c:v>44329</c:v>
                </c:pt>
                <c:pt idx="195">
                  <c:v>44371</c:v>
                </c:pt>
                <c:pt idx="196">
                  <c:v>44420</c:v>
                </c:pt>
                <c:pt idx="197">
                  <c:v>44469</c:v>
                </c:pt>
                <c:pt idx="198">
                  <c:v>44511</c:v>
                </c:pt>
                <c:pt idx="199">
                  <c:v>44546</c:v>
                </c:pt>
                <c:pt idx="200">
                  <c:v>44602</c:v>
                </c:pt>
                <c:pt idx="201">
                  <c:v>44644</c:v>
                </c:pt>
                <c:pt idx="202">
                  <c:v>44693</c:v>
                </c:pt>
                <c:pt idx="203">
                  <c:v>44735</c:v>
                </c:pt>
                <c:pt idx="204">
                  <c:v>44784</c:v>
                </c:pt>
                <c:pt idx="205">
                  <c:v>44833</c:v>
                </c:pt>
                <c:pt idx="206">
                  <c:v>44875</c:v>
                </c:pt>
                <c:pt idx="207">
                  <c:v>44910</c:v>
                </c:pt>
                <c:pt idx="208">
                  <c:v>44966</c:v>
                </c:pt>
                <c:pt idx="209">
                  <c:v>45015</c:v>
                </c:pt>
                <c:pt idx="210">
                  <c:v>45064</c:v>
                </c:pt>
                <c:pt idx="211">
                  <c:v>45099</c:v>
                </c:pt>
                <c:pt idx="212">
                  <c:v>45148</c:v>
                </c:pt>
                <c:pt idx="213">
                  <c:v>45197</c:v>
                </c:pt>
                <c:pt idx="214">
                  <c:v>45239</c:v>
                </c:pt>
                <c:pt idx="215">
                  <c:v>45274</c:v>
                </c:pt>
                <c:pt idx="216">
                  <c:v>45330</c:v>
                </c:pt>
                <c:pt idx="217">
                  <c:v>45372</c:v>
                </c:pt>
                <c:pt idx="218">
                  <c:v>45421</c:v>
                </c:pt>
                <c:pt idx="219">
                  <c:v>45470</c:v>
                </c:pt>
                <c:pt idx="220">
                  <c:v>45512</c:v>
                </c:pt>
                <c:pt idx="221">
                  <c:v>45561</c:v>
                </c:pt>
                <c:pt idx="222">
                  <c:v>45610</c:v>
                </c:pt>
                <c:pt idx="223">
                  <c:v>45645</c:v>
                </c:pt>
                <c:pt idx="224">
                  <c:v>45694</c:v>
                </c:pt>
                <c:pt idx="225">
                  <c:v>45743</c:v>
                </c:pt>
                <c:pt idx="226">
                  <c:v>45792</c:v>
                </c:pt>
                <c:pt idx="227">
                  <c:v>45834</c:v>
                </c:pt>
                <c:pt idx="228">
                  <c:v>45876</c:v>
                </c:pt>
                <c:pt idx="229">
                  <c:v>45925</c:v>
                </c:pt>
                <c:pt idx="230">
                  <c:v>45967</c:v>
                </c:pt>
                <c:pt idx="231">
                  <c:v>46009</c:v>
                </c:pt>
                <c:pt idx="232">
                  <c:v>46058</c:v>
                </c:pt>
                <c:pt idx="233">
                  <c:v>46107</c:v>
                </c:pt>
                <c:pt idx="234">
                  <c:v>46149</c:v>
                </c:pt>
                <c:pt idx="235">
                  <c:v>46198</c:v>
                </c:pt>
              </c:numCache>
            </c:numRef>
          </c:cat>
          <c:val>
            <c:numRef>
              <c:f>GRAPH_DATA_INTEGRANTE!$E$2:$E$237</c:f>
              <c:numCache>
                <c:formatCode>General</c:formatCode>
                <c:ptCount val="2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357006000"/>
        <c:axId val="1380384688"/>
      </c:barChart>
      <c:lineChart>
        <c:grouping val="standard"/>
        <c:varyColors val="0"/>
        <c:ser>
          <c:idx val="2"/>
          <c:order val="2"/>
          <c:tx>
            <c:strRef>
              <c:f>GRAPH_DATA_INTEGRANTE!$C$1</c:f>
              <c:strCache>
                <c:ptCount val="1"/>
                <c:pt idx="0">
                  <c:v>Tasa_Objetivo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1"/>
              </a:solidFill>
            </a:ln>
          </c:spPr>
          <c:marker>
            <c:symbol val="none"/>
          </c:marker>
          <c:dPt>
            <c:idx val="78"/>
            <c:marker>
              <c:symbol val="none"/>
            </c:marker>
            <c:spPr>
              <a:ln xmlns:a="http://schemas.openxmlformats.org/drawingml/2006/main" w="28575">
                <a:noFill/>
              </a:ln>
            </c:spPr>
          </c:dPt>
          <c:cat>
            <c:strRef>
              <c:f>GRAPH_DATA_INTEGRANTE!$A$2:$A$237</c:f>
              <c:strCache>
                <c:ptCount val="61"/>
                <c:pt idx="0">
                  <c:v>7-Feb-19</c:v>
                </c:pt>
                <c:pt idx="1">
                  <c:v>28-Mar-19</c:v>
                </c:pt>
                <c:pt idx="2">
                  <c:v>16-May-19</c:v>
                </c:pt>
                <c:pt idx="3">
                  <c:v>27-Jun-19</c:v>
                </c:pt>
                <c:pt idx="4">
                  <c:v>15-Aug-19</c:v>
                </c:pt>
                <c:pt idx="5">
                  <c:v>26-Sep-19</c:v>
                </c:pt>
                <c:pt idx="6">
                  <c:v>14-Nov-19</c:v>
                </c:pt>
                <c:pt idx="7">
                  <c:v>19-Dec-19</c:v>
                </c:pt>
                <c:pt idx="8">
                  <c:v>13-Feb-20</c:v>
                </c:pt>
                <c:pt idx="9">
                  <c:v>20-Mar-20</c:v>
                </c:pt>
                <c:pt idx="10">
                  <c:v>21-Apr-20</c:v>
                </c:pt>
                <c:pt idx="11">
                  <c:v>14-May-20</c:v>
                </c:pt>
                <c:pt idx="12">
                  <c:v>25-Jun-20</c:v>
                </c:pt>
                <c:pt idx="13">
                  <c:v>13-Aug-20</c:v>
                </c:pt>
                <c:pt idx="14">
                  <c:v>24-Sep-20</c:v>
                </c:pt>
                <c:pt idx="15">
                  <c:v>12-Nov-20</c:v>
                </c:pt>
                <c:pt idx="16">
                  <c:v>17-Dec-20</c:v>
                </c:pt>
                <c:pt idx="17">
                  <c:v>11-Feb-21</c:v>
                </c:pt>
                <c:pt idx="18">
                  <c:v>25-Mar-21</c:v>
                </c:pt>
                <c:pt idx="19">
                  <c:v>13-May-21</c:v>
                </c:pt>
                <c:pt idx="20">
                  <c:v>24-Jun-21</c:v>
                </c:pt>
                <c:pt idx="21">
                  <c:v>12-Aug-21</c:v>
                </c:pt>
                <c:pt idx="22">
                  <c:v>30-Sep-21</c:v>
                </c:pt>
                <c:pt idx="23">
                  <c:v>11-Nov-21</c:v>
                </c:pt>
                <c:pt idx="24">
                  <c:v>16-Dec-21</c:v>
                </c:pt>
                <c:pt idx="25">
                  <c:v>10-Feb-22</c:v>
                </c:pt>
                <c:pt idx="26">
                  <c:v>24-Mar-22</c:v>
                </c:pt>
                <c:pt idx="27">
                  <c:v>12-May-22</c:v>
                </c:pt>
                <c:pt idx="28">
                  <c:v>23-Jun-22</c:v>
                </c:pt>
                <c:pt idx="29">
                  <c:v>11-Aug-22</c:v>
                </c:pt>
                <c:pt idx="30">
                  <c:v>29-Sep-22</c:v>
                </c:pt>
                <c:pt idx="31">
                  <c:v>10-Nov-22</c:v>
                </c:pt>
                <c:pt idx="32">
                  <c:v>15-Dec-22</c:v>
                </c:pt>
                <c:pt idx="33">
                  <c:v>9-Feb-23</c:v>
                </c:pt>
                <c:pt idx="34">
                  <c:v>30-Mar-23</c:v>
                </c:pt>
                <c:pt idx="35">
                  <c:v>18-May-23</c:v>
                </c:pt>
                <c:pt idx="36">
                  <c:v>22-Jun-23</c:v>
                </c:pt>
                <c:pt idx="37">
                  <c:v>10-Aug-23</c:v>
                </c:pt>
                <c:pt idx="38">
                  <c:v>28-Sep-23</c:v>
                </c:pt>
                <c:pt idx="39">
                  <c:v>9-Nov-23</c:v>
                </c:pt>
                <c:pt idx="40">
                  <c:v>14-Dec-23</c:v>
                </c:pt>
                <c:pt idx="41">
                  <c:v>8-Feb-24</c:v>
                </c:pt>
                <c:pt idx="42">
                  <c:v>21-Mar-24</c:v>
                </c:pt>
                <c:pt idx="43">
                  <c:v>9-May-24</c:v>
                </c:pt>
                <c:pt idx="44">
                  <c:v>27-Jun-24</c:v>
                </c:pt>
                <c:pt idx="45">
                  <c:v>8-Aug-24</c:v>
                </c:pt>
                <c:pt idx="46">
                  <c:v>26-Sep-24</c:v>
                </c:pt>
                <c:pt idx="47">
                  <c:v>14-Nov-24</c:v>
                </c:pt>
                <c:pt idx="48">
                  <c:v>19-Dec-24</c:v>
                </c:pt>
                <c:pt idx="49">
                  <c:v>6-Feb-25</c:v>
                </c:pt>
                <c:pt idx="50">
                  <c:v>27-Mar-25</c:v>
                </c:pt>
                <c:pt idx="51">
                  <c:v>15-May-25</c:v>
                </c:pt>
                <c:pt idx="52">
                  <c:v>26-Jun-25</c:v>
                </c:pt>
                <c:pt idx="53">
                  <c:v>7-Aug-25</c:v>
                </c:pt>
                <c:pt idx="54">
                  <c:v>25-Sep-25</c:v>
                </c:pt>
                <c:pt idx="55">
                  <c:v>6-Nov-25</c:v>
                </c:pt>
                <c:pt idx="56">
                  <c:v>18-Dec-25</c:v>
                </c:pt>
                <c:pt idx="57">
                  <c:v>5-Feb-26</c:v>
                </c:pt>
                <c:pt idx="58">
                  <c:v>26-Mar-26</c:v>
                </c:pt>
                <c:pt idx="59">
                  <c:v>7-May-26</c:v>
                </c:pt>
                <c:pt idx="60">
                  <c:v>25-Jun-26</c:v>
                </c:pt>
              </c:strCache>
            </c:strRef>
          </c:cat>
          <c:val>
            <c:numRef>
              <c:f>GRAPH_DATA_INTEGRANTE!$C$2:$C$237</c:f>
              <c:numCache>
                <c:formatCode>General</c:formatCode>
                <c:ptCount val="236"/>
                <c:pt idx="0">
                  <c:v>8.25</c:v>
                </c:pt>
                <c:pt idx="1">
                  <c:v>8.25</c:v>
                </c:pt>
                <c:pt idx="2">
                  <c:v>8.25</c:v>
                </c:pt>
                <c:pt idx="3">
                  <c:v>8.25</c:v>
                </c:pt>
                <c:pt idx="4">
                  <c:v>8</c:v>
                </c:pt>
                <c:pt idx="5">
                  <c:v>7.75</c:v>
                </c:pt>
                <c:pt idx="6">
                  <c:v>7.5</c:v>
                </c:pt>
                <c:pt idx="7">
                  <c:v>7.25</c:v>
                </c:pt>
                <c:pt idx="8">
                  <c:v>7</c:v>
                </c:pt>
                <c:pt idx="9">
                  <c:v>6.5</c:v>
                </c:pt>
                <c:pt idx="10">
                  <c:v>6</c:v>
                </c:pt>
                <c:pt idx="11">
                  <c:v>5.5</c:v>
                </c:pt>
                <c:pt idx="12">
                  <c:v>5</c:v>
                </c:pt>
                <c:pt idx="13">
                  <c:v>4.5</c:v>
                </c:pt>
                <c:pt idx="14">
                  <c:v>4.25</c:v>
                </c:pt>
                <c:pt idx="15">
                  <c:v>4.25</c:v>
                </c:pt>
                <c:pt idx="16">
                  <c:v>4.25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  <c:pt idx="24">
                  <c:v>5.5</c:v>
                </c:pt>
                <c:pt idx="25">
                  <c:v>6</c:v>
                </c:pt>
                <c:pt idx="26">
                  <c:v>6.5</c:v>
                </c:pt>
                <c:pt idx="27">
                  <c:v>7</c:v>
                </c:pt>
                <c:pt idx="28">
                  <c:v>7.75</c:v>
                </c:pt>
                <c:pt idx="29">
                  <c:v>8.5</c:v>
                </c:pt>
                <c:pt idx="30">
                  <c:v>9.25</c:v>
                </c:pt>
                <c:pt idx="31">
                  <c:v>10</c:v>
                </c:pt>
                <c:pt idx="32">
                  <c:v>10.5</c:v>
                </c:pt>
                <c:pt idx="33">
                  <c:v>11</c:v>
                </c:pt>
                <c:pt idx="34">
                  <c:v>11.25</c:v>
                </c:pt>
                <c:pt idx="35">
                  <c:v>11.25</c:v>
                </c:pt>
                <c:pt idx="36">
                  <c:v>11.25</c:v>
                </c:pt>
                <c:pt idx="37">
                  <c:v>11.25</c:v>
                </c:pt>
                <c:pt idx="38">
                  <c:v>11.25</c:v>
                </c:pt>
                <c:pt idx="39">
                  <c:v>11.25</c:v>
                </c:pt>
                <c:pt idx="40">
                  <c:v>11.25</c:v>
                </c:pt>
                <c:pt idx="41">
                  <c:v>11.25</c:v>
                </c:pt>
                <c:pt idx="42">
                  <c:v>11</c:v>
                </c:pt>
                <c:pt idx="43">
                  <c:v>11</c:v>
                </c:pt>
                <c:pt idx="44">
                  <c:v>11</c:v>
                </c:pt>
                <c:pt idx="45">
                  <c:v>10.75</c:v>
                </c:pt>
                <c:pt idx="46">
                  <c:v>10.5</c:v>
                </c:pt>
                <c:pt idx="47">
                  <c:v>10.25</c:v>
                </c:pt>
                <c:pt idx="48">
                  <c:v>10</c:v>
                </c:pt>
                <c:pt idx="49">
                  <c:v>9.5</c:v>
                </c:pt>
                <c:pt idx="50">
                  <c:v>9</c:v>
                </c:pt>
                <c:pt idx="51">
                  <c:v>8.5</c:v>
                </c:pt>
                <c:pt idx="52">
                  <c:v>8</c:v>
                </c:pt>
                <c:pt idx="53">
                  <c:v>7.75</c:v>
                </c:pt>
                <c:pt idx="54">
                  <c:v>7.5</c:v>
                </c:pt>
                <c:pt idx="55">
                  <c:v>7.25</c:v>
                </c:pt>
                <c:pt idx="56">
                  <c:v>7</c:v>
                </c:pt>
                <c:pt idx="57">
                  <c:v>7</c:v>
                </c:pt>
                <c:pt idx="58">
                  <c:v>6.75</c:v>
                </c:pt>
                <c:pt idx="59">
                  <c:v>6.5</c:v>
                </c:pt>
                <c:pt idx="60">
                  <c:v>6.5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6021488"/>
        <c:axId val="1380480208"/>
      </c:lineChart>
      <c:dateAx>
        <c:axId val="1336021488"/>
        <c:scaling>
          <c:orientation val="minMax"/>
          <c:max val="46583"/>
        </c:scaling>
        <c:delete val="0"/>
        <c:axPos val="b"/>
        <c:numFmt formatCode="yyyy" sourceLinked="0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5400000" spcFirstLastPara="1" wrap="square" anchor="ctr" anchorCtr="1"/>
          <a:lstStyle xmlns:a="http://schemas.openxmlformats.org/drawingml/2006/main"/>
          <a:p xmlns:a="http://schemas.openxmlformats.org/drawingml/2006/main">
            <a:pPr>
              <a:defRPr sz="900" b="0" i="0" u="non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1380480208"/>
        <c:crosses val="autoZero"/>
        <c:auto val="1"/>
        <c:lblOffset val="100"/>
        <c:baseTimeUnit val="days"/>
        <c:majorUnit val="1"/>
        <c:majorTimeUnit val="years"/>
      </c:dateAx>
      <c:valAx>
        <c:axId val="1380480208"/>
        <c:scaling>
          <c:orientation val="minMax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0" sourceLinked="0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1050" b="0" i="0" u="non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</a:p>
        </c:txPr>
        <c:crossAx val="1336021488"/>
        <c:crosses val="autoZero"/>
        <c:crossBetween val="between"/>
      </c:valAx>
      <c:valAx>
        <c:axId val="1380384688"/>
        <c:scaling>
          <c:orientation val="minMax"/>
          <c:max val="1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1050" b="0" i="0" u="non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</a:p>
        </c:txPr>
        <c:crossAx val="1357006000"/>
        <c:crosses val="max"/>
        <c:crossBetween val="between"/>
        <c:majorUnit val="1"/>
      </c:valAx>
      <c:dateAx>
        <c:axId val="1357006000"/>
        <c:scaling>
          <c:orientation val="minMax"/>
        </c:scaling>
        <c:delete val="1"/>
        <c:axPos val="b"/>
        <c:numFmt formatCode="dd\-mmm\-yyyy" sourceLinked="1"/>
        <c:majorTickMark val="out"/>
        <c:minorTickMark val="none"/>
        <c:tickLblPos val="nextTo"/>
        <c:crossAx val="1380384688"/>
        <c:crosses val="autoZero"/>
        <c:auto val="1"/>
        <c:lblOffset val="100"/>
        <c:baseTimeUnit val="days"/>
      </c:dateAx>
      <c:spPr>
        <a:noFill xmlns:a="http://schemas.openxmlformats.org/drawingml/2006/main"/>
        <a:ln xmlns:a="http://schemas.openxmlformats.org/drawingml/2006/main">
          <a:noFill/>
        </a:ln>
      </c:spPr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3</xdr:row>
      <xdr:rowOff>22860</xdr:rowOff>
    </xdr:from>
    <xdr:to>
      <xdr:col>11</xdr:col>
      <xdr:colOff>892629</xdr:colOff>
      <xdr:row>17</xdr:row>
      <xdr:rowOff>157480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2f8ff5f6ea3469b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45720</xdr:colOff>
      <xdr:row>4</xdr:row>
      <xdr:rowOff>99060</xdr:rowOff>
    </xdr:from>
    <xdr:to>
      <xdr:col>13</xdr:col>
      <xdr:colOff>1092200</xdr:colOff>
      <xdr:row>19</xdr:row>
      <xdr:rowOff>38100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e19011372724aa9"/>
        </a:graphicData>
      </a:graphic>
    </xdr:graphicFrame>
    <xdr:clientData/>
  </xdr:twoCellAnchor>
  <xdr:twoCellAnchor>
    <xdr:from>
      <xdr:col>0</xdr:col>
      <xdr:colOff>0</xdr:colOff>
      <xdr:row>19</xdr:row>
      <xdr:rowOff>0</xdr:rowOff>
    </xdr:from>
    <xdr:to>
      <xdr:col>13</xdr:col>
      <xdr:colOff>1046480</xdr:colOff>
      <xdr:row>33</xdr:row>
      <xdr:rowOff>167640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051af4af6934aa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DecisionesTable" displayName="DecisionesTable" ref="A1:N238" headerRowCount="1" totalsRowCount="0" totalsRowShown="0">
  <x:tableColumns count="14">
    <x:tableColumn id="1" name="Decision_ID"/>
    <x:tableColumn id="2" name="Fecha_Decision"/>
    <x:tableColumn id="3" name="Hora_Publicacion"/>
    <x:tableColumn id="4" name="Tipo_Reunion"/>
    <x:tableColumn id="5" name="Regimen_Operativo"/>
    <x:tableColumn id="6" name="Tasa_Anterior"/>
    <x:tableColumn id="7" name="Cambio_pb"/>
    <x:tableColumn id="8" name="Tasa_Nueva"/>
    <x:tableColumn id="9" name="Direccion_Decision"/>
    <x:tableColumn id="10" name="Decision_Unanime"/>
    <x:tableColumn id="11" name="Numero_Disensos"/>
    <x:tableColumn id="12" name="Comunicado_URL"/>
    <x:tableColumn id="13" name="Minuta_URL"/>
    <x:tableColumn id="14" name="Observacion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7" name="ParticipacionTable" displayName="ParticipacionTable" ref="A1:E341" headerRowCount="1" totalsRowCount="0" totalsRowShown="0">
  <x:tableColumns count="5">
    <x:tableColumn id="1" name="Decision_ID"/>
    <x:tableColumn id="2" name="Persona_ID"/>
    <x:tableColumn id="3" name="Cargo"/>
    <x:tableColumn id="4" name="Participacion_Confirmada"/>
    <x:tableColumn id="5" name="Observacion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6" name="VotacionesTable" displayName="VotacionesTable" ref="A1:F341" headerRowCount="1" totalsRowCount="0" totalsRowShown="0">
  <x:tableColumns count="6">
    <x:tableColumn id="1" name="Decision_ID"/>
    <x:tableColumn id="2" name="Persona_ID"/>
    <x:tableColumn id="3" name="Voto"/>
    <x:tableColumn id="4" name="Tipo_Voto"/>
    <x:tableColumn id="5" name="Nivel_Identificacion"/>
    <x:tableColumn id="6" name="Observacion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ersonasTable" displayName="PersonasTable" ref="A1:B30" totalsRowShown="0">
  <x:tableColumns count="2">
    <x:tableColumn id="1" name="Persona_ID"/>
    <x:tableColumn id="2" name="Nombr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alidacionesTable" displayName="ValidacionesTable" ref="A1:D2" totalsRowShown="0">
  <x:tableColumns count="4">
    <x:tableColumn id="1" name="Tipo"/>
    <x:tableColumn id="2" name="Decision_ID"/>
    <x:tableColumn id="3" name="Detalle"/>
    <x:tableColumn id="4" name="Severida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8" name="GraphDataTable" displayName="GraphDataTable" ref="A1:F238" headerRowCount="1" totalsRowCount="0" totalsRowShown="0">
  <x:tableColumns count="6">
    <x:tableColumn id="1" name="Fecha"/>
    <x:tableColumn id="2" name="Decision_ID"/>
    <x:tableColumn id="3" name="Tasa_Objetivo"/>
    <x:tableColumn id="4" name="Movimiento_pb"/>
    <x:tableColumn id="5" name="Disensos_Hawk"/>
    <x:tableColumn id="6" name="Disensos_Dovis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e3560d2b7d7464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fcf602c5e144a0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8f57ad4c3854e2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a36b44e3a88400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c6c3aebc70b464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298215393cda4ff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2.xml" Id="R1e36e8c3813d459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395e07e52bbe4ed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5" customWidth="1"/>
    <x:col min="2" max="3" width="13" customWidth="1"/>
    <x:col min="4" max="4" width="15" customWidth="1"/>
    <x:col min="5" max="5" width="29" customWidth="1"/>
    <x:col min="6" max="6" width="14" customWidth="1"/>
    <x:col min="7" max="7" width="12" customWidth="1"/>
    <x:col min="8" max="8" width="13" customWidth="1"/>
    <x:col min="9" max="10" width="18" customWidth="1"/>
    <x:col min="11" max="11" width="15" customWidth="1"/>
    <x:col min="12" max="13" width="48" customWidth="1"/>
    <x:col min="14" max="14" width="42" customWidth="1"/>
  </x:cols>
  <x:sheetData>
    <x:row r="1" ht="31.950000762939453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</x:row>
    <x:row r="2" ht="41.400001525878906">
      <x:c r="A2" s="2" t="s">
        <x:v>14</x:v>
      </x:c>
      <x:c r="B2" s="4">
        <x:v>36543</x:v>
      </x:c>
      <x:c r="C2" s="2"/>
      <x:c r="D2" s="2" t="s">
        <x:v>15</x:v>
      </x:c>
      <x:c r="E2" s="2" t="s">
        <x:v>16</x:v>
      </x:c>
      <x:c r="F2" s="6"/>
      <x:c r="G2" s="8"/>
      <x:c r="H2" s="6"/>
      <x:c r="I2" s="2" t="s">
        <x:v>17</x:v>
      </x:c>
      <x:c r="J2" s="2" t="s">
        <x:v>17</x:v>
      </x:c>
      <x:c r="K2" s="2"/>
      <x:c r="L2" s="10" t="s">
        <x:v>18</x:v>
      </x:c>
      <x:c r="M2" s="10"/>
      <x:c r="N2" s="10" t="s">
        <x:v>19</x:v>
      </x:c>
    </x:row>
    <x:row r="3" ht="41.400001525878906">
      <x:c r="A3" s="2" t="s">
        <x:v>20</x:v>
      </x:c>
      <x:c r="B3" s="4">
        <x:v>36662</x:v>
      </x:c>
      <x:c r="C3" s="2"/>
      <x:c r="D3" s="2" t="s">
        <x:v>15</x:v>
      </x:c>
      <x:c r="E3" s="2" t="s">
        <x:v>16</x:v>
      </x:c>
      <x:c r="F3" s="6"/>
      <x:c r="G3" s="8"/>
      <x:c r="H3" s="6"/>
      <x:c r="I3" s="2" t="s">
        <x:v>17</x:v>
      </x:c>
      <x:c r="J3" s="2" t="s">
        <x:v>17</x:v>
      </x:c>
      <x:c r="K3" s="2"/>
      <x:c r="L3" s="10" t="s">
        <x:v>21</x:v>
      </x:c>
      <x:c r="M3" s="10"/>
      <x:c r="N3" s="10" t="s">
        <x:v>19</x:v>
      </x:c>
    </x:row>
    <x:row r="4" ht="41.400001525878906">
      <x:c r="A4" s="2" t="s">
        <x:v>22</x:v>
      </x:c>
      <x:c r="B4" s="4">
        <x:v>36703</x:v>
      </x:c>
      <x:c r="C4" s="2"/>
      <x:c r="D4" s="2" t="s">
        <x:v>15</x:v>
      </x:c>
      <x:c r="E4" s="2" t="s">
        <x:v>16</x:v>
      </x:c>
      <x:c r="F4" s="6"/>
      <x:c r="G4" s="8"/>
      <x:c r="H4" s="6"/>
      <x:c r="I4" s="2" t="s">
        <x:v>17</x:v>
      </x:c>
      <x:c r="J4" s="2" t="s">
        <x:v>17</x:v>
      </x:c>
      <x:c r="K4" s="2"/>
      <x:c r="L4" s="10" t="s">
        <x:v>23</x:v>
      </x:c>
      <x:c r="M4" s="10"/>
      <x:c r="N4" s="10" t="s">
        <x:v>19</x:v>
      </x:c>
    </x:row>
    <x:row r="5" ht="41.400001525878906">
      <x:c r="A5" s="2" t="s">
        <x:v>24</x:v>
      </x:c>
      <x:c r="B5" s="4">
        <x:v>36738</x:v>
      </x:c>
      <x:c r="C5" s="2"/>
      <x:c r="D5" s="2" t="s">
        <x:v>15</x:v>
      </x:c>
      <x:c r="E5" s="2" t="s">
        <x:v>16</x:v>
      </x:c>
      <x:c r="F5" s="6"/>
      <x:c r="G5" s="8"/>
      <x:c r="H5" s="6"/>
      <x:c r="I5" s="2" t="s">
        <x:v>17</x:v>
      </x:c>
      <x:c r="J5" s="2" t="s">
        <x:v>17</x:v>
      </x:c>
      <x:c r="K5" s="2"/>
      <x:c r="L5" s="10" t="s">
        <x:v>25</x:v>
      </x:c>
      <x:c r="M5" s="10"/>
      <x:c r="N5" s="10" t="s">
        <x:v>19</x:v>
      </x:c>
    </x:row>
    <x:row r="6" ht="41.400001525878906">
      <x:c r="A6" s="2" t="s">
        <x:v>26</x:v>
      </x:c>
      <x:c r="B6" s="4">
        <x:v>36816</x:v>
      </x:c>
      <x:c r="C6" s="2"/>
      <x:c r="D6" s="2" t="s">
        <x:v>15</x:v>
      </x:c>
      <x:c r="E6" s="2" t="s">
        <x:v>16</x:v>
      </x:c>
      <x:c r="F6" s="6"/>
      <x:c r="G6" s="8"/>
      <x:c r="H6" s="6"/>
      <x:c r="I6" s="2" t="s">
        <x:v>17</x:v>
      </x:c>
      <x:c r="J6" s="2" t="s">
        <x:v>17</x:v>
      </x:c>
      <x:c r="K6" s="2"/>
      <x:c r="L6" s="10" t="s">
        <x:v>27</x:v>
      </x:c>
      <x:c r="M6" s="10"/>
      <x:c r="N6" s="10" t="s">
        <x:v>19</x:v>
      </x:c>
    </x:row>
    <x:row r="7" ht="41.400001525878906">
      <x:c r="A7" s="2" t="s">
        <x:v>28</x:v>
      </x:c>
      <x:c r="B7" s="4">
        <x:v>36840</x:v>
      </x:c>
      <x:c r="C7" s="2"/>
      <x:c r="D7" s="2" t="s">
        <x:v>15</x:v>
      </x:c>
      <x:c r="E7" s="2" t="s">
        <x:v>16</x:v>
      </x:c>
      <x:c r="F7" s="6"/>
      <x:c r="G7" s="8"/>
      <x:c r="H7" s="6"/>
      <x:c r="I7" s="2" t="s">
        <x:v>17</x:v>
      </x:c>
      <x:c r="J7" s="2" t="s">
        <x:v>17</x:v>
      </x:c>
      <x:c r="K7" s="2"/>
      <x:c r="L7" s="10" t="s">
        <x:v>29</x:v>
      </x:c>
      <x:c r="M7" s="10"/>
      <x:c r="N7" s="10" t="s">
        <x:v>19</x:v>
      </x:c>
    </x:row>
    <x:row r="8" ht="41.400001525878906">
      <x:c r="A8" s="2" t="s">
        <x:v>30</x:v>
      </x:c>
      <x:c r="B8" s="4">
        <x:v>36903</x:v>
      </x:c>
      <x:c r="C8" s="2"/>
      <x:c r="D8" s="2" t="s">
        <x:v>15</x:v>
      </x:c>
      <x:c r="E8" s="2" t="s">
        <x:v>16</x:v>
      </x:c>
      <x:c r="F8" s="6"/>
      <x:c r="G8" s="8"/>
      <x:c r="H8" s="6"/>
      <x:c r="I8" s="2" t="s">
        <x:v>17</x:v>
      </x:c>
      <x:c r="J8" s="2" t="s">
        <x:v>17</x:v>
      </x:c>
      <x:c r="K8" s="2"/>
      <x:c r="L8" s="10" t="s">
        <x:v>31</x:v>
      </x:c>
      <x:c r="M8" s="10"/>
      <x:c r="N8" s="10" t="s">
        <x:v>19</x:v>
      </x:c>
    </x:row>
    <x:row r="9" ht="41.400001525878906">
      <x:c r="A9" s="2" t="s">
        <x:v>32</x:v>
      </x:c>
      <x:c r="B9" s="4">
        <x:v>37029</x:v>
      </x:c>
      <x:c r="C9" s="2"/>
      <x:c r="D9" s="2" t="s">
        <x:v>15</x:v>
      </x:c>
      <x:c r="E9" s="2" t="s">
        <x:v>16</x:v>
      </x:c>
      <x:c r="F9" s="6"/>
      <x:c r="G9" s="8"/>
      <x:c r="H9" s="6"/>
      <x:c r="I9" s="2" t="s">
        <x:v>17</x:v>
      </x:c>
      <x:c r="J9" s="2" t="s">
        <x:v>17</x:v>
      </x:c>
      <x:c r="K9" s="2"/>
      <x:c r="L9" s="10" t="s">
        <x:v>33</x:v>
      </x:c>
      <x:c r="M9" s="10"/>
      <x:c r="N9" s="10" t="s">
        <x:v>19</x:v>
      </x:c>
    </x:row>
    <x:row r="10" ht="41.400001525878906">
      <x:c r="A10" s="2" t="s">
        <x:v>34</x:v>
      </x:c>
      <x:c r="B10" s="4">
        <x:v>37103</x:v>
      </x:c>
      <x:c r="C10" s="2"/>
      <x:c r="D10" s="2" t="s">
        <x:v>15</x:v>
      </x:c>
      <x:c r="E10" s="2" t="s">
        <x:v>16</x:v>
      </x:c>
      <x:c r="F10" s="6"/>
      <x:c r="G10" s="8"/>
      <x:c r="H10" s="6"/>
      <x:c r="I10" s="2" t="s">
        <x:v>17</x:v>
      </x:c>
      <x:c r="J10" s="2" t="s">
        <x:v>17</x:v>
      </x:c>
      <x:c r="K10" s="2"/>
      <x:c r="L10" s="10" t="s">
        <x:v>35</x:v>
      </x:c>
      <x:c r="M10" s="10"/>
      <x:c r="N10" s="10" t="s">
        <x:v>19</x:v>
      </x:c>
    </x:row>
    <x:row r="11" ht="41.400001525878906">
      <x:c r="A11" s="2" t="s">
        <x:v>36</x:v>
      </x:c>
      <x:c r="B11" s="4">
        <x:v>37295</x:v>
      </x:c>
      <x:c r="C11" s="2"/>
      <x:c r="D11" s="2" t="s">
        <x:v>15</x:v>
      </x:c>
      <x:c r="E11" s="2" t="s">
        <x:v>16</x:v>
      </x:c>
      <x:c r="F11" s="6"/>
      <x:c r="G11" s="8"/>
      <x:c r="H11" s="6"/>
      <x:c r="I11" s="2" t="s">
        <x:v>17</x:v>
      </x:c>
      <x:c r="J11" s="2" t="s">
        <x:v>17</x:v>
      </x:c>
      <x:c r="K11" s="2"/>
      <x:c r="L11" s="10" t="s">
        <x:v>37</x:v>
      </x:c>
      <x:c r="M11" s="10"/>
      <x:c r="N11" s="10" t="s">
        <x:v>19</x:v>
      </x:c>
    </x:row>
    <x:row r="12" ht="41.400001525878906">
      <x:c r="A12" s="2" t="s">
        <x:v>38</x:v>
      </x:c>
      <x:c r="B12" s="4">
        <x:v>37358</x:v>
      </x:c>
      <x:c r="C12" s="2"/>
      <x:c r="D12" s="2" t="s">
        <x:v>15</x:v>
      </x:c>
      <x:c r="E12" s="2" t="s">
        <x:v>16</x:v>
      </x:c>
      <x:c r="F12" s="6"/>
      <x:c r="G12" s="8"/>
      <x:c r="H12" s="6"/>
      <x:c r="I12" s="2" t="s">
        <x:v>17</x:v>
      </x:c>
      <x:c r="J12" s="2" t="s">
        <x:v>17</x:v>
      </x:c>
      <x:c r="K12" s="2"/>
      <x:c r="L12" s="10" t="s">
        <x:v>39</x:v>
      </x:c>
      <x:c r="M12" s="10"/>
      <x:c r="N12" s="10" t="s">
        <x:v>19</x:v>
      </x:c>
    </x:row>
    <x:row r="13" ht="41.400001525878906">
      <x:c r="A13" s="2" t="s">
        <x:v>40</x:v>
      </x:c>
      <x:c r="B13" s="4">
        <x:v>37522</x:v>
      </x:c>
      <x:c r="C13" s="2"/>
      <x:c r="D13" s="2" t="s">
        <x:v>15</x:v>
      </x:c>
      <x:c r="E13" s="2" t="s">
        <x:v>16</x:v>
      </x:c>
      <x:c r="F13" s="6"/>
      <x:c r="G13" s="8"/>
      <x:c r="H13" s="6"/>
      <x:c r="I13" s="2" t="s">
        <x:v>17</x:v>
      </x:c>
      <x:c r="J13" s="2" t="s">
        <x:v>17</x:v>
      </x:c>
      <x:c r="K13" s="2"/>
      <x:c r="L13" s="10" t="s">
        <x:v>41</x:v>
      </x:c>
      <x:c r="M13" s="10"/>
      <x:c r="N13" s="10" t="s">
        <x:v>19</x:v>
      </x:c>
    </x:row>
    <x:row r="14" ht="41.400001525878906">
      <x:c r="A14" s="2" t="s">
        <x:v>42</x:v>
      </x:c>
      <x:c r="B14" s="4">
        <x:v>37596</x:v>
      </x:c>
      <x:c r="C14" s="2"/>
      <x:c r="D14" s="2" t="s">
        <x:v>15</x:v>
      </x:c>
      <x:c r="E14" s="2" t="s">
        <x:v>16</x:v>
      </x:c>
      <x:c r="F14" s="6"/>
      <x:c r="G14" s="8"/>
      <x:c r="H14" s="6"/>
      <x:c r="I14" s="2" t="s">
        <x:v>17</x:v>
      </x:c>
      <x:c r="J14" s="2" t="s">
        <x:v>17</x:v>
      </x:c>
      <x:c r="K14" s="2"/>
      <x:c r="L14" s="10" t="s">
        <x:v>43</x:v>
      </x:c>
      <x:c r="M14" s="10"/>
      <x:c r="N14" s="10" t="s">
        <x:v>19</x:v>
      </x:c>
    </x:row>
    <x:row r="15" ht="41.400001525878906">
      <x:c r="A15" s="2" t="s">
        <x:v>44</x:v>
      </x:c>
      <x:c r="B15" s="4">
        <x:v>37631</x:v>
      </x:c>
      <x:c r="C15" s="2"/>
      <x:c r="D15" s="2" t="s">
        <x:v>15</x:v>
      </x:c>
      <x:c r="E15" s="2" t="s">
        <x:v>16</x:v>
      </x:c>
      <x:c r="F15" s="6"/>
      <x:c r="G15" s="8"/>
      <x:c r="H15" s="6"/>
      <x:c r="I15" s="2" t="s">
        <x:v>17</x:v>
      </x:c>
      <x:c r="J15" s="2" t="s">
        <x:v>17</x:v>
      </x:c>
      <x:c r="K15" s="2"/>
      <x:c r="L15" s="10" t="s">
        <x:v>45</x:v>
      </x:c>
      <x:c r="M15" s="10"/>
      <x:c r="N15" s="10" t="s">
        <x:v>19</x:v>
      </x:c>
    </x:row>
    <x:row r="16" ht="41.400001525878906">
      <x:c r="A16" s="2" t="s">
        <x:v>46</x:v>
      </x:c>
      <x:c r="B16" s="4">
        <x:v>37645</x:v>
      </x:c>
      <x:c r="C16" s="2"/>
      <x:c r="D16" s="2" t="s">
        <x:v>15</x:v>
      </x:c>
      <x:c r="E16" s="2" t="s">
        <x:v>16</x:v>
      </x:c>
      <x:c r="F16" s="6"/>
      <x:c r="G16" s="8">
        <x:v>0</x:v>
      </x:c>
      <x:c r="H16" s="6"/>
      <x:c r="I16" s="2" t="s">
        <x:v>47</x:v>
      </x:c>
      <x:c r="J16" s="2" t="s">
        <x:v>17</x:v>
      </x:c>
      <x:c r="K16" s="2"/>
      <x:c r="L16" s="10" t="s">
        <x:v>48</x:v>
      </x:c>
      <x:c r="M16" s="10"/>
      <x:c r="N16" s="10" t="s">
        <x:v>19</x:v>
      </x:c>
    </x:row>
    <x:row r="17" ht="55.20000076293945">
      <x:c r="A17" s="2" t="s">
        <x:v>49</x:v>
      </x:c>
      <x:c r="B17" s="4">
        <x:v>37659</x:v>
      </x:c>
      <x:c r="C17" s="2"/>
      <x:c r="D17" s="2" t="s">
        <x:v>15</x:v>
      </x:c>
      <x:c r="E17" s="2" t="s">
        <x:v>16</x:v>
      </x:c>
      <x:c r="F17" s="6"/>
      <x:c r="G17" s="8"/>
      <x:c r="H17" s="6"/>
      <x:c r="I17" s="2" t="s">
        <x:v>17</x:v>
      </x:c>
      <x:c r="J17" s="2" t="s">
        <x:v>17</x:v>
      </x:c>
      <x:c r="K17" s="2"/>
      <x:c r="L17" s="10" t="s">
        <x:v>50</x:v>
      </x:c>
      <x:c r="M17" s="10"/>
      <x:c r="N17" s="10" t="s">
        <x:v>19</x:v>
      </x:c>
    </x:row>
    <x:row r="18" ht="41.400001525878906">
      <x:c r="A18" s="2" t="s">
        <x:v>51</x:v>
      </x:c>
      <x:c r="B18" s="4">
        <x:v>37673</x:v>
      </x:c>
      <x:c r="C18" s="2"/>
      <x:c r="D18" s="2" t="s">
        <x:v>15</x:v>
      </x:c>
      <x:c r="E18" s="2" t="s">
        <x:v>16</x:v>
      </x:c>
      <x:c r="F18" s="6"/>
      <x:c r="G18" s="8">
        <x:v>0</x:v>
      </x:c>
      <x:c r="H18" s="6"/>
      <x:c r="I18" s="2" t="s">
        <x:v>47</x:v>
      </x:c>
      <x:c r="J18" s="2" t="s">
        <x:v>17</x:v>
      </x:c>
      <x:c r="K18" s="2"/>
      <x:c r="L18" s="10" t="s">
        <x:v>52</x:v>
      </x:c>
      <x:c r="M18" s="10"/>
      <x:c r="N18" s="10" t="s">
        <x:v>19</x:v>
      </x:c>
    </x:row>
    <x:row r="19" ht="41.400001525878906">
      <x:c r="A19" s="2" t="s">
        <x:v>53</x:v>
      </x:c>
      <x:c r="B19" s="4">
        <x:v>37708</x:v>
      </x:c>
      <x:c r="C19" s="2"/>
      <x:c r="D19" s="2" t="s">
        <x:v>15</x:v>
      </x:c>
      <x:c r="E19" s="2" t="s">
        <x:v>16</x:v>
      </x:c>
      <x:c r="F19" s="6"/>
      <x:c r="G19" s="8"/>
      <x:c r="H19" s="6"/>
      <x:c r="I19" s="2" t="s">
        <x:v>17</x:v>
      </x:c>
      <x:c r="J19" s="2" t="s">
        <x:v>17</x:v>
      </x:c>
      <x:c r="K19" s="2"/>
      <x:c r="L19" s="10" t="s">
        <x:v>54</x:v>
      </x:c>
      <x:c r="M19" s="10"/>
      <x:c r="N19" s="10" t="s">
        <x:v>19</x:v>
      </x:c>
    </x:row>
    <x:row r="20" ht="41.400001525878906">
      <x:c r="A20" s="2" t="s">
        <x:v>55</x:v>
      </x:c>
      <x:c r="B20" s="4">
        <x:v>37736</x:v>
      </x:c>
      <x:c r="C20" s="2"/>
      <x:c r="D20" s="2" t="s">
        <x:v>15</x:v>
      </x:c>
      <x:c r="E20" s="2" t="s">
        <x:v>16</x:v>
      </x:c>
      <x:c r="F20" s="6"/>
      <x:c r="G20" s="8">
        <x:v>0</x:v>
      </x:c>
      <x:c r="H20" s="6"/>
      <x:c r="I20" s="2" t="s">
        <x:v>47</x:v>
      </x:c>
      <x:c r="J20" s="2" t="s">
        <x:v>17</x:v>
      </x:c>
      <x:c r="K20" s="2"/>
      <x:c r="L20" s="10" t="s">
        <x:v>56</x:v>
      </x:c>
      <x:c r="M20" s="10"/>
      <x:c r="N20" s="10" t="s">
        <x:v>19</x:v>
      </x:c>
    </x:row>
    <x:row r="21" ht="55.20000076293945">
      <x:c r="A21" s="2" t="s">
        <x:v>57</x:v>
      </x:c>
      <x:c r="B21" s="4">
        <x:v>37764</x:v>
      </x:c>
      <x:c r="C21" s="2"/>
      <x:c r="D21" s="2" t="s">
        <x:v>15</x:v>
      </x:c>
      <x:c r="E21" s="2" t="s">
        <x:v>16</x:v>
      </x:c>
      <x:c r="F21" s="6"/>
      <x:c r="G21" s="8">
        <x:v>0</x:v>
      </x:c>
      <x:c r="H21" s="6"/>
      <x:c r="I21" s="2" t="s">
        <x:v>47</x:v>
      </x:c>
      <x:c r="J21" s="2" t="s">
        <x:v>17</x:v>
      </x:c>
      <x:c r="K21" s="2"/>
      <x:c r="L21" s="10" t="s">
        <x:v>58</x:v>
      </x:c>
      <x:c r="M21" s="10"/>
      <x:c r="N21" s="10" t="s">
        <x:v>19</x:v>
      </x:c>
    </x:row>
    <x:row r="22" ht="55.20000076293945">
      <x:c r="A22" s="2" t="s">
        <x:v>59</x:v>
      </x:c>
      <x:c r="B22" s="4">
        <x:v>37799</x:v>
      </x:c>
      <x:c r="C22" s="2"/>
      <x:c r="D22" s="2" t="s">
        <x:v>15</x:v>
      </x:c>
      <x:c r="E22" s="2" t="s">
        <x:v>16</x:v>
      </x:c>
      <x:c r="F22" s="6"/>
      <x:c r="G22" s="8">
        <x:v>0</x:v>
      </x:c>
      <x:c r="H22" s="6"/>
      <x:c r="I22" s="2" t="s">
        <x:v>47</x:v>
      </x:c>
      <x:c r="J22" s="2" t="s">
        <x:v>17</x:v>
      </x:c>
      <x:c r="K22" s="2"/>
      <x:c r="L22" s="10" t="s">
        <x:v>60</x:v>
      </x:c>
      <x:c r="M22" s="10"/>
      <x:c r="N22" s="10" t="s">
        <x:v>19</x:v>
      </x:c>
    </x:row>
    <x:row r="23" ht="55.20000076293945">
      <x:c r="A23" s="2" t="s">
        <x:v>61</x:v>
      </x:c>
      <x:c r="B23" s="4">
        <x:v>37827</x:v>
      </x:c>
      <x:c r="C23" s="2"/>
      <x:c r="D23" s="2" t="s">
        <x:v>15</x:v>
      </x:c>
      <x:c r="E23" s="2" t="s">
        <x:v>16</x:v>
      </x:c>
      <x:c r="F23" s="6"/>
      <x:c r="G23" s="8">
        <x:v>0</x:v>
      </x:c>
      <x:c r="H23" s="6"/>
      <x:c r="I23" s="2" t="s">
        <x:v>47</x:v>
      </x:c>
      <x:c r="J23" s="2" t="s">
        <x:v>17</x:v>
      </x:c>
      <x:c r="K23" s="2"/>
      <x:c r="L23" s="10" t="s">
        <x:v>62</x:v>
      </x:c>
      <x:c r="M23" s="10"/>
      <x:c r="N23" s="10" t="s">
        <x:v>19</x:v>
      </x:c>
    </x:row>
    <x:row r="24" ht="41.400001525878906">
      <x:c r="A24" s="2" t="s">
        <x:v>63</x:v>
      </x:c>
      <x:c r="B24" s="4">
        <x:v>37855</x:v>
      </x:c>
      <x:c r="C24" s="2"/>
      <x:c r="D24" s="2" t="s">
        <x:v>15</x:v>
      </x:c>
      <x:c r="E24" s="2" t="s">
        <x:v>16</x:v>
      </x:c>
      <x:c r="F24" s="6"/>
      <x:c r="G24" s="8">
        <x:v>0</x:v>
      </x:c>
      <x:c r="H24" s="6"/>
      <x:c r="I24" s="2" t="s">
        <x:v>47</x:v>
      </x:c>
      <x:c r="J24" s="2" t="s">
        <x:v>17</x:v>
      </x:c>
      <x:c r="K24" s="2"/>
      <x:c r="L24" s="10" t="s">
        <x:v>64</x:v>
      </x:c>
      <x:c r="M24" s="10"/>
      <x:c r="N24" s="10" t="s">
        <x:v>19</x:v>
      </x:c>
    </x:row>
    <x:row r="25" ht="41.400001525878906">
      <x:c r="A25" s="2" t="s">
        <x:v>65</x:v>
      </x:c>
      <x:c r="B25" s="4">
        <x:v>37890</x:v>
      </x:c>
      <x:c r="C25" s="2"/>
      <x:c r="D25" s="2" t="s">
        <x:v>15</x:v>
      </x:c>
      <x:c r="E25" s="2" t="s">
        <x:v>16</x:v>
      </x:c>
      <x:c r="F25" s="6"/>
      <x:c r="G25" s="8">
        <x:v>0</x:v>
      </x:c>
      <x:c r="H25" s="6"/>
      <x:c r="I25" s="2" t="s">
        <x:v>47</x:v>
      </x:c>
      <x:c r="J25" s="2" t="s">
        <x:v>17</x:v>
      </x:c>
      <x:c r="K25" s="2"/>
      <x:c r="L25" s="10" t="s">
        <x:v>66</x:v>
      </x:c>
      <x:c r="M25" s="10"/>
      <x:c r="N25" s="10" t="s">
        <x:v>19</x:v>
      </x:c>
    </x:row>
    <x:row r="26" ht="41.400001525878906">
      <x:c r="A26" s="2" t="s">
        <x:v>67</x:v>
      </x:c>
      <x:c r="B26" s="4">
        <x:v>37918</x:v>
      </x:c>
      <x:c r="C26" s="2"/>
      <x:c r="D26" s="2" t="s">
        <x:v>15</x:v>
      </x:c>
      <x:c r="E26" s="2" t="s">
        <x:v>16</x:v>
      </x:c>
      <x:c r="F26" s="6"/>
      <x:c r="G26" s="8">
        <x:v>0</x:v>
      </x:c>
      <x:c r="H26" s="6"/>
      <x:c r="I26" s="2" t="s">
        <x:v>47</x:v>
      </x:c>
      <x:c r="J26" s="2" t="s">
        <x:v>17</x:v>
      </x:c>
      <x:c r="K26" s="2"/>
      <x:c r="L26" s="10" t="s">
        <x:v>68</x:v>
      </x:c>
      <x:c r="M26" s="10"/>
      <x:c r="N26" s="10" t="s">
        <x:v>19</x:v>
      </x:c>
    </x:row>
    <x:row r="27" ht="41.400001525878906">
      <x:c r="A27" s="2" t="s">
        <x:v>69</x:v>
      </x:c>
      <x:c r="B27" s="4">
        <x:v>37946</x:v>
      </x:c>
      <x:c r="C27" s="2"/>
      <x:c r="D27" s="2" t="s">
        <x:v>15</x:v>
      </x:c>
      <x:c r="E27" s="2" t="s">
        <x:v>16</x:v>
      </x:c>
      <x:c r="F27" s="6"/>
      <x:c r="G27" s="8">
        <x:v>0</x:v>
      </x:c>
      <x:c r="H27" s="6"/>
      <x:c r="I27" s="2" t="s">
        <x:v>47</x:v>
      </x:c>
      <x:c r="J27" s="2" t="s">
        <x:v>17</x:v>
      </x:c>
      <x:c r="K27" s="2"/>
      <x:c r="L27" s="10" t="s">
        <x:v>70</x:v>
      </x:c>
      <x:c r="M27" s="10"/>
      <x:c r="N27" s="10" t="s">
        <x:v>19</x:v>
      </x:c>
    </x:row>
    <x:row r="28" ht="41.400001525878906">
      <x:c r="A28" s="2" t="s">
        <x:v>71</x:v>
      </x:c>
      <x:c r="B28" s="4">
        <x:v>37966</x:v>
      </x:c>
      <x:c r="C28" s="2"/>
      <x:c r="D28" s="2" t="s">
        <x:v>15</x:v>
      </x:c>
      <x:c r="E28" s="2" t="s">
        <x:v>16</x:v>
      </x:c>
      <x:c r="F28" s="6"/>
      <x:c r="G28" s="8">
        <x:v>0</x:v>
      </x:c>
      <x:c r="H28" s="6"/>
      <x:c r="I28" s="2" t="s">
        <x:v>47</x:v>
      </x:c>
      <x:c r="J28" s="2" t="s">
        <x:v>17</x:v>
      </x:c>
      <x:c r="K28" s="2"/>
      <x:c r="L28" s="10" t="s">
        <x:v>72</x:v>
      </x:c>
      <x:c r="M28" s="10"/>
      <x:c r="N28" s="10" t="s">
        <x:v>19</x:v>
      </x:c>
    </x:row>
    <x:row r="29" ht="41.400001525878906">
      <x:c r="A29" s="2" t="s">
        <x:v>73</x:v>
      </x:c>
      <x:c r="B29" s="4">
        <x:v>38009</x:v>
      </x:c>
      <x:c r="C29" s="2"/>
      <x:c r="D29" s="2" t="s">
        <x:v>15</x:v>
      </x:c>
      <x:c r="E29" s="2" t="s">
        <x:v>16</x:v>
      </x:c>
      <x:c r="F29" s="6"/>
      <x:c r="G29" s="8">
        <x:v>0</x:v>
      </x:c>
      <x:c r="H29" s="6"/>
      <x:c r="I29" s="2" t="s">
        <x:v>47</x:v>
      </x:c>
      <x:c r="J29" s="2" t="s">
        <x:v>17</x:v>
      </x:c>
      <x:c r="K29" s="2"/>
      <x:c r="L29" s="10" t="s">
        <x:v>74</x:v>
      </x:c>
      <x:c r="M29" s="10"/>
      <x:c r="N29" s="10" t="s">
        <x:v>19</x:v>
      </x:c>
    </x:row>
    <x:row r="30" ht="41.400001525878906">
      <x:c r="A30" s="2" t="s">
        <x:v>75</x:v>
      </x:c>
      <x:c r="B30" s="4">
        <x:v>38037</x:v>
      </x:c>
      <x:c r="C30" s="2"/>
      <x:c r="D30" s="2" t="s">
        <x:v>15</x:v>
      </x:c>
      <x:c r="E30" s="2" t="s">
        <x:v>16</x:v>
      </x:c>
      <x:c r="F30" s="6"/>
      <x:c r="G30" s="8"/>
      <x:c r="H30" s="6"/>
      <x:c r="I30" s="2" t="s">
        <x:v>17</x:v>
      </x:c>
      <x:c r="J30" s="2" t="s">
        <x:v>17</x:v>
      </x:c>
      <x:c r="K30" s="2"/>
      <x:c r="L30" s="10" t="s">
        <x:v>76</x:v>
      </x:c>
      <x:c r="M30" s="10"/>
      <x:c r="N30" s="10" t="s">
        <x:v>19</x:v>
      </x:c>
    </x:row>
    <x:row r="31" ht="41.400001525878906">
      <x:c r="A31" s="2" t="s">
        <x:v>77</x:v>
      </x:c>
      <x:c r="B31" s="4">
        <x:v>38058</x:v>
      </x:c>
      <x:c r="C31" s="2"/>
      <x:c r="D31" s="2" t="s">
        <x:v>15</x:v>
      </x:c>
      <x:c r="E31" s="2" t="s">
        <x:v>16</x:v>
      </x:c>
      <x:c r="F31" s="6"/>
      <x:c r="G31" s="8"/>
      <x:c r="H31" s="6"/>
      <x:c r="I31" s="2" t="s">
        <x:v>17</x:v>
      </x:c>
      <x:c r="J31" s="2" t="s">
        <x:v>17</x:v>
      </x:c>
      <x:c r="K31" s="2"/>
      <x:c r="L31" s="10" t="s">
        <x:v>78</x:v>
      </x:c>
      <x:c r="M31" s="10"/>
      <x:c r="N31" s="10" t="s">
        <x:v>19</x:v>
      </x:c>
    </x:row>
    <x:row r="32" ht="41.400001525878906">
      <x:c r="A32" s="2" t="s">
        <x:v>79</x:v>
      </x:c>
      <x:c r="B32" s="4">
        <x:v>38072</x:v>
      </x:c>
      <x:c r="C32" s="2"/>
      <x:c r="D32" s="2" t="s">
        <x:v>15</x:v>
      </x:c>
      <x:c r="E32" s="2" t="s">
        <x:v>16</x:v>
      </x:c>
      <x:c r="F32" s="6"/>
      <x:c r="G32" s="8">
        <x:v>0</x:v>
      </x:c>
      <x:c r="H32" s="6"/>
      <x:c r="I32" s="2" t="s">
        <x:v>47</x:v>
      </x:c>
      <x:c r="J32" s="2" t="s">
        <x:v>17</x:v>
      </x:c>
      <x:c r="K32" s="2"/>
      <x:c r="L32" s="10" t="s">
        <x:v>80</x:v>
      </x:c>
      <x:c r="M32" s="10"/>
      <x:c r="N32" s="10" t="s">
        <x:v>19</x:v>
      </x:c>
    </x:row>
    <x:row r="33" ht="41.400001525878906">
      <x:c r="A33" s="2" t="s">
        <x:v>81</x:v>
      </x:c>
      <x:c r="B33" s="4">
        <x:v>38100</x:v>
      </x:c>
      <x:c r="C33" s="2"/>
      <x:c r="D33" s="2" t="s">
        <x:v>15</x:v>
      </x:c>
      <x:c r="E33" s="2" t="s">
        <x:v>16</x:v>
      </x:c>
      <x:c r="F33" s="6"/>
      <x:c r="G33" s="8">
        <x:v>0</x:v>
      </x:c>
      <x:c r="H33" s="6"/>
      <x:c r="I33" s="2" t="s">
        <x:v>47</x:v>
      </x:c>
      <x:c r="J33" s="2" t="s">
        <x:v>17</x:v>
      </x:c>
      <x:c r="K33" s="2"/>
      <x:c r="L33" s="10" t="s">
        <x:v>82</x:v>
      </x:c>
      <x:c r="M33" s="10"/>
      <x:c r="N33" s="10" t="s">
        <x:v>19</x:v>
      </x:c>
    </x:row>
    <x:row r="34" ht="41.400001525878906">
      <x:c r="A34" s="2" t="s">
        <x:v>83</x:v>
      </x:c>
      <x:c r="B34" s="4">
        <x:v>38104</x:v>
      </x:c>
      <x:c r="C34" s="2"/>
      <x:c r="D34" s="2" t="s">
        <x:v>15</x:v>
      </x:c>
      <x:c r="E34" s="2" t="s">
        <x:v>16</x:v>
      </x:c>
      <x:c r="F34" s="6"/>
      <x:c r="G34" s="8"/>
      <x:c r="H34" s="6"/>
      <x:c r="I34" s="2" t="s">
        <x:v>17</x:v>
      </x:c>
      <x:c r="J34" s="2" t="s">
        <x:v>17</x:v>
      </x:c>
      <x:c r="K34" s="2"/>
      <x:c r="L34" s="10" t="s">
        <x:v>84</x:v>
      </x:c>
      <x:c r="M34" s="10"/>
      <x:c r="N34" s="10" t="s">
        <x:v>19</x:v>
      </x:c>
    </x:row>
    <x:row r="35" ht="41.400001525878906">
      <x:c r="A35" s="2" t="s">
        <x:v>85</x:v>
      </x:c>
      <x:c r="B35" s="4">
        <x:v>38135</x:v>
      </x:c>
      <x:c r="C35" s="2"/>
      <x:c r="D35" s="2" t="s">
        <x:v>15</x:v>
      </x:c>
      <x:c r="E35" s="2" t="s">
        <x:v>16</x:v>
      </x:c>
      <x:c r="F35" s="6"/>
      <x:c r="G35" s="8">
        <x:v>0</x:v>
      </x:c>
      <x:c r="H35" s="6"/>
      <x:c r="I35" s="2" t="s">
        <x:v>47</x:v>
      </x:c>
      <x:c r="J35" s="2" t="s">
        <x:v>17</x:v>
      </x:c>
      <x:c r="K35" s="2"/>
      <x:c r="L35" s="10" t="s">
        <x:v>86</x:v>
      </x:c>
      <x:c r="M35" s="10"/>
      <x:c r="N35" s="10" t="s">
        <x:v>19</x:v>
      </x:c>
    </x:row>
    <x:row r="36" ht="41.400001525878906">
      <x:c r="A36" s="2" t="s">
        <x:v>87</x:v>
      </x:c>
      <x:c r="B36" s="4">
        <x:v>38163</x:v>
      </x:c>
      <x:c r="C36" s="2"/>
      <x:c r="D36" s="2" t="s">
        <x:v>15</x:v>
      </x:c>
      <x:c r="E36" s="2" t="s">
        <x:v>16</x:v>
      </x:c>
      <x:c r="F36" s="6"/>
      <x:c r="G36" s="8">
        <x:v>0</x:v>
      </x:c>
      <x:c r="H36" s="6"/>
      <x:c r="I36" s="2" t="s">
        <x:v>47</x:v>
      </x:c>
      <x:c r="J36" s="2" t="s">
        <x:v>17</x:v>
      </x:c>
      <x:c r="K36" s="2"/>
      <x:c r="L36" s="10" t="s">
        <x:v>88</x:v>
      </x:c>
      <x:c r="M36" s="10"/>
      <x:c r="N36" s="10" t="s">
        <x:v>19</x:v>
      </x:c>
    </x:row>
    <x:row r="37" ht="41.400001525878906">
      <x:c r="A37" s="2" t="s">
        <x:v>89</x:v>
      </x:c>
      <x:c r="B37" s="4">
        <x:v>38191</x:v>
      </x:c>
      <x:c r="C37" s="2"/>
      <x:c r="D37" s="2" t="s">
        <x:v>15</x:v>
      </x:c>
      <x:c r="E37" s="2" t="s">
        <x:v>16</x:v>
      </x:c>
      <x:c r="F37" s="6"/>
      <x:c r="G37" s="8"/>
      <x:c r="H37" s="6"/>
      <x:c r="I37" s="2" t="s">
        <x:v>17</x:v>
      </x:c>
      <x:c r="J37" s="2" t="s">
        <x:v>17</x:v>
      </x:c>
      <x:c r="K37" s="2"/>
      <x:c r="L37" s="10" t="s">
        <x:v>90</x:v>
      </x:c>
      <x:c r="M37" s="10"/>
      <x:c r="N37" s="10" t="s">
        <x:v>19</x:v>
      </x:c>
    </x:row>
    <x:row r="38" ht="41.400001525878906">
      <x:c r="A38" s="2" t="s">
        <x:v>91</x:v>
      </x:c>
      <x:c r="B38" s="4">
        <x:v>38226</x:v>
      </x:c>
      <x:c r="C38" s="2"/>
      <x:c r="D38" s="2" t="s">
        <x:v>15</x:v>
      </x:c>
      <x:c r="E38" s="2" t="s">
        <x:v>16</x:v>
      </x:c>
      <x:c r="F38" s="6"/>
      <x:c r="G38" s="8"/>
      <x:c r="H38" s="6"/>
      <x:c r="I38" s="2" t="s">
        <x:v>17</x:v>
      </x:c>
      <x:c r="J38" s="2" t="s">
        <x:v>17</x:v>
      </x:c>
      <x:c r="K38" s="2"/>
      <x:c r="L38" s="10" t="s">
        <x:v>92</x:v>
      </x:c>
      <x:c r="M38" s="10"/>
      <x:c r="N38" s="10" t="s">
        <x:v>19</x:v>
      </x:c>
    </x:row>
    <x:row r="39" ht="41.400001525878906">
      <x:c r="A39" s="2" t="s">
        <x:v>93</x:v>
      </x:c>
      <x:c r="B39" s="4">
        <x:v>38254</x:v>
      </x:c>
      <x:c r="C39" s="2"/>
      <x:c r="D39" s="2" t="s">
        <x:v>15</x:v>
      </x:c>
      <x:c r="E39" s="2" t="s">
        <x:v>16</x:v>
      </x:c>
      <x:c r="F39" s="6"/>
      <x:c r="G39" s="8"/>
      <x:c r="H39" s="6"/>
      <x:c r="I39" s="2" t="s">
        <x:v>17</x:v>
      </x:c>
      <x:c r="J39" s="2" t="s">
        <x:v>17</x:v>
      </x:c>
      <x:c r="K39" s="2"/>
      <x:c r="L39" s="10" t="s">
        <x:v>94</x:v>
      </x:c>
      <x:c r="M39" s="10"/>
      <x:c r="N39" s="10" t="s">
        <x:v>19</x:v>
      </x:c>
    </x:row>
    <x:row r="40" ht="41.400001525878906">
      <x:c r="A40" s="2" t="s">
        <x:v>95</x:v>
      </x:c>
      <x:c r="B40" s="4">
        <x:v>38282</x:v>
      </x:c>
      <x:c r="C40" s="2"/>
      <x:c r="D40" s="2" t="s">
        <x:v>15</x:v>
      </x:c>
      <x:c r="E40" s="2" t="s">
        <x:v>16</x:v>
      </x:c>
      <x:c r="F40" s="6"/>
      <x:c r="G40" s="8"/>
      <x:c r="H40" s="6"/>
      <x:c r="I40" s="2" t="s">
        <x:v>17</x:v>
      </x:c>
      <x:c r="J40" s="2" t="s">
        <x:v>17</x:v>
      </x:c>
      <x:c r="K40" s="2"/>
      <x:c r="L40" s="10" t="s">
        <x:v>96</x:v>
      </x:c>
      <x:c r="M40" s="10"/>
      <x:c r="N40" s="10" t="s">
        <x:v>19</x:v>
      </x:c>
    </x:row>
    <x:row r="41" ht="41.400001525878906">
      <x:c r="A41" s="2" t="s">
        <x:v>97</x:v>
      </x:c>
      <x:c r="B41" s="4">
        <x:v>38317</x:v>
      </x:c>
      <x:c r="C41" s="2"/>
      <x:c r="D41" s="2" t="s">
        <x:v>15</x:v>
      </x:c>
      <x:c r="E41" s="2" t="s">
        <x:v>16</x:v>
      </x:c>
      <x:c r="F41" s="6"/>
      <x:c r="G41" s="8"/>
      <x:c r="H41" s="6"/>
      <x:c r="I41" s="2" t="s">
        <x:v>17</x:v>
      </x:c>
      <x:c r="J41" s="2" t="s">
        <x:v>17</x:v>
      </x:c>
      <x:c r="K41" s="2"/>
      <x:c r="L41" s="10" t="s">
        <x:v>98</x:v>
      </x:c>
      <x:c r="M41" s="10"/>
      <x:c r="N41" s="10" t="s">
        <x:v>19</x:v>
      </x:c>
    </x:row>
    <x:row r="42" ht="41.400001525878906">
      <x:c r="A42" s="2" t="s">
        <x:v>99</x:v>
      </x:c>
      <x:c r="B42" s="4">
        <x:v>38331</x:v>
      </x:c>
      <x:c r="C42" s="2"/>
      <x:c r="D42" s="2" t="s">
        <x:v>15</x:v>
      </x:c>
      <x:c r="E42" s="2" t="s">
        <x:v>16</x:v>
      </x:c>
      <x:c r="F42" s="6"/>
      <x:c r="G42" s="8"/>
      <x:c r="H42" s="6"/>
      <x:c r="I42" s="2" t="s">
        <x:v>17</x:v>
      </x:c>
      <x:c r="J42" s="2" t="s">
        <x:v>17</x:v>
      </x:c>
      <x:c r="K42" s="2"/>
      <x:c r="L42" s="10" t="s">
        <x:v>100</x:v>
      </x:c>
      <x:c r="M42" s="10"/>
      <x:c r="N42" s="10" t="s">
        <x:v>19</x:v>
      </x:c>
    </x:row>
    <x:row r="43" ht="41.400001525878906">
      <x:c r="A43" s="2" t="s">
        <x:v>101</x:v>
      </x:c>
      <x:c r="B43" s="4">
        <x:v>38380</x:v>
      </x:c>
      <x:c r="C43" s="2"/>
      <x:c r="D43" s="2" t="s">
        <x:v>15</x:v>
      </x:c>
      <x:c r="E43" s="2" t="s">
        <x:v>16</x:v>
      </x:c>
      <x:c r="F43" s="6"/>
      <x:c r="G43" s="8"/>
      <x:c r="H43" s="6"/>
      <x:c r="I43" s="2" t="s">
        <x:v>17</x:v>
      </x:c>
      <x:c r="J43" s="2" t="s">
        <x:v>17</x:v>
      </x:c>
      <x:c r="K43" s="2"/>
      <x:c r="L43" s="10" t="s">
        <x:v>102</x:v>
      </x:c>
      <x:c r="M43" s="10"/>
      <x:c r="N43" s="10" t="s">
        <x:v>19</x:v>
      </x:c>
    </x:row>
    <x:row r="44" ht="41.400001525878906">
      <x:c r="A44" s="2" t="s">
        <x:v>103</x:v>
      </x:c>
      <x:c r="B44" s="4">
        <x:v>38408</x:v>
      </x:c>
      <x:c r="C44" s="2"/>
      <x:c r="D44" s="2" t="s">
        <x:v>15</x:v>
      </x:c>
      <x:c r="E44" s="2" t="s">
        <x:v>16</x:v>
      </x:c>
      <x:c r="F44" s="6"/>
      <x:c r="G44" s="8"/>
      <x:c r="H44" s="6"/>
      <x:c r="I44" s="2" t="s">
        <x:v>17</x:v>
      </x:c>
      <x:c r="J44" s="2" t="s">
        <x:v>17</x:v>
      </x:c>
      <x:c r="K44" s="2"/>
      <x:c r="L44" s="10" t="s">
        <x:v>104</x:v>
      </x:c>
      <x:c r="M44" s="10"/>
      <x:c r="N44" s="10" t="s">
        <x:v>19</x:v>
      </x:c>
    </x:row>
    <x:row r="45" ht="41.400001525878906">
      <x:c r="A45" s="2" t="s">
        <x:v>105</x:v>
      </x:c>
      <x:c r="B45" s="4">
        <x:v>38434</x:v>
      </x:c>
      <x:c r="C45" s="2"/>
      <x:c r="D45" s="2" t="s">
        <x:v>15</x:v>
      </x:c>
      <x:c r="E45" s="2" t="s">
        <x:v>16</x:v>
      </x:c>
      <x:c r="F45" s="6"/>
      <x:c r="G45" s="8"/>
      <x:c r="H45" s="6"/>
      <x:c r="I45" s="2" t="s">
        <x:v>17</x:v>
      </x:c>
      <x:c r="J45" s="2" t="s">
        <x:v>17</x:v>
      </x:c>
      <x:c r="K45" s="2"/>
      <x:c r="L45" s="10" t="s">
        <x:v>106</x:v>
      </x:c>
      <x:c r="M45" s="10"/>
      <x:c r="N45" s="10" t="s">
        <x:v>19</x:v>
      </x:c>
    </x:row>
    <x:row r="46" ht="55.20000076293945">
      <x:c r="A46" s="2" t="s">
        <x:v>107</x:v>
      </x:c>
      <x:c r="B46" s="4">
        <x:v>38464</x:v>
      </x:c>
      <x:c r="C46" s="2"/>
      <x:c r="D46" s="2" t="s">
        <x:v>15</x:v>
      </x:c>
      <x:c r="E46" s="2" t="s">
        <x:v>16</x:v>
      </x:c>
      <x:c r="F46" s="6"/>
      <x:c r="G46" s="8">
        <x:v>0</x:v>
      </x:c>
      <x:c r="H46" s="6"/>
      <x:c r="I46" s="2" t="s">
        <x:v>47</x:v>
      </x:c>
      <x:c r="J46" s="2" t="s">
        <x:v>17</x:v>
      </x:c>
      <x:c r="K46" s="2"/>
      <x:c r="L46" s="10" t="s">
        <x:v>108</x:v>
      </x:c>
      <x:c r="M46" s="10"/>
      <x:c r="N46" s="10" t="s">
        <x:v>19</x:v>
      </x:c>
    </x:row>
    <x:row r="47" ht="41.400001525878906">
      <x:c r="A47" s="2" t="s">
        <x:v>109</x:v>
      </x:c>
      <x:c r="B47" s="4">
        <x:v>38499</x:v>
      </x:c>
      <x:c r="C47" s="2"/>
      <x:c r="D47" s="2" t="s">
        <x:v>15</x:v>
      </x:c>
      <x:c r="E47" s="2" t="s">
        <x:v>16</x:v>
      </x:c>
      <x:c r="F47" s="6"/>
      <x:c r="G47" s="8">
        <x:v>0</x:v>
      </x:c>
      <x:c r="H47" s="6"/>
      <x:c r="I47" s="2" t="s">
        <x:v>47</x:v>
      </x:c>
      <x:c r="J47" s="2" t="s">
        <x:v>17</x:v>
      </x:c>
      <x:c r="K47" s="2"/>
      <x:c r="L47" s="10" t="s">
        <x:v>110</x:v>
      </x:c>
      <x:c r="M47" s="10"/>
      <x:c r="N47" s="10" t="s">
        <x:v>19</x:v>
      </x:c>
    </x:row>
    <x:row r="48" ht="55.20000076293945">
      <x:c r="A48" s="2" t="s">
        <x:v>111</x:v>
      </x:c>
      <x:c r="B48" s="4">
        <x:v>38527</x:v>
      </x:c>
      <x:c r="C48" s="2"/>
      <x:c r="D48" s="2" t="s">
        <x:v>15</x:v>
      </x:c>
      <x:c r="E48" s="2" t="s">
        <x:v>16</x:v>
      </x:c>
      <x:c r="F48" s="6"/>
      <x:c r="G48" s="8">
        <x:v>0</x:v>
      </x:c>
      <x:c r="H48" s="6"/>
      <x:c r="I48" s="2" t="s">
        <x:v>47</x:v>
      </x:c>
      <x:c r="J48" s="2" t="s">
        <x:v>17</x:v>
      </x:c>
      <x:c r="K48" s="2"/>
      <x:c r="L48" s="10" t="s">
        <x:v>112</x:v>
      </x:c>
      <x:c r="M48" s="10"/>
      <x:c r="N48" s="10" t="s">
        <x:v>19</x:v>
      </x:c>
    </x:row>
    <x:row r="49" ht="41.400001525878906">
      <x:c r="A49" s="2" t="s">
        <x:v>113</x:v>
      </x:c>
      <x:c r="B49" s="4">
        <x:v>38555</x:v>
      </x:c>
      <x:c r="C49" s="2"/>
      <x:c r="D49" s="2" t="s">
        <x:v>15</x:v>
      </x:c>
      <x:c r="E49" s="2" t="s">
        <x:v>16</x:v>
      </x:c>
      <x:c r="F49" s="6"/>
      <x:c r="G49" s="8">
        <x:v>0</x:v>
      </x:c>
      <x:c r="H49" s="6"/>
      <x:c r="I49" s="2" t="s">
        <x:v>47</x:v>
      </x:c>
      <x:c r="J49" s="2" t="s">
        <x:v>17</x:v>
      </x:c>
      <x:c r="K49" s="2"/>
      <x:c r="L49" s="10" t="s">
        <x:v>114</x:v>
      </x:c>
      <x:c r="M49" s="10"/>
      <x:c r="N49" s="10" t="s">
        <x:v>19</x:v>
      </x:c>
    </x:row>
    <x:row r="50" ht="55.20000076293945">
      <x:c r="A50" s="2" t="s">
        <x:v>115</x:v>
      </x:c>
      <x:c r="B50" s="4">
        <x:v>38590</x:v>
      </x:c>
      <x:c r="C50" s="2"/>
      <x:c r="D50" s="2" t="s">
        <x:v>15</x:v>
      </x:c>
      <x:c r="E50" s="2" t="s">
        <x:v>16</x:v>
      </x:c>
      <x:c r="F50" s="6"/>
      <x:c r="G50" s="8">
        <x:v>0</x:v>
      </x:c>
      <x:c r="H50" s="6"/>
      <x:c r="I50" s="2" t="s">
        <x:v>47</x:v>
      </x:c>
      <x:c r="J50" s="2" t="s">
        <x:v>17</x:v>
      </x:c>
      <x:c r="K50" s="2"/>
      <x:c r="L50" s="10" t="s">
        <x:v>116</x:v>
      </x:c>
      <x:c r="M50" s="10"/>
      <x:c r="N50" s="10" t="s">
        <x:v>19</x:v>
      </x:c>
    </x:row>
    <x:row r="51" ht="41.400001525878906">
      <x:c r="A51" s="2" t="s">
        <x:v>117</x:v>
      </x:c>
      <x:c r="B51" s="4">
        <x:v>38618</x:v>
      </x:c>
      <x:c r="C51" s="2"/>
      <x:c r="D51" s="2" t="s">
        <x:v>15</x:v>
      </x:c>
      <x:c r="E51" s="2" t="s">
        <x:v>16</x:v>
      </x:c>
      <x:c r="F51" s="6"/>
      <x:c r="G51" s="8">
        <x:v>0</x:v>
      </x:c>
      <x:c r="H51" s="6"/>
      <x:c r="I51" s="2" t="s">
        <x:v>47</x:v>
      </x:c>
      <x:c r="J51" s="2" t="s">
        <x:v>17</x:v>
      </x:c>
      <x:c r="K51" s="2"/>
      <x:c r="L51" s="10" t="s">
        <x:v>118</x:v>
      </x:c>
      <x:c r="M51" s="10"/>
      <x:c r="N51" s="10" t="s">
        <x:v>19</x:v>
      </x:c>
    </x:row>
    <x:row r="52" ht="41.400001525878906">
      <x:c r="A52" s="2" t="s">
        <x:v>119</x:v>
      </x:c>
      <x:c r="B52" s="4">
        <x:v>38653</x:v>
      </x:c>
      <x:c r="C52" s="2"/>
      <x:c r="D52" s="2" t="s">
        <x:v>15</x:v>
      </x:c>
      <x:c r="E52" s="2" t="s">
        <x:v>16</x:v>
      </x:c>
      <x:c r="F52" s="6"/>
      <x:c r="G52" s="8">
        <x:v>0</x:v>
      </x:c>
      <x:c r="H52" s="6"/>
      <x:c r="I52" s="2" t="s">
        <x:v>47</x:v>
      </x:c>
      <x:c r="J52" s="2" t="s">
        <x:v>17</x:v>
      </x:c>
      <x:c r="K52" s="2"/>
      <x:c r="L52" s="10" t="s">
        <x:v>120</x:v>
      </x:c>
      <x:c r="M52" s="10"/>
      <x:c r="N52" s="10" t="s">
        <x:v>19</x:v>
      </x:c>
    </x:row>
    <x:row r="53" ht="55.20000076293945">
      <x:c r="A53" s="2" t="s">
        <x:v>121</x:v>
      </x:c>
      <x:c r="B53" s="4">
        <x:v>38681</x:v>
      </x:c>
      <x:c r="C53" s="2"/>
      <x:c r="D53" s="2" t="s">
        <x:v>15</x:v>
      </x:c>
      <x:c r="E53" s="2" t="s">
        <x:v>16</x:v>
      </x:c>
      <x:c r="F53" s="6"/>
      <x:c r="G53" s="8">
        <x:v>0</x:v>
      </x:c>
      <x:c r="H53" s="6"/>
      <x:c r="I53" s="2" t="s">
        <x:v>47</x:v>
      </x:c>
      <x:c r="J53" s="2" t="s">
        <x:v>17</x:v>
      </x:c>
      <x:c r="K53" s="2"/>
      <x:c r="L53" s="10" t="s">
        <x:v>122</x:v>
      </x:c>
      <x:c r="M53" s="10"/>
      <x:c r="N53" s="10" t="s">
        <x:v>19</x:v>
      </x:c>
    </x:row>
    <x:row r="54" ht="55.20000076293945">
      <x:c r="A54" s="2" t="s">
        <x:v>123</x:v>
      </x:c>
      <x:c r="B54" s="4">
        <x:v>38695</x:v>
      </x:c>
      <x:c r="C54" s="2"/>
      <x:c r="D54" s="2" t="s">
        <x:v>15</x:v>
      </x:c>
      <x:c r="E54" s="2" t="s">
        <x:v>16</x:v>
      </x:c>
      <x:c r="F54" s="6"/>
      <x:c r="G54" s="8">
        <x:v>0</x:v>
      </x:c>
      <x:c r="H54" s="6"/>
      <x:c r="I54" s="2" t="s">
        <x:v>47</x:v>
      </x:c>
      <x:c r="J54" s="2" t="s">
        <x:v>17</x:v>
      </x:c>
      <x:c r="K54" s="2"/>
      <x:c r="L54" s="10" t="s">
        <x:v>124</x:v>
      </x:c>
      <x:c r="M54" s="10"/>
      <x:c r="N54" s="10" t="s">
        <x:v>19</x:v>
      </x:c>
    </x:row>
    <x:row r="55" ht="41.400001525878906">
      <x:c r="A55" s="2" t="s">
        <x:v>125</x:v>
      </x:c>
      <x:c r="B55" s="4">
        <x:v>38744</x:v>
      </x:c>
      <x:c r="C55" s="2"/>
      <x:c r="D55" s="2" t="s">
        <x:v>15</x:v>
      </x:c>
      <x:c r="E55" s="2" t="s">
        <x:v>16</x:v>
      </x:c>
      <x:c r="F55" s="6"/>
      <x:c r="G55" s="8">
        <x:v>0</x:v>
      </x:c>
      <x:c r="H55" s="6"/>
      <x:c r="I55" s="2" t="s">
        <x:v>47</x:v>
      </x:c>
      <x:c r="J55" s="2" t="s">
        <x:v>17</x:v>
      </x:c>
      <x:c r="K55" s="2"/>
      <x:c r="L55" s="10" t="s">
        <x:v>126</x:v>
      </x:c>
      <x:c r="M55" s="10"/>
      <x:c r="N55" s="10" t="s">
        <x:v>19</x:v>
      </x:c>
    </x:row>
    <x:row r="56" ht="41.400001525878906">
      <x:c r="A56" s="2" t="s">
        <x:v>127</x:v>
      </x:c>
      <x:c r="B56" s="4">
        <x:v>38772</x:v>
      </x:c>
      <x:c r="C56" s="2"/>
      <x:c r="D56" s="2" t="s">
        <x:v>15</x:v>
      </x:c>
      <x:c r="E56" s="2" t="s">
        <x:v>16</x:v>
      </x:c>
      <x:c r="F56" s="6"/>
      <x:c r="G56" s="8">
        <x:v>0</x:v>
      </x:c>
      <x:c r="H56" s="6"/>
      <x:c r="I56" s="2" t="s">
        <x:v>47</x:v>
      </x:c>
      <x:c r="J56" s="2" t="s">
        <x:v>17</x:v>
      </x:c>
      <x:c r="K56" s="2"/>
      <x:c r="L56" s="10" t="s">
        <x:v>128</x:v>
      </x:c>
      <x:c r="M56" s="10"/>
      <x:c r="N56" s="10" t="s">
        <x:v>19</x:v>
      </x:c>
    </x:row>
    <x:row r="57" ht="41.400001525878906">
      <x:c r="A57" s="2" t="s">
        <x:v>129</x:v>
      </x:c>
      <x:c r="B57" s="4">
        <x:v>38800</x:v>
      </x:c>
      <x:c r="C57" s="2"/>
      <x:c r="D57" s="2" t="s">
        <x:v>15</x:v>
      </x:c>
      <x:c r="E57" s="2" t="s">
        <x:v>16</x:v>
      </x:c>
      <x:c r="F57" s="6"/>
      <x:c r="G57" s="8">
        <x:v>0</x:v>
      </x:c>
      <x:c r="H57" s="6"/>
      <x:c r="I57" s="2" t="s">
        <x:v>47</x:v>
      </x:c>
      <x:c r="J57" s="2" t="s">
        <x:v>17</x:v>
      </x:c>
      <x:c r="K57" s="2"/>
      <x:c r="L57" s="10" t="s">
        <x:v>130</x:v>
      </x:c>
      <x:c r="M57" s="10"/>
      <x:c r="N57" s="10" t="s">
        <x:v>19</x:v>
      </x:c>
    </x:row>
    <x:row r="58" ht="41.400001525878906">
      <x:c r="A58" s="2" t="s">
        <x:v>131</x:v>
      </x:c>
      <x:c r="B58" s="4">
        <x:v>38828</x:v>
      </x:c>
      <x:c r="C58" s="2"/>
      <x:c r="D58" s="2" t="s">
        <x:v>15</x:v>
      </x:c>
      <x:c r="E58" s="2" t="s">
        <x:v>16</x:v>
      </x:c>
      <x:c r="F58" s="6"/>
      <x:c r="G58" s="8">
        <x:v>0</x:v>
      </x:c>
      <x:c r="H58" s="6"/>
      <x:c r="I58" s="2" t="s">
        <x:v>47</x:v>
      </x:c>
      <x:c r="J58" s="2" t="s">
        <x:v>17</x:v>
      </x:c>
      <x:c r="K58" s="2"/>
      <x:c r="L58" s="10" t="s">
        <x:v>132</x:v>
      </x:c>
      <x:c r="M58" s="10"/>
      <x:c r="N58" s="10" t="s">
        <x:v>19</x:v>
      </x:c>
    </x:row>
    <x:row r="59" ht="41.400001525878906">
      <x:c r="A59" s="2" t="s">
        <x:v>133</x:v>
      </x:c>
      <x:c r="B59" s="4">
        <x:v>38863</x:v>
      </x:c>
      <x:c r="C59" s="2"/>
      <x:c r="D59" s="2" t="s">
        <x:v>15</x:v>
      </x:c>
      <x:c r="E59" s="2" t="s">
        <x:v>16</x:v>
      </x:c>
      <x:c r="F59" s="6"/>
      <x:c r="G59" s="8">
        <x:v>0</x:v>
      </x:c>
      <x:c r="H59" s="6"/>
      <x:c r="I59" s="2" t="s">
        <x:v>47</x:v>
      </x:c>
      <x:c r="J59" s="2" t="s">
        <x:v>17</x:v>
      </x:c>
      <x:c r="K59" s="2"/>
      <x:c r="L59" s="10" t="s">
        <x:v>134</x:v>
      </x:c>
      <x:c r="M59" s="10"/>
      <x:c r="N59" s="10" t="s">
        <x:v>19</x:v>
      </x:c>
    </x:row>
    <x:row r="60" ht="41.400001525878906">
      <x:c r="A60" s="2" t="s">
        <x:v>135</x:v>
      </x:c>
      <x:c r="B60" s="4">
        <x:v>38891</x:v>
      </x:c>
      <x:c r="C60" s="2"/>
      <x:c r="D60" s="2" t="s">
        <x:v>15</x:v>
      </x:c>
      <x:c r="E60" s="2" t="s">
        <x:v>16</x:v>
      </x:c>
      <x:c r="F60" s="6"/>
      <x:c r="G60" s="8">
        <x:v>0</x:v>
      </x:c>
      <x:c r="H60" s="6"/>
      <x:c r="I60" s="2" t="s">
        <x:v>47</x:v>
      </x:c>
      <x:c r="J60" s="2" t="s">
        <x:v>17</x:v>
      </x:c>
      <x:c r="K60" s="2"/>
      <x:c r="L60" s="10" t="s">
        <x:v>136</x:v>
      </x:c>
      <x:c r="M60" s="10"/>
      <x:c r="N60" s="10" t="s">
        <x:v>19</x:v>
      </x:c>
    </x:row>
    <x:row r="61" ht="41.400001525878906">
      <x:c r="A61" s="2" t="s">
        <x:v>137</x:v>
      </x:c>
      <x:c r="B61" s="4">
        <x:v>38926</x:v>
      </x:c>
      <x:c r="C61" s="2"/>
      <x:c r="D61" s="2" t="s">
        <x:v>15</x:v>
      </x:c>
      <x:c r="E61" s="2" t="s">
        <x:v>16</x:v>
      </x:c>
      <x:c r="F61" s="6"/>
      <x:c r="G61" s="8">
        <x:v>0</x:v>
      </x:c>
      <x:c r="H61" s="6"/>
      <x:c r="I61" s="2" t="s">
        <x:v>47</x:v>
      </x:c>
      <x:c r="J61" s="2" t="s">
        <x:v>17</x:v>
      </x:c>
      <x:c r="K61" s="2"/>
      <x:c r="L61" s="10" t="s">
        <x:v>138</x:v>
      </x:c>
      <x:c r="M61" s="10"/>
      <x:c r="N61" s="10" t="s">
        <x:v>19</x:v>
      </x:c>
    </x:row>
    <x:row r="62" ht="41.400001525878906">
      <x:c r="A62" s="2" t="s">
        <x:v>139</x:v>
      </x:c>
      <x:c r="B62" s="4">
        <x:v>38954</x:v>
      </x:c>
      <x:c r="C62" s="2"/>
      <x:c r="D62" s="2" t="s">
        <x:v>15</x:v>
      </x:c>
      <x:c r="E62" s="2" t="s">
        <x:v>16</x:v>
      </x:c>
      <x:c r="F62" s="6"/>
      <x:c r="G62" s="8">
        <x:v>0</x:v>
      </x:c>
      <x:c r="H62" s="6"/>
      <x:c r="I62" s="2" t="s">
        <x:v>47</x:v>
      </x:c>
      <x:c r="J62" s="2" t="s">
        <x:v>17</x:v>
      </x:c>
      <x:c r="K62" s="2"/>
      <x:c r="L62" s="10" t="s">
        <x:v>140</x:v>
      </x:c>
      <x:c r="M62" s="10"/>
      <x:c r="N62" s="10" t="s">
        <x:v>19</x:v>
      </x:c>
    </x:row>
    <x:row r="63" ht="55.20000076293945">
      <x:c r="A63" s="2" t="s">
        <x:v>141</x:v>
      </x:c>
      <x:c r="B63" s="4">
        <x:v>38982</x:v>
      </x:c>
      <x:c r="C63" s="2"/>
      <x:c r="D63" s="2" t="s">
        <x:v>15</x:v>
      </x:c>
      <x:c r="E63" s="2" t="s">
        <x:v>16</x:v>
      </x:c>
      <x:c r="F63" s="6"/>
      <x:c r="G63" s="8">
        <x:v>0</x:v>
      </x:c>
      <x:c r="H63" s="6"/>
      <x:c r="I63" s="2" t="s">
        <x:v>47</x:v>
      </x:c>
      <x:c r="J63" s="2" t="s">
        <x:v>17</x:v>
      </x:c>
      <x:c r="K63" s="2"/>
      <x:c r="L63" s="10" t="s">
        <x:v>142</x:v>
      </x:c>
      <x:c r="M63" s="10"/>
      <x:c r="N63" s="10" t="s">
        <x:v>19</x:v>
      </x:c>
    </x:row>
    <x:row r="64" ht="41.400001525878906">
      <x:c r="A64" s="2" t="s">
        <x:v>143</x:v>
      </x:c>
      <x:c r="B64" s="4">
        <x:v>39017</x:v>
      </x:c>
      <x:c r="C64" s="2"/>
      <x:c r="D64" s="2" t="s">
        <x:v>15</x:v>
      </x:c>
      <x:c r="E64" s="2" t="s">
        <x:v>16</x:v>
      </x:c>
      <x:c r="F64" s="6"/>
      <x:c r="G64" s="8">
        <x:v>0</x:v>
      </x:c>
      <x:c r="H64" s="6"/>
      <x:c r="I64" s="2" t="s">
        <x:v>47</x:v>
      </x:c>
      <x:c r="J64" s="2" t="s">
        <x:v>17</x:v>
      </x:c>
      <x:c r="K64" s="2"/>
      <x:c r="L64" s="10" t="s">
        <x:v>144</x:v>
      </x:c>
      <x:c r="M64" s="10"/>
      <x:c r="N64" s="10" t="s">
        <x:v>19</x:v>
      </x:c>
    </x:row>
    <x:row r="65" ht="41.400001525878906">
      <x:c r="A65" s="2" t="s">
        <x:v>145</x:v>
      </x:c>
      <x:c r="B65" s="4">
        <x:v>39045</x:v>
      </x:c>
      <x:c r="C65" s="2"/>
      <x:c r="D65" s="2" t="s">
        <x:v>15</x:v>
      </x:c>
      <x:c r="E65" s="2" t="s">
        <x:v>16</x:v>
      </x:c>
      <x:c r="F65" s="6"/>
      <x:c r="G65" s="8">
        <x:v>0</x:v>
      </x:c>
      <x:c r="H65" s="6"/>
      <x:c r="I65" s="2" t="s">
        <x:v>47</x:v>
      </x:c>
      <x:c r="J65" s="2" t="s">
        <x:v>17</x:v>
      </x:c>
      <x:c r="K65" s="2"/>
      <x:c r="L65" s="10" t="s">
        <x:v>146</x:v>
      </x:c>
      <x:c r="M65" s="10"/>
      <x:c r="N65" s="10" t="s">
        <x:v>19</x:v>
      </x:c>
    </x:row>
    <x:row r="66" ht="41.400001525878906">
      <x:c r="A66" s="2" t="s">
        <x:v>147</x:v>
      </x:c>
      <x:c r="B66" s="4">
        <x:v>39059</x:v>
      </x:c>
      <x:c r="C66" s="2"/>
      <x:c r="D66" s="2" t="s">
        <x:v>15</x:v>
      </x:c>
      <x:c r="E66" s="2" t="s">
        <x:v>16</x:v>
      </x:c>
      <x:c r="F66" s="6"/>
      <x:c r="G66" s="8">
        <x:v>0</x:v>
      </x:c>
      <x:c r="H66" s="6"/>
      <x:c r="I66" s="2" t="s">
        <x:v>47</x:v>
      </x:c>
      <x:c r="J66" s="2" t="s">
        <x:v>17</x:v>
      </x:c>
      <x:c r="K66" s="2"/>
      <x:c r="L66" s="10" t="s">
        <x:v>148</x:v>
      </x:c>
      <x:c r="M66" s="10"/>
      <x:c r="N66" s="10" t="s">
        <x:v>19</x:v>
      </x:c>
    </x:row>
    <x:row r="67" ht="41.400001525878906">
      <x:c r="A67" s="2" t="s">
        <x:v>149</x:v>
      </x:c>
      <x:c r="B67" s="4">
        <x:v>39108</x:v>
      </x:c>
      <x:c r="C67" s="2"/>
      <x:c r="D67" s="2" t="s">
        <x:v>15</x:v>
      </x:c>
      <x:c r="E67" s="2" t="s">
        <x:v>16</x:v>
      </x:c>
      <x:c r="F67" s="6"/>
      <x:c r="G67" s="8">
        <x:v>0</x:v>
      </x:c>
      <x:c r="H67" s="6"/>
      <x:c r="I67" s="2" t="s">
        <x:v>47</x:v>
      </x:c>
      <x:c r="J67" s="2" t="s">
        <x:v>17</x:v>
      </x:c>
      <x:c r="K67" s="2"/>
      <x:c r="L67" s="10" t="s">
        <x:v>150</x:v>
      </x:c>
      <x:c r="M67" s="10"/>
      <x:c r="N67" s="10" t="s">
        <x:v>19</x:v>
      </x:c>
    </x:row>
    <x:row r="68" ht="55.20000076293945">
      <x:c r="A68" s="2" t="s">
        <x:v>151</x:v>
      </x:c>
      <x:c r="B68" s="4">
        <x:v>39136</x:v>
      </x:c>
      <x:c r="C68" s="2"/>
      <x:c r="D68" s="2" t="s">
        <x:v>15</x:v>
      </x:c>
      <x:c r="E68" s="2" t="s">
        <x:v>16</x:v>
      </x:c>
      <x:c r="F68" s="6"/>
      <x:c r="G68" s="8">
        <x:v>0</x:v>
      </x:c>
      <x:c r="H68" s="6"/>
      <x:c r="I68" s="2" t="s">
        <x:v>47</x:v>
      </x:c>
      <x:c r="J68" s="2" t="s">
        <x:v>17</x:v>
      </x:c>
      <x:c r="K68" s="2"/>
      <x:c r="L68" s="10" t="s">
        <x:v>152</x:v>
      </x:c>
      <x:c r="M68" s="10"/>
      <x:c r="N68" s="10" t="s">
        <x:v>19</x:v>
      </x:c>
    </x:row>
    <x:row r="69" ht="55.20000076293945">
      <x:c r="A69" s="2" t="s">
        <x:v>153</x:v>
      </x:c>
      <x:c r="B69" s="4">
        <x:v>39164</x:v>
      </x:c>
      <x:c r="C69" s="2"/>
      <x:c r="D69" s="2" t="s">
        <x:v>15</x:v>
      </x:c>
      <x:c r="E69" s="2" t="s">
        <x:v>16</x:v>
      </x:c>
      <x:c r="F69" s="6"/>
      <x:c r="G69" s="8">
        <x:v>0</x:v>
      </x:c>
      <x:c r="H69" s="6"/>
      <x:c r="I69" s="2" t="s">
        <x:v>47</x:v>
      </x:c>
      <x:c r="J69" s="2" t="s">
        <x:v>17</x:v>
      </x:c>
      <x:c r="K69" s="2"/>
      <x:c r="L69" s="10" t="s">
        <x:v>154</x:v>
      </x:c>
      <x:c r="M69" s="10"/>
      <x:c r="N69" s="10" t="s">
        <x:v>19</x:v>
      </x:c>
    </x:row>
    <x:row r="70" ht="41.400001525878906">
      <x:c r="A70" s="2" t="s">
        <x:v>155</x:v>
      </x:c>
      <x:c r="B70" s="4">
        <x:v>39199</x:v>
      </x:c>
      <x:c r="C70" s="2"/>
      <x:c r="D70" s="2" t="s">
        <x:v>15</x:v>
      </x:c>
      <x:c r="E70" s="2" t="s">
        <x:v>16</x:v>
      </x:c>
      <x:c r="F70" s="6"/>
      <x:c r="G70" s="8">
        <x:v>25</x:v>
      </x:c>
      <x:c r="H70" s="6"/>
      <x:c r="I70" s="2" t="s">
        <x:v>156</x:v>
      </x:c>
      <x:c r="J70" s="2" t="s">
        <x:v>17</x:v>
      </x:c>
      <x:c r="K70" s="2"/>
      <x:c r="L70" s="10" t="s">
        <x:v>157</x:v>
      </x:c>
      <x:c r="M70" s="10"/>
      <x:c r="N70" s="10" t="s">
        <x:v>19</x:v>
      </x:c>
    </x:row>
    <x:row r="71" ht="41.400001525878906">
      <x:c r="A71" s="2" t="s">
        <x:v>158</x:v>
      </x:c>
      <x:c r="B71" s="4">
        <x:v>39227</x:v>
      </x:c>
      <x:c r="C71" s="2"/>
      <x:c r="D71" s="2" t="s">
        <x:v>15</x:v>
      </x:c>
      <x:c r="E71" s="2" t="s">
        <x:v>16</x:v>
      </x:c>
      <x:c r="F71" s="6"/>
      <x:c r="G71" s="8">
        <x:v>0</x:v>
      </x:c>
      <x:c r="H71" s="6"/>
      <x:c r="I71" s="2" t="s">
        <x:v>47</x:v>
      </x:c>
      <x:c r="J71" s="2" t="s">
        <x:v>17</x:v>
      </x:c>
      <x:c r="K71" s="2"/>
      <x:c r="L71" s="10" t="s">
        <x:v>159</x:v>
      </x:c>
      <x:c r="M71" s="10"/>
      <x:c r="N71" s="10" t="s">
        <x:v>19</x:v>
      </x:c>
    </x:row>
    <x:row r="72" ht="41.400001525878906">
      <x:c r="A72" s="2" t="s">
        <x:v>160</x:v>
      </x:c>
      <x:c r="B72" s="4">
        <x:v>39255</x:v>
      </x:c>
      <x:c r="C72" s="2"/>
      <x:c r="D72" s="2" t="s">
        <x:v>15</x:v>
      </x:c>
      <x:c r="E72" s="2" t="s">
        <x:v>16</x:v>
      </x:c>
      <x:c r="F72" s="6"/>
      <x:c r="G72" s="8">
        <x:v>0</x:v>
      </x:c>
      <x:c r="H72" s="6"/>
      <x:c r="I72" s="2" t="s">
        <x:v>47</x:v>
      </x:c>
      <x:c r="J72" s="2" t="s">
        <x:v>17</x:v>
      </x:c>
      <x:c r="K72" s="2"/>
      <x:c r="L72" s="10" t="s">
        <x:v>161</x:v>
      </x:c>
      <x:c r="M72" s="10"/>
      <x:c r="N72" s="10" t="s">
        <x:v>19</x:v>
      </x:c>
    </x:row>
    <x:row r="73" ht="41.400001525878906">
      <x:c r="A73" s="2" t="s">
        <x:v>162</x:v>
      </x:c>
      <x:c r="B73" s="4">
        <x:v>39290</x:v>
      </x:c>
      <x:c r="C73" s="2"/>
      <x:c r="D73" s="2" t="s">
        <x:v>15</x:v>
      </x:c>
      <x:c r="E73" s="2" t="s">
        <x:v>16</x:v>
      </x:c>
      <x:c r="F73" s="6"/>
      <x:c r="G73" s="8">
        <x:v>0</x:v>
      </x:c>
      <x:c r="H73" s="6"/>
      <x:c r="I73" s="2" t="s">
        <x:v>47</x:v>
      </x:c>
      <x:c r="J73" s="2" t="s">
        <x:v>17</x:v>
      </x:c>
      <x:c r="K73" s="2"/>
      <x:c r="L73" s="10" t="s">
        <x:v>163</x:v>
      </x:c>
      <x:c r="M73" s="10"/>
      <x:c r="N73" s="10" t="s">
        <x:v>19</x:v>
      </x:c>
    </x:row>
    <x:row r="74" ht="41.400001525878906">
      <x:c r="A74" s="2" t="s">
        <x:v>164</x:v>
      </x:c>
      <x:c r="B74" s="4">
        <x:v>39318</x:v>
      </x:c>
      <x:c r="C74" s="2"/>
      <x:c r="D74" s="2" t="s">
        <x:v>15</x:v>
      </x:c>
      <x:c r="E74" s="2" t="s">
        <x:v>16</x:v>
      </x:c>
      <x:c r="F74" s="6"/>
      <x:c r="G74" s="8">
        <x:v>0</x:v>
      </x:c>
      <x:c r="H74" s="6"/>
      <x:c r="I74" s="2" t="s">
        <x:v>47</x:v>
      </x:c>
      <x:c r="J74" s="2" t="s">
        <x:v>17</x:v>
      </x:c>
      <x:c r="K74" s="2"/>
      <x:c r="L74" s="10" t="s">
        <x:v>165</x:v>
      </x:c>
      <x:c r="M74" s="10"/>
      <x:c r="N74" s="10" t="s">
        <x:v>19</x:v>
      </x:c>
    </x:row>
    <x:row r="75" ht="41.400001525878906">
      <x:c r="A75" s="2" t="s">
        <x:v>166</x:v>
      </x:c>
      <x:c r="B75" s="4">
        <x:v>39346</x:v>
      </x:c>
      <x:c r="C75" s="2"/>
      <x:c r="D75" s="2" t="s">
        <x:v>15</x:v>
      </x:c>
      <x:c r="E75" s="2" t="s">
        <x:v>16</x:v>
      </x:c>
      <x:c r="F75" s="6"/>
      <x:c r="G75" s="8">
        <x:v>0</x:v>
      </x:c>
      <x:c r="H75" s="6"/>
      <x:c r="I75" s="2" t="s">
        <x:v>47</x:v>
      </x:c>
      <x:c r="J75" s="2" t="s">
        <x:v>17</x:v>
      </x:c>
      <x:c r="K75" s="2"/>
      <x:c r="L75" s="10" t="s">
        <x:v>167</x:v>
      </x:c>
      <x:c r="M75" s="10"/>
      <x:c r="N75" s="10" t="s">
        <x:v>19</x:v>
      </x:c>
    </x:row>
    <x:row r="76" ht="41.400001525878906">
      <x:c r="A76" s="2" t="s">
        <x:v>168</x:v>
      </x:c>
      <x:c r="B76" s="4">
        <x:v>39381</x:v>
      </x:c>
      <x:c r="C76" s="2"/>
      <x:c r="D76" s="2" t="s">
        <x:v>15</x:v>
      </x:c>
      <x:c r="E76" s="2" t="s">
        <x:v>16</x:v>
      </x:c>
      <x:c r="F76" s="6"/>
      <x:c r="G76" s="8">
        <x:v>25</x:v>
      </x:c>
      <x:c r="H76" s="6"/>
      <x:c r="I76" s="2" t="s">
        <x:v>156</x:v>
      </x:c>
      <x:c r="J76" s="2" t="s">
        <x:v>17</x:v>
      </x:c>
      <x:c r="K76" s="2"/>
      <x:c r="L76" s="10" t="s">
        <x:v>169</x:v>
      </x:c>
      <x:c r="M76" s="10"/>
      <x:c r="N76" s="10" t="s">
        <x:v>19</x:v>
      </x:c>
    </x:row>
    <x:row r="77" ht="41.400001525878906">
      <x:c r="A77" s="2" t="s">
        <x:v>170</x:v>
      </x:c>
      <x:c r="B77" s="4">
        <x:v>39409</x:v>
      </x:c>
      <x:c r="C77" s="2"/>
      <x:c r="D77" s="2" t="s">
        <x:v>15</x:v>
      </x:c>
      <x:c r="E77" s="2" t="s">
        <x:v>16</x:v>
      </x:c>
      <x:c r="F77" s="6"/>
      <x:c r="G77" s="8">
        <x:v>0</x:v>
      </x:c>
      <x:c r="H77" s="6"/>
      <x:c r="I77" s="2" t="s">
        <x:v>47</x:v>
      </x:c>
      <x:c r="J77" s="2" t="s">
        <x:v>17</x:v>
      </x:c>
      <x:c r="K77" s="2"/>
      <x:c r="L77" s="10" t="s">
        <x:v>171</x:v>
      </x:c>
      <x:c r="M77" s="10"/>
      <x:c r="N77" s="10" t="s">
        <x:v>19</x:v>
      </x:c>
    </x:row>
    <x:row r="78" ht="41.400001525878906">
      <x:c r="A78" s="2" t="s">
        <x:v>172</x:v>
      </x:c>
      <x:c r="B78" s="4">
        <x:v>39423</x:v>
      </x:c>
      <x:c r="C78" s="2"/>
      <x:c r="D78" s="2" t="s">
        <x:v>15</x:v>
      </x:c>
      <x:c r="E78" s="2" t="s">
        <x:v>16</x:v>
      </x:c>
      <x:c r="F78" s="6"/>
      <x:c r="G78" s="8">
        <x:v>0</x:v>
      </x:c>
      <x:c r="H78" s="6"/>
      <x:c r="I78" s="2" t="s">
        <x:v>47</x:v>
      </x:c>
      <x:c r="J78" s="2" t="s">
        <x:v>17</x:v>
      </x:c>
      <x:c r="K78" s="2"/>
      <x:c r="L78" s="10" t="s">
        <x:v>173</x:v>
      </x:c>
      <x:c r="M78" s="10"/>
      <x:c r="N78" s="10" t="s">
        <x:v>19</x:v>
      </x:c>
    </x:row>
    <x:row r="79" ht="41.400001525878906">
      <x:c r="A79" s="2" t="s">
        <x:v>174</x:v>
      </x:c>
      <x:c r="B79" s="4">
        <x:v>39465</x:v>
      </x:c>
      <x:c r="C79" s="2"/>
      <x:c r="D79" s="2" t="s">
        <x:v>15</x:v>
      </x:c>
      <x:c r="E79" s="2" t="s">
        <x:v>16</x:v>
      </x:c>
      <x:c r="F79" s="6"/>
      <x:c r="G79" s="8">
        <x:v>0</x:v>
      </x:c>
      <x:c r="H79" s="6"/>
      <x:c r="I79" s="2" t="s">
        <x:v>47</x:v>
      </x:c>
      <x:c r="J79" s="2" t="s">
        <x:v>17</x:v>
      </x:c>
      <x:c r="K79" s="2"/>
      <x:c r="L79" s="10" t="s">
        <x:v>175</x:v>
      </x:c>
      <x:c r="M79" s="10"/>
      <x:c r="N79" s="10" t="s">
        <x:v>19</x:v>
      </x:c>
    </x:row>
    <x:row r="80" ht="41.400001525878906">
      <x:c r="A80" s="2" t="s">
        <x:v>176</x:v>
      </x:c>
      <x:c r="B80" s="4">
        <x:v>39493</x:v>
      </x:c>
      <x:c r="C80" s="2"/>
      <x:c r="D80" s="2" t="s">
        <x:v>15</x:v>
      </x:c>
      <x:c r="E80" s="2" t="s">
        <x:v>177</x:v>
      </x:c>
      <x:c r="F80" s="6">
        <x:v>7.5</x:v>
      </x:c>
      <x:c r="G80" s="8">
        <x:v>0</x:v>
      </x:c>
      <x:c r="H80" s="6">
        <x:v>7.5</x:v>
      </x:c>
      <x:c r="I80" s="2" t="s">
        <x:v>47</x:v>
      </x:c>
      <x:c r="J80" s="2" t="s">
        <x:v>17</x:v>
      </x:c>
      <x:c r="K80" s="2"/>
      <x:c r="L80" s="10" t="s">
        <x:v>178</x:v>
      </x:c>
      <x:c r="M80" s="10"/>
      <x:c r="N80" s="10" t="s">
        <x:v>179</x:v>
      </x:c>
    </x:row>
    <x:row r="81" ht="41.400001525878906">
      <x:c r="A81" s="2" t="s">
        <x:v>180</x:v>
      </x:c>
      <x:c r="B81" s="4">
        <x:v>39521</x:v>
      </x:c>
      <x:c r="C81" s="2"/>
      <x:c r="D81" s="2" t="s">
        <x:v>15</x:v>
      </x:c>
      <x:c r="E81" s="2" t="s">
        <x:v>177</x:v>
      </x:c>
      <x:c r="F81" s="6">
        <x:v>7.5</x:v>
      </x:c>
      <x:c r="G81" s="8">
        <x:v>0</x:v>
      </x:c>
      <x:c r="H81" s="6">
        <x:v>7.5</x:v>
      </x:c>
      <x:c r="I81" s="2" t="s">
        <x:v>47</x:v>
      </x:c>
      <x:c r="J81" s="2" t="s">
        <x:v>17</x:v>
      </x:c>
      <x:c r="K81" s="2"/>
      <x:c r="L81" s="10" t="s">
        <x:v>181</x:v>
      </x:c>
      <x:c r="M81" s="10"/>
      <x:c r="N81" s="10" t="s">
        <x:v>179</x:v>
      </x:c>
    </x:row>
    <x:row r="82" ht="41.400001525878906">
      <x:c r="A82" s="2" t="s">
        <x:v>182</x:v>
      </x:c>
      <x:c r="B82" s="4">
        <x:v>39556</x:v>
      </x:c>
      <x:c r="C82" s="2"/>
      <x:c r="D82" s="2" t="s">
        <x:v>15</x:v>
      </x:c>
      <x:c r="E82" s="2" t="s">
        <x:v>177</x:v>
      </x:c>
      <x:c r="F82" s="6">
        <x:v>7.5</x:v>
      </x:c>
      <x:c r="G82" s="8">
        <x:v>0</x:v>
      </x:c>
      <x:c r="H82" s="6">
        <x:v>7.5</x:v>
      </x:c>
      <x:c r="I82" s="2" t="s">
        <x:v>47</x:v>
      </x:c>
      <x:c r="J82" s="2" t="s">
        <x:v>17</x:v>
      </x:c>
      <x:c r="K82" s="2"/>
      <x:c r="L82" s="10" t="s">
        <x:v>183</x:v>
      </x:c>
      <x:c r="M82" s="10"/>
      <x:c r="N82" s="10" t="s">
        <x:v>179</x:v>
      </x:c>
    </x:row>
    <x:row r="83" ht="41.400001525878906">
      <x:c r="A83" s="2" t="s">
        <x:v>184</x:v>
      </x:c>
      <x:c r="B83" s="4">
        <x:v>39584</x:v>
      </x:c>
      <x:c r="C83" s="2"/>
      <x:c r="D83" s="2" t="s">
        <x:v>15</x:v>
      </x:c>
      <x:c r="E83" s="2" t="s">
        <x:v>177</x:v>
      </x:c>
      <x:c r="F83" s="6">
        <x:v>7.5</x:v>
      </x:c>
      <x:c r="G83" s="8">
        <x:v>0</x:v>
      </x:c>
      <x:c r="H83" s="6">
        <x:v>7.5</x:v>
      </x:c>
      <x:c r="I83" s="2" t="s">
        <x:v>47</x:v>
      </x:c>
      <x:c r="J83" s="2" t="s">
        <x:v>17</x:v>
      </x:c>
      <x:c r="K83" s="2"/>
      <x:c r="L83" s="10" t="s">
        <x:v>185</x:v>
      </x:c>
      <x:c r="M83" s="10"/>
      <x:c r="N83" s="10" t="s">
        <x:v>179</x:v>
      </x:c>
    </x:row>
    <x:row r="84" ht="41.400001525878906">
      <x:c r="A84" s="2" t="s">
        <x:v>186</x:v>
      </x:c>
      <x:c r="B84" s="4">
        <x:v>39619</x:v>
      </x:c>
      <x:c r="C84" s="2"/>
      <x:c r="D84" s="2" t="s">
        <x:v>15</x:v>
      </x:c>
      <x:c r="E84" s="2" t="s">
        <x:v>177</x:v>
      </x:c>
      <x:c r="F84" s="6">
        <x:v>7.5</x:v>
      </x:c>
      <x:c r="G84" s="8">
        <x:v>25</x:v>
      </x:c>
      <x:c r="H84" s="6">
        <x:v>7.75</x:v>
      </x:c>
      <x:c r="I84" s="2" t="s">
        <x:v>156</x:v>
      </x:c>
      <x:c r="J84" s="2" t="s">
        <x:v>17</x:v>
      </x:c>
      <x:c r="K84" s="2"/>
      <x:c r="L84" s="10" t="s">
        <x:v>187</x:v>
      </x:c>
      <x:c r="M84" s="10"/>
      <x:c r="N84" s="10" t="s">
        <x:v>179</x:v>
      </x:c>
    </x:row>
    <x:row r="85" ht="41.400001525878906">
      <x:c r="A85" s="2" t="s">
        <x:v>188</x:v>
      </x:c>
      <x:c r="B85" s="4">
        <x:v>39647</x:v>
      </x:c>
      <x:c r="C85" s="2"/>
      <x:c r="D85" s="2" t="s">
        <x:v>15</x:v>
      </x:c>
      <x:c r="E85" s="2" t="s">
        <x:v>177</x:v>
      </x:c>
      <x:c r="F85" s="6">
        <x:v>7.75</x:v>
      </x:c>
      <x:c r="G85" s="8">
        <x:v>25</x:v>
      </x:c>
      <x:c r="H85" s="6">
        <x:v>8</x:v>
      </x:c>
      <x:c r="I85" s="2" t="s">
        <x:v>156</x:v>
      </x:c>
      <x:c r="J85" s="2" t="s">
        <x:v>17</x:v>
      </x:c>
      <x:c r="K85" s="2"/>
      <x:c r="L85" s="10" t="s">
        <x:v>189</x:v>
      </x:c>
      <x:c r="M85" s="10"/>
      <x:c r="N85" s="10" t="s">
        <x:v>179</x:v>
      </x:c>
    </x:row>
    <x:row r="86" ht="41.400001525878906">
      <x:c r="A86" s="2" t="s">
        <x:v>190</x:v>
      </x:c>
      <x:c r="B86" s="4">
        <x:v>39675</x:v>
      </x:c>
      <x:c r="C86" s="2"/>
      <x:c r="D86" s="2" t="s">
        <x:v>15</x:v>
      </x:c>
      <x:c r="E86" s="2" t="s">
        <x:v>177</x:v>
      </x:c>
      <x:c r="F86" s="6">
        <x:v>8</x:v>
      </x:c>
      <x:c r="G86" s="8">
        <x:v>25</x:v>
      </x:c>
      <x:c r="H86" s="6">
        <x:v>8.25</x:v>
      </x:c>
      <x:c r="I86" s="2" t="s">
        <x:v>156</x:v>
      </x:c>
      <x:c r="J86" s="2" t="s">
        <x:v>17</x:v>
      </x:c>
      <x:c r="K86" s="2"/>
      <x:c r="L86" s="10" t="s">
        <x:v>191</x:v>
      </x:c>
      <x:c r="M86" s="10"/>
      <x:c r="N86" s="10" t="s">
        <x:v>179</x:v>
      </x:c>
    </x:row>
    <x:row r="87" ht="41.400001525878906">
      <x:c r="A87" s="2" t="s">
        <x:v>192</x:v>
      </x:c>
      <x:c r="B87" s="4">
        <x:v>39710</x:v>
      </x:c>
      <x:c r="C87" s="2"/>
      <x:c r="D87" s="2" t="s">
        <x:v>15</x:v>
      </x:c>
      <x:c r="E87" s="2" t="s">
        <x:v>177</x:v>
      </x:c>
      <x:c r="F87" s="6">
        <x:v>8.25</x:v>
      </x:c>
      <x:c r="G87" s="8">
        <x:v>0</x:v>
      </x:c>
      <x:c r="H87" s="6">
        <x:v>8.25</x:v>
      </x:c>
      <x:c r="I87" s="2" t="s">
        <x:v>47</x:v>
      </x:c>
      <x:c r="J87" s="2" t="s">
        <x:v>17</x:v>
      </x:c>
      <x:c r="K87" s="2"/>
      <x:c r="L87" s="10" t="s">
        <x:v>193</x:v>
      </x:c>
      <x:c r="M87" s="10"/>
      <x:c r="N87" s="10" t="s">
        <x:v>179</x:v>
      </x:c>
    </x:row>
    <x:row r="88" ht="41.400001525878906">
      <x:c r="A88" s="2" t="s">
        <x:v>194</x:v>
      </x:c>
      <x:c r="B88" s="4">
        <x:v>39738</x:v>
      </x:c>
      <x:c r="C88" s="2"/>
      <x:c r="D88" s="2" t="s">
        <x:v>15</x:v>
      </x:c>
      <x:c r="E88" s="2" t="s">
        <x:v>177</x:v>
      </x:c>
      <x:c r="F88" s="6">
        <x:v>8.25</x:v>
      </x:c>
      <x:c r="G88" s="8">
        <x:v>0</x:v>
      </x:c>
      <x:c r="H88" s="6">
        <x:v>8.25</x:v>
      </x:c>
      <x:c r="I88" s="2" t="s">
        <x:v>47</x:v>
      </x:c>
      <x:c r="J88" s="2" t="s">
        <x:v>17</x:v>
      </x:c>
      <x:c r="K88" s="2"/>
      <x:c r="L88" s="10" t="s">
        <x:v>195</x:v>
      </x:c>
      <x:c r="M88" s="10"/>
      <x:c r="N88" s="10" t="s">
        <x:v>179</x:v>
      </x:c>
    </x:row>
    <x:row r="89" ht="41.400001525878906">
      <x:c r="A89" s="2" t="s">
        <x:v>196</x:v>
      </x:c>
      <x:c r="B89" s="4">
        <x:v>39780</x:v>
      </x:c>
      <x:c r="C89" s="2"/>
      <x:c r="D89" s="2" t="s">
        <x:v>15</x:v>
      </x:c>
      <x:c r="E89" s="2" t="s">
        <x:v>177</x:v>
      </x:c>
      <x:c r="F89" s="6">
        <x:v>8.25</x:v>
      </x:c>
      <x:c r="G89" s="8">
        <x:v>0</x:v>
      </x:c>
      <x:c r="H89" s="6">
        <x:v>8.25</x:v>
      </x:c>
      <x:c r="I89" s="2" t="s">
        <x:v>47</x:v>
      </x:c>
      <x:c r="J89" s="2" t="s">
        <x:v>17</x:v>
      </x:c>
      <x:c r="K89" s="2"/>
      <x:c r="L89" s="10" t="s">
        <x:v>197</x:v>
      </x:c>
      <x:c r="M89" s="10"/>
      <x:c r="N89" s="10" t="s">
        <x:v>179</x:v>
      </x:c>
    </x:row>
    <x:row r="90" ht="41.400001525878906">
      <x:c r="A90" s="2" t="s">
        <x:v>198</x:v>
      </x:c>
      <x:c r="B90" s="4">
        <x:v>39829</x:v>
      </x:c>
      <x:c r="C90" s="2"/>
      <x:c r="D90" s="2" t="s">
        <x:v>15</x:v>
      </x:c>
      <x:c r="E90" s="2" t="s">
        <x:v>177</x:v>
      </x:c>
      <x:c r="F90" s="6">
        <x:v>8.25</x:v>
      </x:c>
      <x:c r="G90" s="8">
        <x:v>-50</x:v>
      </x:c>
      <x:c r="H90" s="6">
        <x:v>7.75</x:v>
      </x:c>
      <x:c r="I90" s="2" t="s">
        <x:v>199</x:v>
      </x:c>
      <x:c r="J90" s="2" t="s">
        <x:v>17</x:v>
      </x:c>
      <x:c r="K90" s="2"/>
      <x:c r="L90" s="10" t="s">
        <x:v>200</x:v>
      </x:c>
      <x:c r="M90" s="10"/>
      <x:c r="N90" s="10" t="s">
        <x:v>179</x:v>
      </x:c>
    </x:row>
    <x:row r="91" ht="55.20000076293945">
      <x:c r="A91" s="2" t="s">
        <x:v>201</x:v>
      </x:c>
      <x:c r="B91" s="4">
        <x:v>39864</x:v>
      </x:c>
      <x:c r="C91" s="2"/>
      <x:c r="D91" s="2" t="s">
        <x:v>15</x:v>
      </x:c>
      <x:c r="E91" s="2" t="s">
        <x:v>177</x:v>
      </x:c>
      <x:c r="F91" s="6">
        <x:v>7.75</x:v>
      </x:c>
      <x:c r="G91" s="8">
        <x:v>-25</x:v>
      </x:c>
      <x:c r="H91" s="6">
        <x:v>7.5</x:v>
      </x:c>
      <x:c r="I91" s="2" t="s">
        <x:v>199</x:v>
      </x:c>
      <x:c r="J91" s="2" t="s">
        <x:v>17</x:v>
      </x:c>
      <x:c r="K91" s="2"/>
      <x:c r="L91" s="10" t="s">
        <x:v>202</x:v>
      </x:c>
      <x:c r="M91" s="10"/>
      <x:c r="N91" s="10" t="s">
        <x:v>179</x:v>
      </x:c>
    </x:row>
    <x:row r="92" ht="41.400001525878906">
      <x:c r="A92" s="2" t="s">
        <x:v>203</x:v>
      </x:c>
      <x:c r="B92" s="4">
        <x:v>39892</x:v>
      </x:c>
      <x:c r="C92" s="2"/>
      <x:c r="D92" s="2" t="s">
        <x:v>15</x:v>
      </x:c>
      <x:c r="E92" s="2" t="s">
        <x:v>177</x:v>
      </x:c>
      <x:c r="F92" s="6">
        <x:v>7.5</x:v>
      </x:c>
      <x:c r="G92" s="8">
        <x:v>-75</x:v>
      </x:c>
      <x:c r="H92" s="6">
        <x:v>6.75</x:v>
      </x:c>
      <x:c r="I92" s="2" t="s">
        <x:v>199</x:v>
      </x:c>
      <x:c r="J92" s="2" t="s">
        <x:v>17</x:v>
      </x:c>
      <x:c r="K92" s="2"/>
      <x:c r="L92" s="10" t="s">
        <x:v>204</x:v>
      </x:c>
      <x:c r="M92" s="10"/>
      <x:c r="N92" s="10" t="s">
        <x:v>179</x:v>
      </x:c>
    </x:row>
    <x:row r="93" ht="41.400001525878906">
      <x:c r="A93" s="2" t="s">
        <x:v>205</x:v>
      </x:c>
      <x:c r="B93" s="4">
        <x:v>39920</x:v>
      </x:c>
      <x:c r="C93" s="2"/>
      <x:c r="D93" s="2" t="s">
        <x:v>15</x:v>
      </x:c>
      <x:c r="E93" s="2" t="s">
        <x:v>177</x:v>
      </x:c>
      <x:c r="F93" s="6">
        <x:v>6.75</x:v>
      </x:c>
      <x:c r="G93" s="8">
        <x:v>-75</x:v>
      </x:c>
      <x:c r="H93" s="6">
        <x:v>6</x:v>
      </x:c>
      <x:c r="I93" s="2" t="s">
        <x:v>199</x:v>
      </x:c>
      <x:c r="J93" s="2" t="s">
        <x:v>17</x:v>
      </x:c>
      <x:c r="K93" s="2"/>
      <x:c r="L93" s="10" t="s">
        <x:v>206</x:v>
      </x:c>
      <x:c r="M93" s="10"/>
      <x:c r="N93" s="10" t="s">
        <x:v>179</x:v>
      </x:c>
    </x:row>
    <x:row r="94" ht="55.20000076293945">
      <x:c r="A94" s="2" t="s">
        <x:v>207</x:v>
      </x:c>
      <x:c r="B94" s="4">
        <x:v>39948</x:v>
      </x:c>
      <x:c r="C94" s="2"/>
      <x:c r="D94" s="2" t="s">
        <x:v>15</x:v>
      </x:c>
      <x:c r="E94" s="2" t="s">
        <x:v>177</x:v>
      </x:c>
      <x:c r="F94" s="6">
        <x:v>6</x:v>
      </x:c>
      <x:c r="G94" s="8">
        <x:v>-75</x:v>
      </x:c>
      <x:c r="H94" s="6">
        <x:v>5.25</x:v>
      </x:c>
      <x:c r="I94" s="2" t="s">
        <x:v>199</x:v>
      </x:c>
      <x:c r="J94" s="2" t="s">
        <x:v>17</x:v>
      </x:c>
      <x:c r="K94" s="2"/>
      <x:c r="L94" s="10" t="s">
        <x:v>208</x:v>
      </x:c>
      <x:c r="M94" s="10"/>
      <x:c r="N94" s="10" t="s">
        <x:v>179</x:v>
      </x:c>
    </x:row>
    <x:row r="95" ht="41.400001525878906">
      <x:c r="A95" s="2" t="s">
        <x:v>209</x:v>
      </x:c>
      <x:c r="B95" s="4">
        <x:v>39983</x:v>
      </x:c>
      <x:c r="C95" s="2"/>
      <x:c r="D95" s="2" t="s">
        <x:v>15</x:v>
      </x:c>
      <x:c r="E95" s="2" t="s">
        <x:v>177</x:v>
      </x:c>
      <x:c r="F95" s="6">
        <x:v>5.25</x:v>
      </x:c>
      <x:c r="G95" s="8">
        <x:v>-50</x:v>
      </x:c>
      <x:c r="H95" s="6">
        <x:v>4.75</x:v>
      </x:c>
      <x:c r="I95" s="2" t="s">
        <x:v>199</x:v>
      </x:c>
      <x:c r="J95" s="2" t="s">
        <x:v>17</x:v>
      </x:c>
      <x:c r="K95" s="2"/>
      <x:c r="L95" s="10" t="s">
        <x:v>210</x:v>
      </x:c>
      <x:c r="M95" s="10"/>
      <x:c r="N95" s="10" t="s">
        <x:v>179</x:v>
      </x:c>
    </x:row>
    <x:row r="96" ht="41.400001525878906">
      <x:c r="A96" s="2" t="s">
        <x:v>211</x:v>
      </x:c>
      <x:c r="B96" s="4">
        <x:v>40011</x:v>
      </x:c>
      <x:c r="C96" s="2"/>
      <x:c r="D96" s="2" t="s">
        <x:v>15</x:v>
      </x:c>
      <x:c r="E96" s="2" t="s">
        <x:v>177</x:v>
      </x:c>
      <x:c r="F96" s="6">
        <x:v>4.75</x:v>
      </x:c>
      <x:c r="G96" s="8">
        <x:v>-25</x:v>
      </x:c>
      <x:c r="H96" s="6">
        <x:v>4.5</x:v>
      </x:c>
      <x:c r="I96" s="2" t="s">
        <x:v>199</x:v>
      </x:c>
      <x:c r="J96" s="2" t="s">
        <x:v>17</x:v>
      </x:c>
      <x:c r="K96" s="2"/>
      <x:c r="L96" s="10" t="s">
        <x:v>212</x:v>
      </x:c>
      <x:c r="M96" s="10"/>
      <x:c r="N96" s="10" t="s">
        <x:v>179</x:v>
      </x:c>
    </x:row>
    <x:row r="97" ht="41.400001525878906">
      <x:c r="A97" s="2" t="s">
        <x:v>213</x:v>
      </x:c>
      <x:c r="B97" s="4">
        <x:v>40046</x:v>
      </x:c>
      <x:c r="C97" s="2"/>
      <x:c r="D97" s="2" t="s">
        <x:v>15</x:v>
      </x:c>
      <x:c r="E97" s="2" t="s">
        <x:v>177</x:v>
      </x:c>
      <x:c r="F97" s="6">
        <x:v>4.5</x:v>
      </x:c>
      <x:c r="G97" s="8">
        <x:v>0</x:v>
      </x:c>
      <x:c r="H97" s="6">
        <x:v>4.5</x:v>
      </x:c>
      <x:c r="I97" s="2" t="s">
        <x:v>47</x:v>
      </x:c>
      <x:c r="J97" s="2" t="s">
        <x:v>17</x:v>
      </x:c>
      <x:c r="K97" s="2"/>
      <x:c r="L97" s="10" t="s">
        <x:v>214</x:v>
      </x:c>
      <x:c r="M97" s="10"/>
      <x:c r="N97" s="10" t="s">
        <x:v>179</x:v>
      </x:c>
    </x:row>
    <x:row r="98" ht="41.400001525878906">
      <x:c r="A98" s="2" t="s">
        <x:v>215</x:v>
      </x:c>
      <x:c r="B98" s="4">
        <x:v>40074</x:v>
      </x:c>
      <x:c r="C98" s="2"/>
      <x:c r="D98" s="2" t="s">
        <x:v>15</x:v>
      </x:c>
      <x:c r="E98" s="2" t="s">
        <x:v>177</x:v>
      </x:c>
      <x:c r="F98" s="6">
        <x:v>4.5</x:v>
      </x:c>
      <x:c r="G98" s="8">
        <x:v>0</x:v>
      </x:c>
      <x:c r="H98" s="6">
        <x:v>4.5</x:v>
      </x:c>
      <x:c r="I98" s="2" t="s">
        <x:v>47</x:v>
      </x:c>
      <x:c r="J98" s="2" t="s">
        <x:v>17</x:v>
      </x:c>
      <x:c r="K98" s="2"/>
      <x:c r="L98" s="10" t="s">
        <x:v>216</x:v>
      </x:c>
      <x:c r="M98" s="10"/>
      <x:c r="N98" s="10" t="s">
        <x:v>179</x:v>
      </x:c>
    </x:row>
    <x:row r="99" ht="41.400001525878906">
      <x:c r="A99" s="2" t="s">
        <x:v>217</x:v>
      </x:c>
      <x:c r="B99" s="4">
        <x:v>40102</x:v>
      </x:c>
      <x:c r="C99" s="2"/>
      <x:c r="D99" s="2" t="s">
        <x:v>15</x:v>
      </x:c>
      <x:c r="E99" s="2" t="s">
        <x:v>177</x:v>
      </x:c>
      <x:c r="F99" s="6">
        <x:v>4.5</x:v>
      </x:c>
      <x:c r="G99" s="8">
        <x:v>0</x:v>
      </x:c>
      <x:c r="H99" s="6">
        <x:v>4.5</x:v>
      </x:c>
      <x:c r="I99" s="2" t="s">
        <x:v>47</x:v>
      </x:c>
      <x:c r="J99" s="2" t="s">
        <x:v>17</x:v>
      </x:c>
      <x:c r="K99" s="2"/>
      <x:c r="L99" s="10" t="s">
        <x:v>218</x:v>
      </x:c>
      <x:c r="M99" s="10"/>
      <x:c r="N99" s="10" t="s">
        <x:v>179</x:v>
      </x:c>
    </x:row>
    <x:row r="100" ht="41.400001525878906">
      <x:c r="A100" s="2" t="s">
        <x:v>219</x:v>
      </x:c>
      <x:c r="B100" s="4">
        <x:v>40144</x:v>
      </x:c>
      <x:c r="C100" s="2"/>
      <x:c r="D100" s="2" t="s">
        <x:v>15</x:v>
      </x:c>
      <x:c r="E100" s="2" t="s">
        <x:v>177</x:v>
      </x:c>
      <x:c r="F100" s="6">
        <x:v>4.5</x:v>
      </x:c>
      <x:c r="G100" s="8">
        <x:v>0</x:v>
      </x:c>
      <x:c r="H100" s="6">
        <x:v>4.5</x:v>
      </x:c>
      <x:c r="I100" s="2" t="s">
        <x:v>47</x:v>
      </x:c>
      <x:c r="J100" s="2" t="s">
        <x:v>17</x:v>
      </x:c>
      <x:c r="K100" s="2"/>
      <x:c r="L100" s="10" t="s">
        <x:v>220</x:v>
      </x:c>
      <x:c r="M100" s="10"/>
      <x:c r="N100" s="10" t="s">
        <x:v>179</x:v>
      </x:c>
    </x:row>
    <x:row r="101" ht="41.400001525878906">
      <x:c r="A101" s="2" t="s">
        <x:v>221</x:v>
      </x:c>
      <x:c r="B101" s="4">
        <x:v>40193</x:v>
      </x:c>
      <x:c r="C101" s="2"/>
      <x:c r="D101" s="2" t="s">
        <x:v>15</x:v>
      </x:c>
      <x:c r="E101" s="2" t="s">
        <x:v>177</x:v>
      </x:c>
      <x:c r="F101" s="6">
        <x:v>4.5</x:v>
      </x:c>
      <x:c r="G101" s="8">
        <x:v>0</x:v>
      </x:c>
      <x:c r="H101" s="6">
        <x:v>4.5</x:v>
      </x:c>
      <x:c r="I101" s="2" t="s">
        <x:v>47</x:v>
      </x:c>
      <x:c r="J101" s="2" t="s">
        <x:v>17</x:v>
      </x:c>
      <x:c r="K101" s="2"/>
      <x:c r="L101" s="10" t="s">
        <x:v>222</x:v>
      </x:c>
      <x:c r="M101" s="10"/>
      <x:c r="N101" s="10" t="s">
        <x:v>179</x:v>
      </x:c>
    </x:row>
    <x:row r="102" ht="41.400001525878906">
      <x:c r="A102" s="2" t="s">
        <x:v>223</x:v>
      </x:c>
      <x:c r="B102" s="4">
        <x:v>40228</x:v>
      </x:c>
      <x:c r="C102" s="2"/>
      <x:c r="D102" s="2" t="s">
        <x:v>15</x:v>
      </x:c>
      <x:c r="E102" s="2" t="s">
        <x:v>177</x:v>
      </x:c>
      <x:c r="F102" s="6">
        <x:v>4.5</x:v>
      </x:c>
      <x:c r="G102" s="8">
        <x:v>0</x:v>
      </x:c>
      <x:c r="H102" s="6">
        <x:v>4.5</x:v>
      </x:c>
      <x:c r="I102" s="2" t="s">
        <x:v>47</x:v>
      </x:c>
      <x:c r="J102" s="2" t="s">
        <x:v>17</x:v>
      </x:c>
      <x:c r="K102" s="2"/>
      <x:c r="L102" s="10" t="s">
        <x:v>224</x:v>
      </x:c>
      <x:c r="M102" s="10"/>
      <x:c r="N102" s="10" t="s">
        <x:v>179</x:v>
      </x:c>
    </x:row>
    <x:row r="103" ht="41.400001525878906">
      <x:c r="A103" s="2" t="s">
        <x:v>225</x:v>
      </x:c>
      <x:c r="B103" s="4">
        <x:v>40256</x:v>
      </x:c>
      <x:c r="C103" s="2"/>
      <x:c r="D103" s="2" t="s">
        <x:v>15</x:v>
      </x:c>
      <x:c r="E103" s="2" t="s">
        <x:v>177</x:v>
      </x:c>
      <x:c r="F103" s="6">
        <x:v>4.5</x:v>
      </x:c>
      <x:c r="G103" s="8">
        <x:v>0</x:v>
      </x:c>
      <x:c r="H103" s="6">
        <x:v>4.5</x:v>
      </x:c>
      <x:c r="I103" s="2" t="s">
        <x:v>47</x:v>
      </x:c>
      <x:c r="J103" s="2" t="s">
        <x:v>17</x:v>
      </x:c>
      <x:c r="K103" s="2"/>
      <x:c r="L103" s="10" t="s">
        <x:v>226</x:v>
      </x:c>
      <x:c r="M103" s="10"/>
      <x:c r="N103" s="10" t="s">
        <x:v>179</x:v>
      </x:c>
    </x:row>
    <x:row r="104" ht="41.400001525878906">
      <x:c r="A104" s="2" t="s">
        <x:v>227</x:v>
      </x:c>
      <x:c r="B104" s="4">
        <x:v>40284</x:v>
      </x:c>
      <x:c r="C104" s="2"/>
      <x:c r="D104" s="2" t="s">
        <x:v>15</x:v>
      </x:c>
      <x:c r="E104" s="2" t="s">
        <x:v>177</x:v>
      </x:c>
      <x:c r="F104" s="6">
        <x:v>4.5</x:v>
      </x:c>
      <x:c r="G104" s="8">
        <x:v>0</x:v>
      </x:c>
      <x:c r="H104" s="6">
        <x:v>4.5</x:v>
      </x:c>
      <x:c r="I104" s="2" t="s">
        <x:v>47</x:v>
      </x:c>
      <x:c r="J104" s="2" t="s">
        <x:v>17</x:v>
      </x:c>
      <x:c r="K104" s="2"/>
      <x:c r="L104" s="10" t="s">
        <x:v>228</x:v>
      </x:c>
      <x:c r="M104" s="10"/>
      <x:c r="N104" s="10" t="s">
        <x:v>179</x:v>
      </x:c>
    </x:row>
    <x:row r="105" ht="41.400001525878906">
      <x:c r="A105" s="2" t="s">
        <x:v>229</x:v>
      </x:c>
      <x:c r="B105" s="4">
        <x:v>40319</x:v>
      </x:c>
      <x:c r="C105" s="2"/>
      <x:c r="D105" s="2" t="s">
        <x:v>15</x:v>
      </x:c>
      <x:c r="E105" s="2" t="s">
        <x:v>177</x:v>
      </x:c>
      <x:c r="F105" s="6">
        <x:v>4.5</x:v>
      </x:c>
      <x:c r="G105" s="8">
        <x:v>0</x:v>
      </x:c>
      <x:c r="H105" s="6">
        <x:v>4.5</x:v>
      </x:c>
      <x:c r="I105" s="2" t="s">
        <x:v>47</x:v>
      </x:c>
      <x:c r="J105" s="2" t="s">
        <x:v>17</x:v>
      </x:c>
      <x:c r="K105" s="2"/>
      <x:c r="L105" s="10" t="s">
        <x:v>230</x:v>
      </x:c>
      <x:c r="M105" s="10"/>
      <x:c r="N105" s="10" t="s">
        <x:v>179</x:v>
      </x:c>
    </x:row>
    <x:row r="106" ht="41.400001525878906">
      <x:c r="A106" s="2" t="s">
        <x:v>231</x:v>
      </x:c>
      <x:c r="B106" s="4">
        <x:v>40347</x:v>
      </x:c>
      <x:c r="C106" s="2"/>
      <x:c r="D106" s="2" t="s">
        <x:v>15</x:v>
      </x:c>
      <x:c r="E106" s="2" t="s">
        <x:v>177</x:v>
      </x:c>
      <x:c r="F106" s="6">
        <x:v>4.5</x:v>
      </x:c>
      <x:c r="G106" s="8">
        <x:v>0</x:v>
      </x:c>
      <x:c r="H106" s="6">
        <x:v>4.5</x:v>
      </x:c>
      <x:c r="I106" s="2" t="s">
        <x:v>47</x:v>
      </x:c>
      <x:c r="J106" s="2" t="s">
        <x:v>17</x:v>
      </x:c>
      <x:c r="K106" s="2"/>
      <x:c r="L106" s="10" t="s">
        <x:v>232</x:v>
      </x:c>
      <x:c r="M106" s="10"/>
      <x:c r="N106" s="10" t="s">
        <x:v>179</x:v>
      </x:c>
    </x:row>
    <x:row r="107" ht="41.400001525878906">
      <x:c r="A107" s="2" t="s">
        <x:v>233</x:v>
      </x:c>
      <x:c r="B107" s="4">
        <x:v>40375</x:v>
      </x:c>
      <x:c r="C107" s="2"/>
      <x:c r="D107" s="2" t="s">
        <x:v>15</x:v>
      </x:c>
      <x:c r="E107" s="2" t="s">
        <x:v>177</x:v>
      </x:c>
      <x:c r="F107" s="6">
        <x:v>4.5</x:v>
      </x:c>
      <x:c r="G107" s="8">
        <x:v>0</x:v>
      </x:c>
      <x:c r="H107" s="6">
        <x:v>4.5</x:v>
      </x:c>
      <x:c r="I107" s="2" t="s">
        <x:v>47</x:v>
      </x:c>
      <x:c r="J107" s="2" t="s">
        <x:v>17</x:v>
      </x:c>
      <x:c r="K107" s="2"/>
      <x:c r="L107" s="10" t="s">
        <x:v>234</x:v>
      </x:c>
      <x:c r="M107" s="10"/>
      <x:c r="N107" s="10" t="s">
        <x:v>179</x:v>
      </x:c>
    </x:row>
    <x:row r="108" ht="41.400001525878906">
      <x:c r="A108" s="2" t="s">
        <x:v>235</x:v>
      </x:c>
      <x:c r="B108" s="4">
        <x:v>40410</x:v>
      </x:c>
      <x:c r="C108" s="2"/>
      <x:c r="D108" s="2" t="s">
        <x:v>15</x:v>
      </x:c>
      <x:c r="E108" s="2" t="s">
        <x:v>177</x:v>
      </x:c>
      <x:c r="F108" s="6">
        <x:v>4.5</x:v>
      </x:c>
      <x:c r="G108" s="8">
        <x:v>0</x:v>
      </x:c>
      <x:c r="H108" s="6">
        <x:v>4.5</x:v>
      </x:c>
      <x:c r="I108" s="2" t="s">
        <x:v>47</x:v>
      </x:c>
      <x:c r="J108" s="2" t="s">
        <x:v>17</x:v>
      </x:c>
      <x:c r="K108" s="2"/>
      <x:c r="L108" s="10" t="s">
        <x:v>236</x:v>
      </x:c>
      <x:c r="M108" s="10"/>
      <x:c r="N108" s="10" t="s">
        <x:v>179</x:v>
      </x:c>
    </x:row>
    <x:row r="109" ht="41.400001525878906">
      <x:c r="A109" s="2" t="s">
        <x:v>237</x:v>
      </x:c>
      <x:c r="B109" s="4">
        <x:v>40445</x:v>
      </x:c>
      <x:c r="C109" s="2"/>
      <x:c r="D109" s="2" t="s">
        <x:v>15</x:v>
      </x:c>
      <x:c r="E109" s="2" t="s">
        <x:v>177</x:v>
      </x:c>
      <x:c r="F109" s="6">
        <x:v>4.5</x:v>
      </x:c>
      <x:c r="G109" s="8">
        <x:v>0</x:v>
      </x:c>
      <x:c r="H109" s="6">
        <x:v>4.5</x:v>
      </x:c>
      <x:c r="I109" s="2" t="s">
        <x:v>47</x:v>
      </x:c>
      <x:c r="J109" s="2" t="s">
        <x:v>17</x:v>
      </x:c>
      <x:c r="K109" s="2"/>
      <x:c r="L109" s="10" t="s">
        <x:v>238</x:v>
      </x:c>
      <x:c r="M109" s="10"/>
      <x:c r="N109" s="10" t="s">
        <x:v>179</x:v>
      </x:c>
    </x:row>
    <x:row r="110" ht="41.400001525878906">
      <x:c r="A110" s="2" t="s">
        <x:v>239</x:v>
      </x:c>
      <x:c r="B110" s="4">
        <x:v>40466</x:v>
      </x:c>
      <x:c r="C110" s="2"/>
      <x:c r="D110" s="2" t="s">
        <x:v>15</x:v>
      </x:c>
      <x:c r="E110" s="2" t="s">
        <x:v>177</x:v>
      </x:c>
      <x:c r="F110" s="6">
        <x:v>4.5</x:v>
      </x:c>
      <x:c r="G110" s="8">
        <x:v>0</x:v>
      </x:c>
      <x:c r="H110" s="6">
        <x:v>4.5</x:v>
      </x:c>
      <x:c r="I110" s="2" t="s">
        <x:v>47</x:v>
      </x:c>
      <x:c r="J110" s="2" t="s">
        <x:v>17</x:v>
      </x:c>
      <x:c r="K110" s="2"/>
      <x:c r="L110" s="10" t="s">
        <x:v>240</x:v>
      </x:c>
      <x:c r="M110" s="10"/>
      <x:c r="N110" s="10" t="s">
        <x:v>179</x:v>
      </x:c>
    </x:row>
    <x:row r="111" ht="41.400001525878906">
      <x:c r="A111" s="2" t="s">
        <x:v>241</x:v>
      </x:c>
      <x:c r="B111" s="4">
        <x:v>40508</x:v>
      </x:c>
      <x:c r="C111" s="2"/>
      <x:c r="D111" s="2" t="s">
        <x:v>15</x:v>
      </x:c>
      <x:c r="E111" s="2" t="s">
        <x:v>177</x:v>
      </x:c>
      <x:c r="F111" s="6">
        <x:v>4.5</x:v>
      </x:c>
      <x:c r="G111" s="8">
        <x:v>0</x:v>
      </x:c>
      <x:c r="H111" s="6">
        <x:v>4.5</x:v>
      </x:c>
      <x:c r="I111" s="2" t="s">
        <x:v>47</x:v>
      </x:c>
      <x:c r="J111" s="2" t="s">
        <x:v>17</x:v>
      </x:c>
      <x:c r="K111" s="2"/>
      <x:c r="L111" s="10" t="s">
        <x:v>242</x:v>
      </x:c>
      <x:c r="M111" s="10"/>
      <x:c r="N111" s="10" t="s">
        <x:v>179</x:v>
      </x:c>
    </x:row>
    <x:row r="112" ht="41.400001525878906">
      <x:c r="A112" s="2" t="s">
        <x:v>243</x:v>
      </x:c>
      <x:c r="B112" s="4">
        <x:v>40564</x:v>
      </x:c>
      <x:c r="C112" s="2"/>
      <x:c r="D112" s="2" t="s">
        <x:v>15</x:v>
      </x:c>
      <x:c r="E112" s="2" t="s">
        <x:v>177</x:v>
      </x:c>
      <x:c r="F112" s="6">
        <x:v>4.5</x:v>
      </x:c>
      <x:c r="G112" s="8">
        <x:v>0</x:v>
      </x:c>
      <x:c r="H112" s="6">
        <x:v>4.5</x:v>
      </x:c>
      <x:c r="I112" s="2" t="s">
        <x:v>47</x:v>
      </x:c>
      <x:c r="J112" s="2" t="s">
        <x:v>244</x:v>
      </x:c>
      <x:c r="K112" s="2">
        <x:v>0</x:v>
      </x:c>
      <x:c r="L112" s="10" t="s">
        <x:v>245</x:v>
      </x:c>
      <x:c r="M112" s="10" t="s">
        <x:v>246</x:v>
      </x:c>
      <x:c r="N112" s="10" t="s">
        <x:v>179</x:v>
      </x:c>
    </x:row>
    <x:row r="113" ht="41.400001525878906">
      <x:c r="A113" s="2" t="s">
        <x:v>247</x:v>
      </x:c>
      <x:c r="B113" s="4">
        <x:v>40606</x:v>
      </x:c>
      <x:c r="C113" s="2"/>
      <x:c r="D113" s="2" t="s">
        <x:v>15</x:v>
      </x:c>
      <x:c r="E113" s="2" t="s">
        <x:v>177</x:v>
      </x:c>
      <x:c r="F113" s="6">
        <x:v>4.5</x:v>
      </x:c>
      <x:c r="G113" s="8">
        <x:v>0</x:v>
      </x:c>
      <x:c r="H113" s="6">
        <x:v>4.5</x:v>
      </x:c>
      <x:c r="I113" s="2" t="s">
        <x:v>47</x:v>
      </x:c>
      <x:c r="J113" s="2" t="s">
        <x:v>244</x:v>
      </x:c>
      <x:c r="K113" s="2">
        <x:v>0</x:v>
      </x:c>
      <x:c r="L113" s="10" t="s">
        <x:v>248</x:v>
      </x:c>
      <x:c r="M113" s="10" t="s">
        <x:v>249</x:v>
      </x:c>
      <x:c r="N113" s="10" t="s">
        <x:v>179</x:v>
      </x:c>
    </x:row>
    <x:row r="114" ht="41.400001525878906">
      <x:c r="A114" s="2" t="s">
        <x:v>250</x:v>
      </x:c>
      <x:c r="B114" s="4">
        <x:v>40648</x:v>
      </x:c>
      <x:c r="C114" s="2"/>
      <x:c r="D114" s="2" t="s">
        <x:v>15</x:v>
      </x:c>
      <x:c r="E114" s="2" t="s">
        <x:v>177</x:v>
      </x:c>
      <x:c r="F114" s="6">
        <x:v>4.5</x:v>
      </x:c>
      <x:c r="G114" s="8">
        <x:v>0</x:v>
      </x:c>
      <x:c r="H114" s="6">
        <x:v>4.5</x:v>
      </x:c>
      <x:c r="I114" s="2" t="s">
        <x:v>47</x:v>
      </x:c>
      <x:c r="J114" s="2" t="s">
        <x:v>244</x:v>
      </x:c>
      <x:c r="K114" s="2">
        <x:v>0</x:v>
      </x:c>
      <x:c r="L114" s="10" t="s">
        <x:v>251</x:v>
      </x:c>
      <x:c r="M114" s="10" t="s">
        <x:v>252</x:v>
      </x:c>
      <x:c r="N114" s="10" t="s">
        <x:v>179</x:v>
      </x:c>
    </x:row>
    <x:row r="115" ht="41.400001525878906">
      <x:c r="A115" s="2" t="s">
        <x:v>253</x:v>
      </x:c>
      <x:c r="B115" s="4">
        <x:v>40690</x:v>
      </x:c>
      <x:c r="C115" s="2"/>
      <x:c r="D115" s="2" t="s">
        <x:v>15</x:v>
      </x:c>
      <x:c r="E115" s="2" t="s">
        <x:v>177</x:v>
      </x:c>
      <x:c r="F115" s="6">
        <x:v>4.5</x:v>
      </x:c>
      <x:c r="G115" s="8">
        <x:v>0</x:v>
      </x:c>
      <x:c r="H115" s="6">
        <x:v>4.5</x:v>
      </x:c>
      <x:c r="I115" s="2" t="s">
        <x:v>47</x:v>
      </x:c>
      <x:c r="J115" s="2" t="s">
        <x:v>244</x:v>
      </x:c>
      <x:c r="K115" s="2">
        <x:v>0</x:v>
      </x:c>
      <x:c r="L115" s="10" t="s">
        <x:v>254</x:v>
      </x:c>
      <x:c r="M115" s="10" t="s">
        <x:v>255</x:v>
      </x:c>
      <x:c r="N115" s="10" t="s">
        <x:v>179</x:v>
      </x:c>
    </x:row>
    <x:row r="116" ht="41.400001525878906">
      <x:c r="A116" s="2" t="s">
        <x:v>256</x:v>
      </x:c>
      <x:c r="B116" s="4">
        <x:v>40732</x:v>
      </x:c>
      <x:c r="C116" s="2"/>
      <x:c r="D116" s="2" t="s">
        <x:v>15</x:v>
      </x:c>
      <x:c r="E116" s="2" t="s">
        <x:v>177</x:v>
      </x:c>
      <x:c r="F116" s="6">
        <x:v>4.5</x:v>
      </x:c>
      <x:c r="G116" s="8">
        <x:v>0</x:v>
      </x:c>
      <x:c r="H116" s="6">
        <x:v>4.5</x:v>
      </x:c>
      <x:c r="I116" s="2" t="s">
        <x:v>47</x:v>
      </x:c>
      <x:c r="J116" s="2" t="s">
        <x:v>244</x:v>
      </x:c>
      <x:c r="K116" s="2">
        <x:v>0</x:v>
      </x:c>
      <x:c r="L116" s="10" t="s">
        <x:v>257</x:v>
      </x:c>
      <x:c r="M116" s="10" t="s">
        <x:v>258</x:v>
      </x:c>
      <x:c r="N116" s="10" t="s">
        <x:v>179</x:v>
      </x:c>
    </x:row>
    <x:row r="117" ht="41.400001525878906">
      <x:c r="A117" s="2" t="s">
        <x:v>259</x:v>
      </x:c>
      <x:c r="B117" s="4">
        <x:v>40781</x:v>
      </x:c>
      <x:c r="C117" s="2"/>
      <x:c r="D117" s="2" t="s">
        <x:v>15</x:v>
      </x:c>
      <x:c r="E117" s="2" t="s">
        <x:v>177</x:v>
      </x:c>
      <x:c r="F117" s="6">
        <x:v>4.5</x:v>
      </x:c>
      <x:c r="G117" s="8">
        <x:v>0</x:v>
      </x:c>
      <x:c r="H117" s="6">
        <x:v>4.5</x:v>
      </x:c>
      <x:c r="I117" s="2" t="s">
        <x:v>47</x:v>
      </x:c>
      <x:c r="J117" s="2" t="s">
        <x:v>244</x:v>
      </x:c>
      <x:c r="K117" s="2">
        <x:v>0</x:v>
      </x:c>
      <x:c r="L117" s="10" t="s">
        <x:v>260</x:v>
      </x:c>
      <x:c r="M117" s="10" t="s">
        <x:v>261</x:v>
      </x:c>
      <x:c r="N117" s="10" t="s">
        <x:v>179</x:v>
      </x:c>
    </x:row>
    <x:row r="118" ht="41.400001525878906">
      <x:c r="A118" s="2" t="s">
        <x:v>262</x:v>
      </x:c>
      <x:c r="B118" s="4">
        <x:v>40830</x:v>
      </x:c>
      <x:c r="C118" s="2"/>
      <x:c r="D118" s="2" t="s">
        <x:v>15</x:v>
      </x:c>
      <x:c r="E118" s="2" t="s">
        <x:v>177</x:v>
      </x:c>
      <x:c r="F118" s="6">
        <x:v>4.5</x:v>
      </x:c>
      <x:c r="G118" s="8">
        <x:v>0</x:v>
      </x:c>
      <x:c r="H118" s="6">
        <x:v>4.5</x:v>
      </x:c>
      <x:c r="I118" s="2" t="s">
        <x:v>47</x:v>
      </x:c>
      <x:c r="J118" s="2" t="s">
        <x:v>244</x:v>
      </x:c>
      <x:c r="K118" s="2">
        <x:v>0</x:v>
      </x:c>
      <x:c r="L118" s="10" t="s">
        <x:v>263</x:v>
      </x:c>
      <x:c r="M118" s="10" t="s">
        <x:v>264</x:v>
      </x:c>
      <x:c r="N118" s="10" t="s">
        <x:v>179</x:v>
      </x:c>
    </x:row>
    <x:row r="119" ht="41.400001525878906">
      <x:c r="A119" s="2" t="s">
        <x:v>265</x:v>
      </x:c>
      <x:c r="B119" s="4">
        <x:v>40879</x:v>
      </x:c>
      <x:c r="C119" s="2"/>
      <x:c r="D119" s="2" t="s">
        <x:v>15</x:v>
      </x:c>
      <x:c r="E119" s="2" t="s">
        <x:v>177</x:v>
      </x:c>
      <x:c r="F119" s="6">
        <x:v>4.5</x:v>
      </x:c>
      <x:c r="G119" s="8">
        <x:v>0</x:v>
      </x:c>
      <x:c r="H119" s="6">
        <x:v>4.5</x:v>
      </x:c>
      <x:c r="I119" s="2" t="s">
        <x:v>47</x:v>
      </x:c>
      <x:c r="J119" s="2" t="s">
        <x:v>244</x:v>
      </x:c>
      <x:c r="K119" s="2">
        <x:v>0</x:v>
      </x:c>
      <x:c r="L119" s="10" t="s">
        <x:v>266</x:v>
      </x:c>
      <x:c r="M119" s="10" t="s">
        <x:v>267</x:v>
      </x:c>
      <x:c r="N119" s="10" t="s">
        <x:v>179</x:v>
      </x:c>
    </x:row>
    <x:row r="120" ht="41.400001525878906">
      <x:c r="A120" s="2" t="s">
        <x:v>268</x:v>
      </x:c>
      <x:c r="B120" s="4">
        <x:v>40928</x:v>
      </x:c>
      <x:c r="C120" s="2"/>
      <x:c r="D120" s="2" t="s">
        <x:v>15</x:v>
      </x:c>
      <x:c r="E120" s="2" t="s">
        <x:v>177</x:v>
      </x:c>
      <x:c r="F120" s="6">
        <x:v>4.5</x:v>
      </x:c>
      <x:c r="G120" s="8">
        <x:v>0</x:v>
      </x:c>
      <x:c r="H120" s="6">
        <x:v>4.5</x:v>
      </x:c>
      <x:c r="I120" s="2" t="s">
        <x:v>47</x:v>
      </x:c>
      <x:c r="J120" s="2" t="s">
        <x:v>244</x:v>
      </x:c>
      <x:c r="K120" s="2">
        <x:v>0</x:v>
      </x:c>
      <x:c r="L120" s="10" t="s">
        <x:v>269</x:v>
      </x:c>
      <x:c r="M120" s="10" t="s">
        <x:v>270</x:v>
      </x:c>
      <x:c r="N120" s="10" t="s">
        <x:v>179</x:v>
      </x:c>
    </x:row>
    <x:row r="121" ht="55.20000076293945">
      <x:c r="A121" s="2" t="s">
        <x:v>271</x:v>
      </x:c>
      <x:c r="B121" s="4">
        <x:v>40984</x:v>
      </x:c>
      <x:c r="C121" s="2"/>
      <x:c r="D121" s="2" t="s">
        <x:v>15</x:v>
      </x:c>
      <x:c r="E121" s="2" t="s">
        <x:v>177</x:v>
      </x:c>
      <x:c r="F121" s="6">
        <x:v>4.5</x:v>
      </x:c>
      <x:c r="G121" s="8">
        <x:v>0</x:v>
      </x:c>
      <x:c r="H121" s="6">
        <x:v>4.5</x:v>
      </x:c>
      <x:c r="I121" s="2" t="s">
        <x:v>47</x:v>
      </x:c>
      <x:c r="J121" s="2" t="s">
        <x:v>244</x:v>
      </x:c>
      <x:c r="K121" s="2">
        <x:v>0</x:v>
      </x:c>
      <x:c r="L121" s="10" t="s">
        <x:v>272</x:v>
      </x:c>
      <x:c r="M121" s="10" t="s">
        <x:v>273</x:v>
      </x:c>
      <x:c r="N121" s="10" t="s">
        <x:v>179</x:v>
      </x:c>
    </x:row>
    <x:row r="122" ht="41.400001525878906">
      <x:c r="A122" s="2" t="s">
        <x:v>274</x:v>
      </x:c>
      <x:c r="B122" s="4">
        <x:v>41026</x:v>
      </x:c>
      <x:c r="C122" s="2"/>
      <x:c r="D122" s="2" t="s">
        <x:v>15</x:v>
      </x:c>
      <x:c r="E122" s="2" t="s">
        <x:v>177</x:v>
      </x:c>
      <x:c r="F122" s="6">
        <x:v>4.5</x:v>
      </x:c>
      <x:c r="G122" s="8">
        <x:v>0</x:v>
      </x:c>
      <x:c r="H122" s="6">
        <x:v>4.5</x:v>
      </x:c>
      <x:c r="I122" s="2" t="s">
        <x:v>47</x:v>
      </x:c>
      <x:c r="J122" s="2" t="s">
        <x:v>244</x:v>
      </x:c>
      <x:c r="K122" s="2">
        <x:v>0</x:v>
      </x:c>
      <x:c r="L122" s="10" t="s">
        <x:v>275</x:v>
      </x:c>
      <x:c r="M122" s="10" t="s">
        <x:v>276</x:v>
      </x:c>
      <x:c r="N122" s="10" t="s">
        <x:v>179</x:v>
      </x:c>
    </x:row>
    <x:row r="123" ht="41.400001525878906">
      <x:c r="A123" s="2" t="s">
        <x:v>277</x:v>
      </x:c>
      <x:c r="B123" s="4">
        <x:v>41068</x:v>
      </x:c>
      <x:c r="C123" s="2"/>
      <x:c r="D123" s="2" t="s">
        <x:v>15</x:v>
      </x:c>
      <x:c r="E123" s="2" t="s">
        <x:v>177</x:v>
      </x:c>
      <x:c r="F123" s="6">
        <x:v>4.5</x:v>
      </x:c>
      <x:c r="G123" s="8">
        <x:v>0</x:v>
      </x:c>
      <x:c r="H123" s="6">
        <x:v>4.5</x:v>
      </x:c>
      <x:c r="I123" s="2" t="s">
        <x:v>47</x:v>
      </x:c>
      <x:c r="J123" s="2" t="s">
        <x:v>244</x:v>
      </x:c>
      <x:c r="K123" s="2">
        <x:v>0</x:v>
      </x:c>
      <x:c r="L123" s="10" t="s">
        <x:v>278</x:v>
      </x:c>
      <x:c r="M123" s="10" t="s">
        <x:v>279</x:v>
      </x:c>
      <x:c r="N123" s="10" t="s">
        <x:v>179</x:v>
      </x:c>
    </x:row>
    <x:row r="124" ht="41.400001525878906">
      <x:c r="A124" s="2" t="s">
        <x:v>280</x:v>
      </x:c>
      <x:c r="B124" s="4">
        <x:v>41110</x:v>
      </x:c>
      <x:c r="C124" s="2"/>
      <x:c r="D124" s="2" t="s">
        <x:v>15</x:v>
      </x:c>
      <x:c r="E124" s="2" t="s">
        <x:v>177</x:v>
      </x:c>
      <x:c r="F124" s="6">
        <x:v>4.5</x:v>
      </x:c>
      <x:c r="G124" s="8">
        <x:v>0</x:v>
      </x:c>
      <x:c r="H124" s="6">
        <x:v>4.5</x:v>
      </x:c>
      <x:c r="I124" s="2" t="s">
        <x:v>47</x:v>
      </x:c>
      <x:c r="J124" s="2" t="s">
        <x:v>244</x:v>
      </x:c>
      <x:c r="K124" s="2">
        <x:v>0</x:v>
      </x:c>
      <x:c r="L124" s="10" t="s">
        <x:v>281</x:v>
      </x:c>
      <x:c r="M124" s="10" t="s">
        <x:v>282</x:v>
      </x:c>
      <x:c r="N124" s="10" t="s">
        <x:v>179</x:v>
      </x:c>
    </x:row>
    <x:row r="125" ht="41.400001525878906">
      <x:c r="A125" s="2" t="s">
        <x:v>283</x:v>
      </x:c>
      <x:c r="B125" s="4">
        <x:v>41159</x:v>
      </x:c>
      <x:c r="C125" s="2"/>
      <x:c r="D125" s="2" t="s">
        <x:v>15</x:v>
      </x:c>
      <x:c r="E125" s="2" t="s">
        <x:v>177</x:v>
      </x:c>
      <x:c r="F125" s="6">
        <x:v>4.5</x:v>
      </x:c>
      <x:c r="G125" s="8">
        <x:v>0</x:v>
      </x:c>
      <x:c r="H125" s="6">
        <x:v>4.5</x:v>
      </x:c>
      <x:c r="I125" s="2" t="s">
        <x:v>47</x:v>
      </x:c>
      <x:c r="J125" s="2" t="s">
        <x:v>244</x:v>
      </x:c>
      <x:c r="K125" s="2">
        <x:v>0</x:v>
      </x:c>
      <x:c r="L125" s="10" t="s">
        <x:v>284</x:v>
      </x:c>
      <x:c r="M125" s="10" t="s">
        <x:v>285</x:v>
      </x:c>
      <x:c r="N125" s="10" t="s">
        <x:v>179</x:v>
      </x:c>
    </x:row>
    <x:row r="126" ht="41.400001525878906">
      <x:c r="A126" s="2" t="s">
        <x:v>286</x:v>
      </x:c>
      <x:c r="B126" s="4">
        <x:v>41208</x:v>
      </x:c>
      <x:c r="C126" s="2"/>
      <x:c r="D126" s="2" t="s">
        <x:v>15</x:v>
      </x:c>
      <x:c r="E126" s="2" t="s">
        <x:v>177</x:v>
      </x:c>
      <x:c r="F126" s="6">
        <x:v>4.5</x:v>
      </x:c>
      <x:c r="G126" s="8">
        <x:v>0</x:v>
      </x:c>
      <x:c r="H126" s="6">
        <x:v>4.5</x:v>
      </x:c>
      <x:c r="I126" s="2" t="s">
        <x:v>47</x:v>
      </x:c>
      <x:c r="J126" s="2" t="s">
        <x:v>244</x:v>
      </x:c>
      <x:c r="K126" s="2">
        <x:v>0</x:v>
      </x:c>
      <x:c r="L126" s="10" t="s">
        <x:v>287</x:v>
      </x:c>
      <x:c r="M126" s="10" t="s">
        <x:v>288</x:v>
      </x:c>
      <x:c r="N126" s="10" t="s">
        <x:v>179</x:v>
      </x:c>
    </x:row>
    <x:row r="127" ht="41.400001525878906">
      <x:c r="A127" s="2" t="s">
        <x:v>289</x:v>
      </x:c>
      <x:c r="B127" s="4">
        <x:v>41243</x:v>
      </x:c>
      <x:c r="C127" s="2"/>
      <x:c r="D127" s="2" t="s">
        <x:v>15</x:v>
      </x:c>
      <x:c r="E127" s="2" t="s">
        <x:v>177</x:v>
      </x:c>
      <x:c r="F127" s="6">
        <x:v>4.5</x:v>
      </x:c>
      <x:c r="G127" s="8">
        <x:v>0</x:v>
      </x:c>
      <x:c r="H127" s="6">
        <x:v>4.5</x:v>
      </x:c>
      <x:c r="I127" s="2" t="s">
        <x:v>47</x:v>
      </x:c>
      <x:c r="J127" s="2" t="s">
        <x:v>244</x:v>
      </x:c>
      <x:c r="K127" s="2">
        <x:v>0</x:v>
      </x:c>
      <x:c r="L127" s="10" t="s">
        <x:v>290</x:v>
      </x:c>
      <x:c r="M127" s="10" t="s">
        <x:v>291</x:v>
      </x:c>
      <x:c r="N127" s="10" t="s">
        <x:v>179</x:v>
      </x:c>
    </x:row>
    <x:row r="128" ht="55.20000076293945">
      <x:c r="A128" s="2" t="s">
        <x:v>292</x:v>
      </x:c>
      <x:c r="B128" s="4">
        <x:v>41292</x:v>
      </x:c>
      <x:c r="C128" s="2"/>
      <x:c r="D128" s="2" t="s">
        <x:v>15</x:v>
      </x:c>
      <x:c r="E128" s="2" t="s">
        <x:v>177</x:v>
      </x:c>
      <x:c r="F128" s="6">
        <x:v>4.5</x:v>
      </x:c>
      <x:c r="G128" s="8">
        <x:v>0</x:v>
      </x:c>
      <x:c r="H128" s="6">
        <x:v>4.5</x:v>
      </x:c>
      <x:c r="I128" s="2" t="s">
        <x:v>47</x:v>
      </x:c>
      <x:c r="J128" s="2" t="s">
        <x:v>244</x:v>
      </x:c>
      <x:c r="K128" s="2">
        <x:v>0</x:v>
      </x:c>
      <x:c r="L128" s="10" t="s">
        <x:v>293</x:v>
      </x:c>
      <x:c r="M128" s="10" t="s">
        <x:v>294</x:v>
      </x:c>
      <x:c r="N128" s="10" t="s">
        <x:v>179</x:v>
      </x:c>
    </x:row>
    <x:row r="129" ht="41.400001525878906">
      <x:c r="A129" s="2" t="s">
        <x:v>295</x:v>
      </x:c>
      <x:c r="B129" s="4">
        <x:v>41341</x:v>
      </x:c>
      <x:c r="C129" s="2"/>
      <x:c r="D129" s="2" t="s">
        <x:v>15</x:v>
      </x:c>
      <x:c r="E129" s="2" t="s">
        <x:v>177</x:v>
      </x:c>
      <x:c r="F129" s="6">
        <x:v>4.5</x:v>
      </x:c>
      <x:c r="G129" s="8">
        <x:v>-50</x:v>
      </x:c>
      <x:c r="H129" s="6">
        <x:v>4</x:v>
      </x:c>
      <x:c r="I129" s="2" t="s">
        <x:v>199</x:v>
      </x:c>
      <x:c r="J129" s="2" t="s">
        <x:v>17</x:v>
      </x:c>
      <x:c r="K129" s="2"/>
      <x:c r="L129" s="10" t="s">
        <x:v>296</x:v>
      </x:c>
      <x:c r="M129" s="10" t="s">
        <x:v>297</x:v>
      </x:c>
      <x:c r="N129" s="10" t="s">
        <x:v>179</x:v>
      </x:c>
    </x:row>
    <x:row r="130" ht="55.20000076293945">
      <x:c r="A130" s="2" t="s">
        <x:v>298</x:v>
      </x:c>
      <x:c r="B130" s="4">
        <x:v>41390</x:v>
      </x:c>
      <x:c r="C130" s="2"/>
      <x:c r="D130" s="2" t="s">
        <x:v>15</x:v>
      </x:c>
      <x:c r="E130" s="2" t="s">
        <x:v>177</x:v>
      </x:c>
      <x:c r="F130" s="6">
        <x:v>4</x:v>
      </x:c>
      <x:c r="G130" s="8">
        <x:v>0</x:v>
      </x:c>
      <x:c r="H130" s="6">
        <x:v>4</x:v>
      </x:c>
      <x:c r="I130" s="2" t="s">
        <x:v>47</x:v>
      </x:c>
      <x:c r="J130" s="2" t="s">
        <x:v>17</x:v>
      </x:c>
      <x:c r="K130" s="2"/>
      <x:c r="L130" s="10" t="s">
        <x:v>299</x:v>
      </x:c>
      <x:c r="M130" s="10" t="s">
        <x:v>300</x:v>
      </x:c>
      <x:c r="N130" s="10" t="s">
        <x:v>179</x:v>
      </x:c>
    </x:row>
    <x:row r="131" ht="41.400001525878906">
      <x:c r="A131" s="2" t="s">
        <x:v>301</x:v>
      </x:c>
      <x:c r="B131" s="4">
        <x:v>41432</x:v>
      </x:c>
      <x:c r="C131" s="2"/>
      <x:c r="D131" s="2" t="s">
        <x:v>15</x:v>
      </x:c>
      <x:c r="E131" s="2" t="s">
        <x:v>177</x:v>
      </x:c>
      <x:c r="F131" s="6">
        <x:v>4</x:v>
      </x:c>
      <x:c r="G131" s="8">
        <x:v>0</x:v>
      </x:c>
      <x:c r="H131" s="6">
        <x:v>4</x:v>
      </x:c>
      <x:c r="I131" s="2" t="s">
        <x:v>47</x:v>
      </x:c>
      <x:c r="J131" s="2" t="s">
        <x:v>17</x:v>
      </x:c>
      <x:c r="K131" s="2"/>
      <x:c r="L131" s="10" t="s">
        <x:v>302</x:v>
      </x:c>
      <x:c r="M131" s="10" t="s">
        <x:v>303</x:v>
      </x:c>
      <x:c r="N131" s="10" t="s">
        <x:v>179</x:v>
      </x:c>
    </x:row>
    <x:row r="132" ht="41.400001525878906">
      <x:c r="A132" s="2" t="s">
        <x:v>304</x:v>
      </x:c>
      <x:c r="B132" s="4">
        <x:v>41467</x:v>
      </x:c>
      <x:c r="C132" s="2"/>
      <x:c r="D132" s="2" t="s">
        <x:v>15</x:v>
      </x:c>
      <x:c r="E132" s="2" t="s">
        <x:v>177</x:v>
      </x:c>
      <x:c r="F132" s="6">
        <x:v>4</x:v>
      </x:c>
      <x:c r="G132" s="8">
        <x:v>0</x:v>
      </x:c>
      <x:c r="H132" s="6">
        <x:v>4</x:v>
      </x:c>
      <x:c r="I132" s="2" t="s">
        <x:v>47</x:v>
      </x:c>
      <x:c r="J132" s="2" t="s">
        <x:v>244</x:v>
      </x:c>
      <x:c r="K132" s="2">
        <x:v>0</x:v>
      </x:c>
      <x:c r="L132" s="10" t="s">
        <x:v>305</x:v>
      </x:c>
      <x:c r="M132" s="10" t="s">
        <x:v>306</x:v>
      </x:c>
      <x:c r="N132" s="10" t="s">
        <x:v>179</x:v>
      </x:c>
    </x:row>
    <x:row r="133" ht="41.400001525878906">
      <x:c r="A133" s="2" t="s">
        <x:v>307</x:v>
      </x:c>
      <x:c r="B133" s="4">
        <x:v>41523</x:v>
      </x:c>
      <x:c r="C133" s="2"/>
      <x:c r="D133" s="2" t="s">
        <x:v>15</x:v>
      </x:c>
      <x:c r="E133" s="2" t="s">
        <x:v>177</x:v>
      </x:c>
      <x:c r="F133" s="6">
        <x:v>4</x:v>
      </x:c>
      <x:c r="G133" s="8">
        <x:v>-25</x:v>
      </x:c>
      <x:c r="H133" s="6">
        <x:v>3.75</x:v>
      </x:c>
      <x:c r="I133" s="2" t="s">
        <x:v>199</x:v>
      </x:c>
      <x:c r="J133" s="2" t="s">
        <x:v>308</x:v>
      </x:c>
      <x:c r="K133" s="2"/>
      <x:c r="L133" s="10" t="s">
        <x:v>309</x:v>
      </x:c>
      <x:c r="M133" s="10" t="s">
        <x:v>310</x:v>
      </x:c>
      <x:c r="N133" s="10" t="s">
        <x:v>179</x:v>
      </x:c>
    </x:row>
    <x:row r="134" ht="41.400001525878906">
      <x:c r="A134" s="2" t="s">
        <x:v>311</x:v>
      </x:c>
      <x:c r="B134" s="4">
        <x:v>41572</x:v>
      </x:c>
      <x:c r="C134" s="2"/>
      <x:c r="D134" s="2" t="s">
        <x:v>15</x:v>
      </x:c>
      <x:c r="E134" s="2" t="s">
        <x:v>177</x:v>
      </x:c>
      <x:c r="F134" s="6">
        <x:v>3.75</x:v>
      </x:c>
      <x:c r="G134" s="8">
        <x:v>-25</x:v>
      </x:c>
      <x:c r="H134" s="6">
        <x:v>3.5</x:v>
      </x:c>
      <x:c r="I134" s="2" t="s">
        <x:v>199</x:v>
      </x:c>
      <x:c r="J134" s="2" t="s">
        <x:v>244</x:v>
      </x:c>
      <x:c r="K134" s="2">
        <x:v>0</x:v>
      </x:c>
      <x:c r="L134" s="10" t="s">
        <x:v>312</x:v>
      </x:c>
      <x:c r="M134" s="10" t="s">
        <x:v>313</x:v>
      </x:c>
      <x:c r="N134" s="10" t="s">
        <x:v>179</x:v>
      </x:c>
    </x:row>
    <x:row r="135" ht="41.400001525878906">
      <x:c r="A135" s="2" t="s">
        <x:v>314</x:v>
      </x:c>
      <x:c r="B135" s="4">
        <x:v>41614</x:v>
      </x:c>
      <x:c r="C135" s="2"/>
      <x:c r="D135" s="2" t="s">
        <x:v>15</x:v>
      </x:c>
      <x:c r="E135" s="2" t="s">
        <x:v>177</x:v>
      </x:c>
      <x:c r="F135" s="6">
        <x:v>3.5</x:v>
      </x:c>
      <x:c r="G135" s="8">
        <x:v>0</x:v>
      </x:c>
      <x:c r="H135" s="6">
        <x:v>3.5</x:v>
      </x:c>
      <x:c r="I135" s="2" t="s">
        <x:v>47</x:v>
      </x:c>
      <x:c r="J135" s="2" t="s">
        <x:v>244</x:v>
      </x:c>
      <x:c r="K135" s="2">
        <x:v>0</x:v>
      </x:c>
      <x:c r="L135" s="10" t="s">
        <x:v>315</x:v>
      </x:c>
      <x:c r="M135" s="10" t="s">
        <x:v>316</x:v>
      </x:c>
      <x:c r="N135" s="10" t="s">
        <x:v>179</x:v>
      </x:c>
    </x:row>
    <x:row r="136" ht="41.400001525878906">
      <x:c r="A136" s="2" t="s">
        <x:v>317</x:v>
      </x:c>
      <x:c r="B136" s="4">
        <x:v>41670</x:v>
      </x:c>
      <x:c r="C136" s="2"/>
      <x:c r="D136" s="2" t="s">
        <x:v>15</x:v>
      </x:c>
      <x:c r="E136" s="2" t="s">
        <x:v>177</x:v>
      </x:c>
      <x:c r="F136" s="6">
        <x:v>3.5</x:v>
      </x:c>
      <x:c r="G136" s="8">
        <x:v>0</x:v>
      </x:c>
      <x:c r="H136" s="6">
        <x:v>3.5</x:v>
      </x:c>
      <x:c r="I136" s="2" t="s">
        <x:v>47</x:v>
      </x:c>
      <x:c r="J136" s="2" t="s">
        <x:v>244</x:v>
      </x:c>
      <x:c r="K136" s="2">
        <x:v>0</x:v>
      </x:c>
      <x:c r="L136" s="10" t="s">
        <x:v>318</x:v>
      </x:c>
      <x:c r="M136" s="10" t="s">
        <x:v>319</x:v>
      </x:c>
      <x:c r="N136" s="10" t="s">
        <x:v>179</x:v>
      </x:c>
    </x:row>
    <x:row r="137" ht="41.400001525878906">
      <x:c r="A137" s="2" t="s">
        <x:v>320</x:v>
      </x:c>
      <x:c r="B137" s="4">
        <x:v>41719</x:v>
      </x:c>
      <x:c r="C137" s="2"/>
      <x:c r="D137" s="2" t="s">
        <x:v>15</x:v>
      </x:c>
      <x:c r="E137" s="2" t="s">
        <x:v>177</x:v>
      </x:c>
      <x:c r="F137" s="6">
        <x:v>3.5</x:v>
      </x:c>
      <x:c r="G137" s="8">
        <x:v>0</x:v>
      </x:c>
      <x:c r="H137" s="6">
        <x:v>3.5</x:v>
      </x:c>
      <x:c r="I137" s="2" t="s">
        <x:v>47</x:v>
      </x:c>
      <x:c r="J137" s="2" t="s">
        <x:v>17</x:v>
      </x:c>
      <x:c r="K137" s="2"/>
      <x:c r="L137" s="10" t="s">
        <x:v>321</x:v>
      </x:c>
      <x:c r="M137" s="10" t="s">
        <x:v>322</x:v>
      </x:c>
      <x:c r="N137" s="10" t="s">
        <x:v>179</x:v>
      </x:c>
    </x:row>
    <x:row r="138" ht="41.400001525878906">
      <x:c r="A138" s="2" t="s">
        <x:v>323</x:v>
      </x:c>
      <x:c r="B138" s="4">
        <x:v>41754</x:v>
      </x:c>
      <x:c r="C138" s="2"/>
      <x:c r="D138" s="2" t="s">
        <x:v>15</x:v>
      </x:c>
      <x:c r="E138" s="2" t="s">
        <x:v>177</x:v>
      </x:c>
      <x:c r="F138" s="6">
        <x:v>3.5</x:v>
      </x:c>
      <x:c r="G138" s="8">
        <x:v>0</x:v>
      </x:c>
      <x:c r="H138" s="6">
        <x:v>3.5</x:v>
      </x:c>
      <x:c r="I138" s="2" t="s">
        <x:v>47</x:v>
      </x:c>
      <x:c r="J138" s="2" t="s">
        <x:v>244</x:v>
      </x:c>
      <x:c r="K138" s="2">
        <x:v>0</x:v>
      </x:c>
      <x:c r="L138" s="10" t="s">
        <x:v>324</x:v>
      </x:c>
      <x:c r="M138" s="10" t="s">
        <x:v>325</x:v>
      </x:c>
      <x:c r="N138" s="10" t="s">
        <x:v>179</x:v>
      </x:c>
    </x:row>
    <x:row r="139" ht="41.400001525878906">
      <x:c r="A139" s="2" t="s">
        <x:v>326</x:v>
      </x:c>
      <x:c r="B139" s="4">
        <x:v>41796</x:v>
      </x:c>
      <x:c r="C139" s="2"/>
      <x:c r="D139" s="2" t="s">
        <x:v>15</x:v>
      </x:c>
      <x:c r="E139" s="2" t="s">
        <x:v>177</x:v>
      </x:c>
      <x:c r="F139" s="6">
        <x:v>3.5</x:v>
      </x:c>
      <x:c r="G139" s="8">
        <x:v>-50</x:v>
      </x:c>
      <x:c r="H139" s="6">
        <x:v>3</x:v>
      </x:c>
      <x:c r="I139" s="2" t="s">
        <x:v>199</x:v>
      </x:c>
      <x:c r="J139" s="2" t="s">
        <x:v>17</x:v>
      </x:c>
      <x:c r="K139" s="2"/>
      <x:c r="L139" s="10" t="s">
        <x:v>327</x:v>
      </x:c>
      <x:c r="M139" s="10" t="s">
        <x:v>328</x:v>
      </x:c>
      <x:c r="N139" s="10" t="s">
        <x:v>179</x:v>
      </x:c>
    </x:row>
    <x:row r="140" ht="41.400001525878906">
      <x:c r="A140" s="2" t="s">
        <x:v>329</x:v>
      </x:c>
      <x:c r="B140" s="4">
        <x:v>41831</x:v>
      </x:c>
      <x:c r="C140" s="2"/>
      <x:c r="D140" s="2" t="s">
        <x:v>15</x:v>
      </x:c>
      <x:c r="E140" s="2" t="s">
        <x:v>177</x:v>
      </x:c>
      <x:c r="F140" s="6">
        <x:v>3</x:v>
      </x:c>
      <x:c r="G140" s="8">
        <x:v>0</x:v>
      </x:c>
      <x:c r="H140" s="6">
        <x:v>3</x:v>
      </x:c>
      <x:c r="I140" s="2" t="s">
        <x:v>47</x:v>
      </x:c>
      <x:c r="J140" s="2" t="s">
        <x:v>244</x:v>
      </x:c>
      <x:c r="K140" s="2">
        <x:v>0</x:v>
      </x:c>
      <x:c r="L140" s="10" t="s">
        <x:v>330</x:v>
      </x:c>
      <x:c r="M140" s="10" t="s">
        <x:v>331</x:v>
      </x:c>
      <x:c r="N140" s="10" t="s">
        <x:v>179</x:v>
      </x:c>
    </x:row>
    <x:row r="141" ht="41.400001525878906">
      <x:c r="A141" s="2" t="s">
        <x:v>332</x:v>
      </x:c>
      <x:c r="B141" s="4">
        <x:v>41887</x:v>
      </x:c>
      <x:c r="C141" s="2"/>
      <x:c r="D141" s="2" t="s">
        <x:v>15</x:v>
      </x:c>
      <x:c r="E141" s="2" t="s">
        <x:v>177</x:v>
      </x:c>
      <x:c r="F141" s="6">
        <x:v>3</x:v>
      </x:c>
      <x:c r="G141" s="8">
        <x:v>0</x:v>
      </x:c>
      <x:c r="H141" s="6">
        <x:v>3</x:v>
      </x:c>
      <x:c r="I141" s="2" t="s">
        <x:v>47</x:v>
      </x:c>
      <x:c r="J141" s="2" t="s">
        <x:v>244</x:v>
      </x:c>
      <x:c r="K141" s="2">
        <x:v>0</x:v>
      </x:c>
      <x:c r="L141" s="10" t="s">
        <x:v>333</x:v>
      </x:c>
      <x:c r="M141" s="10" t="s">
        <x:v>334</x:v>
      </x:c>
      <x:c r="N141" s="10" t="s">
        <x:v>179</x:v>
      </x:c>
    </x:row>
    <x:row r="142" ht="41.400001525878906">
      <x:c r="A142" s="2" t="s">
        <x:v>335</x:v>
      </x:c>
      <x:c r="B142" s="4">
        <x:v>41943</x:v>
      </x:c>
      <x:c r="C142" s="2"/>
      <x:c r="D142" s="2" t="s">
        <x:v>15</x:v>
      </x:c>
      <x:c r="E142" s="2" t="s">
        <x:v>177</x:v>
      </x:c>
      <x:c r="F142" s="6">
        <x:v>3</x:v>
      </x:c>
      <x:c r="G142" s="8">
        <x:v>0</x:v>
      </x:c>
      <x:c r="H142" s="6">
        <x:v>3</x:v>
      </x:c>
      <x:c r="I142" s="2" t="s">
        <x:v>47</x:v>
      </x:c>
      <x:c r="J142" s="2" t="s">
        <x:v>244</x:v>
      </x:c>
      <x:c r="K142" s="2">
        <x:v>0</x:v>
      </x:c>
      <x:c r="L142" s="10" t="s">
        <x:v>336</x:v>
      </x:c>
      <x:c r="M142" s="10" t="s">
        <x:v>337</x:v>
      </x:c>
      <x:c r="N142" s="10" t="s">
        <x:v>179</x:v>
      </x:c>
    </x:row>
    <x:row r="143" ht="41.400001525878906">
      <x:c r="A143" s="2" t="s">
        <x:v>338</x:v>
      </x:c>
      <x:c r="B143" s="4">
        <x:v>41978</x:v>
      </x:c>
      <x:c r="C143" s="2"/>
      <x:c r="D143" s="2" t="s">
        <x:v>15</x:v>
      </x:c>
      <x:c r="E143" s="2" t="s">
        <x:v>177</x:v>
      </x:c>
      <x:c r="F143" s="6">
        <x:v>3</x:v>
      </x:c>
      <x:c r="G143" s="8">
        <x:v>0</x:v>
      </x:c>
      <x:c r="H143" s="6">
        <x:v>3</x:v>
      </x:c>
      <x:c r="I143" s="2" t="s">
        <x:v>47</x:v>
      </x:c>
      <x:c r="J143" s="2" t="s">
        <x:v>244</x:v>
      </x:c>
      <x:c r="K143" s="2">
        <x:v>0</x:v>
      </x:c>
      <x:c r="L143" s="10" t="s">
        <x:v>339</x:v>
      </x:c>
      <x:c r="M143" s="10" t="s">
        <x:v>340</x:v>
      </x:c>
      <x:c r="N143" s="10" t="s">
        <x:v>179</x:v>
      </x:c>
    </x:row>
    <x:row r="144" ht="41.400001525878906">
      <x:c r="A144" s="2" t="s">
        <x:v>341</x:v>
      </x:c>
      <x:c r="B144" s="4">
        <x:v>42033</x:v>
      </x:c>
      <x:c r="C144" s="2"/>
      <x:c r="D144" s="2" t="s">
        <x:v>15</x:v>
      </x:c>
      <x:c r="E144" s="2" t="s">
        <x:v>177</x:v>
      </x:c>
      <x:c r="F144" s="6">
        <x:v>3</x:v>
      </x:c>
      <x:c r="G144" s="8">
        <x:v>0</x:v>
      </x:c>
      <x:c r="H144" s="6">
        <x:v>3</x:v>
      </x:c>
      <x:c r="I144" s="2" t="s">
        <x:v>47</x:v>
      </x:c>
      <x:c r="J144" s="2" t="s">
        <x:v>244</x:v>
      </x:c>
      <x:c r="K144" s="2">
        <x:v>0</x:v>
      </x:c>
      <x:c r="L144" s="10" t="s">
        <x:v>342</x:v>
      </x:c>
      <x:c r="M144" s="10" t="s">
        <x:v>343</x:v>
      </x:c>
      <x:c r="N144" s="10" t="s">
        <x:v>179</x:v>
      </x:c>
    </x:row>
    <x:row r="145" ht="55.20000076293945">
      <x:c r="A145" s="2" t="s">
        <x:v>344</x:v>
      </x:c>
      <x:c r="B145" s="4">
        <x:v>42089</x:v>
      </x:c>
      <x:c r="C145" s="2"/>
      <x:c r="D145" s="2" t="s">
        <x:v>15</x:v>
      </x:c>
      <x:c r="E145" s="2" t="s">
        <x:v>177</x:v>
      </x:c>
      <x:c r="F145" s="6">
        <x:v>3</x:v>
      </x:c>
      <x:c r="G145" s="8">
        <x:v>0</x:v>
      </x:c>
      <x:c r="H145" s="6">
        <x:v>3</x:v>
      </x:c>
      <x:c r="I145" s="2" t="s">
        <x:v>47</x:v>
      </x:c>
      <x:c r="J145" s="2" t="s">
        <x:v>244</x:v>
      </x:c>
      <x:c r="K145" s="2">
        <x:v>0</x:v>
      </x:c>
      <x:c r="L145" s="10" t="s">
        <x:v>345</x:v>
      </x:c>
      <x:c r="M145" s="10" t="s">
        <x:v>346</x:v>
      </x:c>
      <x:c r="N145" s="10" t="s">
        <x:v>179</x:v>
      </x:c>
    </x:row>
    <x:row r="146" ht="41.400001525878906">
      <x:c r="A146" s="2" t="s">
        <x:v>347</x:v>
      </x:c>
      <x:c r="B146" s="4">
        <x:v>42124</x:v>
      </x:c>
      <x:c r="C146" s="2"/>
      <x:c r="D146" s="2" t="s">
        <x:v>15</x:v>
      </x:c>
      <x:c r="E146" s="2" t="s">
        <x:v>177</x:v>
      </x:c>
      <x:c r="F146" s="6">
        <x:v>3</x:v>
      </x:c>
      <x:c r="G146" s="8">
        <x:v>0</x:v>
      </x:c>
      <x:c r="H146" s="6">
        <x:v>3</x:v>
      </x:c>
      <x:c r="I146" s="2" t="s">
        <x:v>47</x:v>
      </x:c>
      <x:c r="J146" s="2" t="s">
        <x:v>244</x:v>
      </x:c>
      <x:c r="K146" s="2">
        <x:v>0</x:v>
      </x:c>
      <x:c r="L146" s="10" t="s">
        <x:v>348</x:v>
      </x:c>
      <x:c r="M146" s="10" t="s">
        <x:v>349</x:v>
      </x:c>
      <x:c r="N146" s="10" t="s">
        <x:v>179</x:v>
      </x:c>
    </x:row>
    <x:row r="147" ht="41.400001525878906">
      <x:c r="A147" s="2" t="s">
        <x:v>350</x:v>
      </x:c>
      <x:c r="B147" s="4">
        <x:v>42159</x:v>
      </x:c>
      <x:c r="C147" s="2"/>
      <x:c r="D147" s="2" t="s">
        <x:v>15</x:v>
      </x:c>
      <x:c r="E147" s="2" t="s">
        <x:v>177</x:v>
      </x:c>
      <x:c r="F147" s="6">
        <x:v>3</x:v>
      </x:c>
      <x:c r="G147" s="8">
        <x:v>0</x:v>
      </x:c>
      <x:c r="H147" s="6">
        <x:v>3</x:v>
      </x:c>
      <x:c r="I147" s="2" t="s">
        <x:v>47</x:v>
      </x:c>
      <x:c r="J147" s="2" t="s">
        <x:v>244</x:v>
      </x:c>
      <x:c r="K147" s="2">
        <x:v>0</x:v>
      </x:c>
      <x:c r="L147" s="10" t="s">
        <x:v>351</x:v>
      </x:c>
      <x:c r="M147" s="10" t="s">
        <x:v>352</x:v>
      </x:c>
      <x:c r="N147" s="10" t="s">
        <x:v>179</x:v>
      </x:c>
    </x:row>
    <x:row r="148" ht="41.400001525878906">
      <x:c r="A148" s="2" t="s">
        <x:v>353</x:v>
      </x:c>
      <x:c r="B148" s="4">
        <x:v>42215</x:v>
      </x:c>
      <x:c r="C148" s="2"/>
      <x:c r="D148" s="2" t="s">
        <x:v>15</x:v>
      </x:c>
      <x:c r="E148" s="2" t="s">
        <x:v>177</x:v>
      </x:c>
      <x:c r="F148" s="6">
        <x:v>3</x:v>
      </x:c>
      <x:c r="G148" s="8">
        <x:v>0</x:v>
      </x:c>
      <x:c r="H148" s="6">
        <x:v>3</x:v>
      </x:c>
      <x:c r="I148" s="2" t="s">
        <x:v>47</x:v>
      </x:c>
      <x:c r="J148" s="2" t="s">
        <x:v>17</x:v>
      </x:c>
      <x:c r="K148" s="2"/>
      <x:c r="L148" s="10" t="s">
        <x:v>354</x:v>
      </x:c>
      <x:c r="M148" s="10" t="s">
        <x:v>355</x:v>
      </x:c>
      <x:c r="N148" s="10" t="s">
        <x:v>179</x:v>
      </x:c>
    </x:row>
    <x:row r="149" ht="41.400001525878906">
      <x:c r="A149" s="2" t="s">
        <x:v>356</x:v>
      </x:c>
      <x:c r="B149" s="4">
        <x:v>42268</x:v>
      </x:c>
      <x:c r="C149" s="2"/>
      <x:c r="D149" s="2" t="s">
        <x:v>15</x:v>
      </x:c>
      <x:c r="E149" s="2" t="s">
        <x:v>177</x:v>
      </x:c>
      <x:c r="F149" s="6">
        <x:v>3</x:v>
      </x:c>
      <x:c r="G149" s="8">
        <x:v>0</x:v>
      </x:c>
      <x:c r="H149" s="6">
        <x:v>3</x:v>
      </x:c>
      <x:c r="I149" s="2" t="s">
        <x:v>47</x:v>
      </x:c>
      <x:c r="J149" s="2" t="s">
        <x:v>244</x:v>
      </x:c>
      <x:c r="K149" s="2">
        <x:v>0</x:v>
      </x:c>
      <x:c r="L149" s="10" t="s">
        <x:v>357</x:v>
      </x:c>
      <x:c r="M149" s="10" t="s">
        <x:v>358</x:v>
      </x:c>
      <x:c r="N149" s="10" t="s">
        <x:v>179</x:v>
      </x:c>
    </x:row>
    <x:row r="150" ht="41.400001525878906">
      <x:c r="A150" s="2" t="s">
        <x:v>359</x:v>
      </x:c>
      <x:c r="B150" s="4">
        <x:v>42306</x:v>
      </x:c>
      <x:c r="C150" s="2"/>
      <x:c r="D150" s="2" t="s">
        <x:v>15</x:v>
      </x:c>
      <x:c r="E150" s="2" t="s">
        <x:v>177</x:v>
      </x:c>
      <x:c r="F150" s="6">
        <x:v>3</x:v>
      </x:c>
      <x:c r="G150" s="8">
        <x:v>0</x:v>
      </x:c>
      <x:c r="H150" s="6">
        <x:v>3</x:v>
      </x:c>
      <x:c r="I150" s="2" t="s">
        <x:v>47</x:v>
      </x:c>
      <x:c r="J150" s="2" t="s">
        <x:v>244</x:v>
      </x:c>
      <x:c r="K150" s="2">
        <x:v>0</x:v>
      </x:c>
      <x:c r="L150" s="10" t="s">
        <x:v>360</x:v>
      </x:c>
      <x:c r="M150" s="10" t="s">
        <x:v>361</x:v>
      </x:c>
      <x:c r="N150" s="10" t="s">
        <x:v>179</x:v>
      </x:c>
    </x:row>
    <x:row r="151" ht="41.400001525878906">
      <x:c r="A151" s="2" t="s">
        <x:v>362</x:v>
      </x:c>
      <x:c r="B151" s="4">
        <x:v>42355</x:v>
      </x:c>
      <x:c r="C151" s="2"/>
      <x:c r="D151" s="2" t="s">
        <x:v>15</x:v>
      </x:c>
      <x:c r="E151" s="2" t="s">
        <x:v>177</x:v>
      </x:c>
      <x:c r="F151" s="6">
        <x:v>3</x:v>
      </x:c>
      <x:c r="G151" s="8">
        <x:v>25</x:v>
      </x:c>
      <x:c r="H151" s="6">
        <x:v>3.25</x:v>
      </x:c>
      <x:c r="I151" s="2" t="s">
        <x:v>156</x:v>
      </x:c>
      <x:c r="J151" s="2" t="s">
        <x:v>244</x:v>
      </x:c>
      <x:c r="K151" s="2">
        <x:v>0</x:v>
      </x:c>
      <x:c r="L151" s="10" t="s">
        <x:v>363</x:v>
      </x:c>
      <x:c r="M151" s="10" t="s">
        <x:v>364</x:v>
      </x:c>
      <x:c r="N151" s="10" t="s">
        <x:v>179</x:v>
      </x:c>
    </x:row>
    <x:row r="152" ht="41.400001525878906">
      <x:c r="A152" s="2" t="s">
        <x:v>365</x:v>
      </x:c>
      <x:c r="B152" s="4">
        <x:v>42404</x:v>
      </x:c>
      <x:c r="C152" s="2"/>
      <x:c r="D152" s="2" t="s">
        <x:v>15</x:v>
      </x:c>
      <x:c r="E152" s="2" t="s">
        <x:v>177</x:v>
      </x:c>
      <x:c r="F152" s="6">
        <x:v>3.25</x:v>
      </x:c>
      <x:c r="G152" s="8">
        <x:v>0</x:v>
      </x:c>
      <x:c r="H152" s="6">
        <x:v>3.25</x:v>
      </x:c>
      <x:c r="I152" s="2" t="s">
        <x:v>47</x:v>
      </x:c>
      <x:c r="J152" s="2" t="s">
        <x:v>244</x:v>
      </x:c>
      <x:c r="K152" s="2">
        <x:v>0</x:v>
      </x:c>
      <x:c r="L152" s="10" t="s">
        <x:v>366</x:v>
      </x:c>
      <x:c r="M152" s="10" t="s">
        <x:v>367</x:v>
      </x:c>
      <x:c r="N152" s="10" t="s">
        <x:v>179</x:v>
      </x:c>
    </x:row>
    <x:row r="153" ht="41.400001525878906">
      <x:c r="A153" s="2" t="s">
        <x:v>368</x:v>
      </x:c>
      <x:c r="B153" s="4">
        <x:v>42417</x:v>
      </x:c>
      <x:c r="C153" s="2"/>
      <x:c r="D153" s="2" t="s">
        <x:v>369</x:v>
      </x:c>
      <x:c r="E153" s="2" t="s">
        <x:v>177</x:v>
      </x:c>
      <x:c r="F153" s="6">
        <x:v>3.25</x:v>
      </x:c>
      <x:c r="G153" s="8">
        <x:v>50</x:v>
      </x:c>
      <x:c r="H153" s="6">
        <x:v>3.75</x:v>
      </x:c>
      <x:c r="I153" s="2" t="s">
        <x:v>156</x:v>
      </x:c>
      <x:c r="J153" s="2" t="s">
        <x:v>17</x:v>
      </x:c>
      <x:c r="K153" s="2"/>
      <x:c r="L153" s="10" t="s">
        <x:v>370</x:v>
      </x:c>
      <x:c r="M153" s="10"/>
      <x:c r="N153" s="10" t="s">
        <x:v>179</x:v>
      </x:c>
    </x:row>
    <x:row r="154" ht="41.400001525878906">
      <x:c r="A154" s="2" t="s">
        <x:v>371</x:v>
      </x:c>
      <x:c r="B154" s="4">
        <x:v>42447</x:v>
      </x:c>
      <x:c r="C154" s="2"/>
      <x:c r="D154" s="2" t="s">
        <x:v>15</x:v>
      </x:c>
      <x:c r="E154" s="2" t="s">
        <x:v>177</x:v>
      </x:c>
      <x:c r="F154" s="6">
        <x:v>3.75</x:v>
      </x:c>
      <x:c r="G154" s="8">
        <x:v>0</x:v>
      </x:c>
      <x:c r="H154" s="6">
        <x:v>3.75</x:v>
      </x:c>
      <x:c r="I154" s="2" t="s">
        <x:v>47</x:v>
      </x:c>
      <x:c r="J154" s="2" t="s">
        <x:v>244</x:v>
      </x:c>
      <x:c r="K154" s="2">
        <x:v>0</x:v>
      </x:c>
      <x:c r="L154" s="10" t="s">
        <x:v>372</x:v>
      </x:c>
      <x:c r="M154" s="10" t="s">
        <x:v>373</x:v>
      </x:c>
      <x:c r="N154" s="10" t="s">
        <x:v>179</x:v>
      </x:c>
    </x:row>
    <x:row r="155" ht="41.400001525878906">
      <x:c r="A155" s="2" t="s">
        <x:v>374</x:v>
      </x:c>
      <x:c r="B155" s="4">
        <x:v>42495</x:v>
      </x:c>
      <x:c r="C155" s="2"/>
      <x:c r="D155" s="2" t="s">
        <x:v>15</x:v>
      </x:c>
      <x:c r="E155" s="2" t="s">
        <x:v>177</x:v>
      </x:c>
      <x:c r="F155" s="6">
        <x:v>3.75</x:v>
      </x:c>
      <x:c r="G155" s="8">
        <x:v>0</x:v>
      </x:c>
      <x:c r="H155" s="6">
        <x:v>3.75</x:v>
      </x:c>
      <x:c r="I155" s="2" t="s">
        <x:v>47</x:v>
      </x:c>
      <x:c r="J155" s="2" t="s">
        <x:v>244</x:v>
      </x:c>
      <x:c r="K155" s="2">
        <x:v>0</x:v>
      </x:c>
      <x:c r="L155" s="10" t="s">
        <x:v>375</x:v>
      </x:c>
      <x:c r="M155" s="10" t="s">
        <x:v>376</x:v>
      </x:c>
      <x:c r="N155" s="10" t="s">
        <x:v>179</x:v>
      </x:c>
    </x:row>
    <x:row r="156" ht="41.400001525878906">
      <x:c r="A156" s="2" t="s">
        <x:v>377</x:v>
      </x:c>
      <x:c r="B156" s="4">
        <x:v>42551</x:v>
      </x:c>
      <x:c r="C156" s="2"/>
      <x:c r="D156" s="2" t="s">
        <x:v>15</x:v>
      </x:c>
      <x:c r="E156" s="2" t="s">
        <x:v>177</x:v>
      </x:c>
      <x:c r="F156" s="6">
        <x:v>3.75</x:v>
      </x:c>
      <x:c r="G156" s="8">
        <x:v>50</x:v>
      </x:c>
      <x:c r="H156" s="6">
        <x:v>4.25</x:v>
      </x:c>
      <x:c r="I156" s="2" t="s">
        <x:v>156</x:v>
      </x:c>
      <x:c r="J156" s="2" t="s">
        <x:v>244</x:v>
      </x:c>
      <x:c r="K156" s="2">
        <x:v>0</x:v>
      </x:c>
      <x:c r="L156" s="10" t="s">
        <x:v>378</x:v>
      </x:c>
      <x:c r="M156" s="10" t="s">
        <x:v>379</x:v>
      </x:c>
      <x:c r="N156" s="10" t="s">
        <x:v>179</x:v>
      </x:c>
    </x:row>
    <x:row r="157" ht="41.400001525878906">
      <x:c r="A157" s="2" t="s">
        <x:v>380</x:v>
      </x:c>
      <x:c r="B157" s="4">
        <x:v>42593</x:v>
      </x:c>
      <x:c r="C157" s="2"/>
      <x:c r="D157" s="2" t="s">
        <x:v>15</x:v>
      </x:c>
      <x:c r="E157" s="2" t="s">
        <x:v>177</x:v>
      </x:c>
      <x:c r="F157" s="6">
        <x:v>4.25</x:v>
      </x:c>
      <x:c r="G157" s="8">
        <x:v>0</x:v>
      </x:c>
      <x:c r="H157" s="6">
        <x:v>4.25</x:v>
      </x:c>
      <x:c r="I157" s="2" t="s">
        <x:v>47</x:v>
      </x:c>
      <x:c r="J157" s="2" t="s">
        <x:v>244</x:v>
      </x:c>
      <x:c r="K157" s="2">
        <x:v>0</x:v>
      </x:c>
      <x:c r="L157" s="10" t="s">
        <x:v>381</x:v>
      </x:c>
      <x:c r="M157" s="10" t="s">
        <x:v>382</x:v>
      </x:c>
      <x:c r="N157" s="10" t="s">
        <x:v>179</x:v>
      </x:c>
    </x:row>
    <x:row r="158" ht="41.400001525878906">
      <x:c r="A158" s="2" t="s">
        <x:v>383</x:v>
      </x:c>
      <x:c r="B158" s="4">
        <x:v>42642</x:v>
      </x:c>
      <x:c r="C158" s="2"/>
      <x:c r="D158" s="2" t="s">
        <x:v>15</x:v>
      </x:c>
      <x:c r="E158" s="2" t="s">
        <x:v>177</x:v>
      </x:c>
      <x:c r="F158" s="6">
        <x:v>4.25</x:v>
      </x:c>
      <x:c r="G158" s="8">
        <x:v>50</x:v>
      </x:c>
      <x:c r="H158" s="6">
        <x:v>4.75</x:v>
      </x:c>
      <x:c r="I158" s="2" t="s">
        <x:v>156</x:v>
      </x:c>
      <x:c r="J158" s="2" t="s">
        <x:v>244</x:v>
      </x:c>
      <x:c r="K158" s="2">
        <x:v>0</x:v>
      </x:c>
      <x:c r="L158" s="10" t="s">
        <x:v>384</x:v>
      </x:c>
      <x:c r="M158" s="10" t="s">
        <x:v>385</x:v>
      </x:c>
      <x:c r="N158" s="10" t="s">
        <x:v>179</x:v>
      </x:c>
    </x:row>
    <x:row r="159" ht="41.400001525878906">
      <x:c r="A159" s="2" t="s">
        <x:v>386</x:v>
      </x:c>
      <x:c r="B159" s="4">
        <x:v>42691</x:v>
      </x:c>
      <x:c r="C159" s="2"/>
      <x:c r="D159" s="2" t="s">
        <x:v>15</x:v>
      </x:c>
      <x:c r="E159" s="2" t="s">
        <x:v>177</x:v>
      </x:c>
      <x:c r="F159" s="6">
        <x:v>4.75</x:v>
      </x:c>
      <x:c r="G159" s="8">
        <x:v>50</x:v>
      </x:c>
      <x:c r="H159" s="6">
        <x:v>5.25</x:v>
      </x:c>
      <x:c r="I159" s="2" t="s">
        <x:v>156</x:v>
      </x:c>
      <x:c r="J159" s="2" t="s">
        <x:v>244</x:v>
      </x:c>
      <x:c r="K159" s="2">
        <x:v>0</x:v>
      </x:c>
      <x:c r="L159" s="10" t="s">
        <x:v>387</x:v>
      </x:c>
      <x:c r="M159" s="10" t="s">
        <x:v>388</x:v>
      </x:c>
      <x:c r="N159" s="10" t="s">
        <x:v>179</x:v>
      </x:c>
    </x:row>
    <x:row r="160" ht="41.400001525878906">
      <x:c r="A160" s="2" t="s">
        <x:v>389</x:v>
      </x:c>
      <x:c r="B160" s="4">
        <x:v>42719</x:v>
      </x:c>
      <x:c r="C160" s="2"/>
      <x:c r="D160" s="2" t="s">
        <x:v>15</x:v>
      </x:c>
      <x:c r="E160" s="2" t="s">
        <x:v>177</x:v>
      </x:c>
      <x:c r="F160" s="6">
        <x:v>5.25</x:v>
      </x:c>
      <x:c r="G160" s="8">
        <x:v>50</x:v>
      </x:c>
      <x:c r="H160" s="6">
        <x:v>5.75</x:v>
      </x:c>
      <x:c r="I160" s="2" t="s">
        <x:v>156</x:v>
      </x:c>
      <x:c r="J160" s="2" t="s">
        <x:v>17</x:v>
      </x:c>
      <x:c r="K160" s="2"/>
      <x:c r="L160" s="10" t="s">
        <x:v>390</x:v>
      </x:c>
      <x:c r="M160" s="10" t="s">
        <x:v>391</x:v>
      </x:c>
      <x:c r="N160" s="10" t="s">
        <x:v>179</x:v>
      </x:c>
    </x:row>
    <x:row r="161" ht="41.400001525878906">
      <x:c r="A161" s="2" t="s">
        <x:v>392</x:v>
      </x:c>
      <x:c r="B161" s="4">
        <x:v>42775</x:v>
      </x:c>
      <x:c r="C161" s="2"/>
      <x:c r="D161" s="2" t="s">
        <x:v>15</x:v>
      </x:c>
      <x:c r="E161" s="2" t="s">
        <x:v>177</x:v>
      </x:c>
      <x:c r="F161" s="6">
        <x:v>5.75</x:v>
      </x:c>
      <x:c r="G161" s="8">
        <x:v>50</x:v>
      </x:c>
      <x:c r="H161" s="6">
        <x:v>6.25</x:v>
      </x:c>
      <x:c r="I161" s="2" t="s">
        <x:v>156</x:v>
      </x:c>
      <x:c r="J161" s="2" t="s">
        <x:v>244</x:v>
      </x:c>
      <x:c r="K161" s="2">
        <x:v>0</x:v>
      </x:c>
      <x:c r="L161" s="10" t="s">
        <x:v>393</x:v>
      </x:c>
      <x:c r="M161" s="10" t="s">
        <x:v>394</x:v>
      </x:c>
      <x:c r="N161" s="10" t="s">
        <x:v>179</x:v>
      </x:c>
    </x:row>
    <x:row r="162" ht="41.400001525878906">
      <x:c r="A162" s="2" t="s">
        <x:v>395</x:v>
      </x:c>
      <x:c r="B162" s="4">
        <x:v>42824</x:v>
      </x:c>
      <x:c r="C162" s="2"/>
      <x:c r="D162" s="2" t="s">
        <x:v>15</x:v>
      </x:c>
      <x:c r="E162" s="2" t="s">
        <x:v>177</x:v>
      </x:c>
      <x:c r="F162" s="6">
        <x:v>6.25</x:v>
      </x:c>
      <x:c r="G162" s="8">
        <x:v>25</x:v>
      </x:c>
      <x:c r="H162" s="6">
        <x:v>6.5</x:v>
      </x:c>
      <x:c r="I162" s="2" t="s">
        <x:v>156</x:v>
      </x:c>
      <x:c r="J162" s="2" t="s">
        <x:v>244</x:v>
      </x:c>
      <x:c r="K162" s="2">
        <x:v>0</x:v>
      </x:c>
      <x:c r="L162" s="10" t="s">
        <x:v>396</x:v>
      </x:c>
      <x:c r="M162" s="10" t="s">
        <x:v>397</x:v>
      </x:c>
      <x:c r="N162" s="10" t="s">
        <x:v>179</x:v>
      </x:c>
    </x:row>
    <x:row r="163" ht="55.20000076293945">
      <x:c r="A163" s="2" t="s">
        <x:v>398</x:v>
      </x:c>
      <x:c r="B163" s="4">
        <x:v>42873</x:v>
      </x:c>
      <x:c r="C163" s="2"/>
      <x:c r="D163" s="2" t="s">
        <x:v>15</x:v>
      </x:c>
      <x:c r="E163" s="2" t="s">
        <x:v>177</x:v>
      </x:c>
      <x:c r="F163" s="6">
        <x:v>6.5</x:v>
      </x:c>
      <x:c r="G163" s="8">
        <x:v>25</x:v>
      </x:c>
      <x:c r="H163" s="6">
        <x:v>6.75</x:v>
      </x:c>
      <x:c r="I163" s="2" t="s">
        <x:v>156</x:v>
      </x:c>
      <x:c r="J163" s="2" t="s">
        <x:v>17</x:v>
      </x:c>
      <x:c r="K163" s="2"/>
      <x:c r="L163" s="10" t="s">
        <x:v>399</x:v>
      </x:c>
      <x:c r="M163" s="10" t="s">
        <x:v>400</x:v>
      </x:c>
      <x:c r="N163" s="10" t="s">
        <x:v>179</x:v>
      </x:c>
    </x:row>
    <x:row r="164" ht="41.400001525878906">
      <x:c r="A164" s="2" t="s">
        <x:v>401</x:v>
      </x:c>
      <x:c r="B164" s="4">
        <x:v>42908</x:v>
      </x:c>
      <x:c r="C164" s="2"/>
      <x:c r="D164" s="2" t="s">
        <x:v>15</x:v>
      </x:c>
      <x:c r="E164" s="2" t="s">
        <x:v>177</x:v>
      </x:c>
      <x:c r="F164" s="6">
        <x:v>6.75</x:v>
      </x:c>
      <x:c r="G164" s="8">
        <x:v>25</x:v>
      </x:c>
      <x:c r="H164" s="6">
        <x:v>7</x:v>
      </x:c>
      <x:c r="I164" s="2" t="s">
        <x:v>156</x:v>
      </x:c>
      <x:c r="J164" s="2" t="s">
        <x:v>17</x:v>
      </x:c>
      <x:c r="K164" s="2"/>
      <x:c r="L164" s="10" t="s">
        <x:v>402</x:v>
      </x:c>
      <x:c r="M164" s="10" t="s">
        <x:v>403</x:v>
      </x:c>
      <x:c r="N164" s="10" t="s">
        <x:v>179</x:v>
      </x:c>
    </x:row>
    <x:row r="165" ht="41.400001525878906">
      <x:c r="A165" s="2" t="s">
        <x:v>404</x:v>
      </x:c>
      <x:c r="B165" s="4">
        <x:v>42957</x:v>
      </x:c>
      <x:c r="C165" s="2"/>
      <x:c r="D165" s="2" t="s">
        <x:v>15</x:v>
      </x:c>
      <x:c r="E165" s="2" t="s">
        <x:v>177</x:v>
      </x:c>
      <x:c r="F165" s="6">
        <x:v>7</x:v>
      </x:c>
      <x:c r="G165" s="8">
        <x:v>0</x:v>
      </x:c>
      <x:c r="H165" s="6">
        <x:v>7</x:v>
      </x:c>
      <x:c r="I165" s="2" t="s">
        <x:v>47</x:v>
      </x:c>
      <x:c r="J165" s="2" t="s">
        <x:v>244</x:v>
      </x:c>
      <x:c r="K165" s="2">
        <x:v>0</x:v>
      </x:c>
      <x:c r="L165" s="10" t="s">
        <x:v>405</x:v>
      </x:c>
      <x:c r="M165" s="10" t="s">
        <x:v>406</x:v>
      </x:c>
      <x:c r="N165" s="10" t="s">
        <x:v>179</x:v>
      </x:c>
    </x:row>
    <x:row r="166" ht="55.20000076293945">
      <x:c r="A166" s="2" t="s">
        <x:v>407</x:v>
      </x:c>
      <x:c r="B166" s="4">
        <x:v>43006</x:v>
      </x:c>
      <x:c r="C166" s="2"/>
      <x:c r="D166" s="2" t="s">
        <x:v>15</x:v>
      </x:c>
      <x:c r="E166" s="2" t="s">
        <x:v>177</x:v>
      </x:c>
      <x:c r="F166" s="6">
        <x:v>7</x:v>
      </x:c>
      <x:c r="G166" s="8">
        <x:v>0</x:v>
      </x:c>
      <x:c r="H166" s="6">
        <x:v>7</x:v>
      </x:c>
      <x:c r="I166" s="2" t="s">
        <x:v>47</x:v>
      </x:c>
      <x:c r="J166" s="2" t="s">
        <x:v>17</x:v>
      </x:c>
      <x:c r="K166" s="2"/>
      <x:c r="L166" s="10" t="s">
        <x:v>408</x:v>
      </x:c>
      <x:c r="M166" s="10" t="s">
        <x:v>409</x:v>
      </x:c>
      <x:c r="N166" s="10" t="s">
        <x:v>179</x:v>
      </x:c>
    </x:row>
    <x:row r="167" ht="55.20000076293945">
      <x:c r="A167" s="2" t="s">
        <x:v>410</x:v>
      </x:c>
      <x:c r="B167" s="4">
        <x:v>43048</x:v>
      </x:c>
      <x:c r="C167" s="2"/>
      <x:c r="D167" s="2" t="s">
        <x:v>15</x:v>
      </x:c>
      <x:c r="E167" s="2" t="s">
        <x:v>177</x:v>
      </x:c>
      <x:c r="F167" s="6">
        <x:v>7</x:v>
      </x:c>
      <x:c r="G167" s="8">
        <x:v>0</x:v>
      </x:c>
      <x:c r="H167" s="6">
        <x:v>7</x:v>
      </x:c>
      <x:c r="I167" s="2" t="s">
        <x:v>47</x:v>
      </x:c>
      <x:c r="J167" s="2" t="s">
        <x:v>17</x:v>
      </x:c>
      <x:c r="K167" s="2"/>
      <x:c r="L167" s="10" t="s">
        <x:v>411</x:v>
      </x:c>
      <x:c r="M167" s="10" t="s">
        <x:v>412</x:v>
      </x:c>
      <x:c r="N167" s="10" t="s">
        <x:v>179</x:v>
      </x:c>
    </x:row>
    <x:row r="168" ht="41.400001525878906">
      <x:c r="A168" s="2" t="s">
        <x:v>413</x:v>
      </x:c>
      <x:c r="B168" s="4">
        <x:v>43083</x:v>
      </x:c>
      <x:c r="C168" s="2"/>
      <x:c r="D168" s="2" t="s">
        <x:v>15</x:v>
      </x:c>
      <x:c r="E168" s="2" t="s">
        <x:v>177</x:v>
      </x:c>
      <x:c r="F168" s="6">
        <x:v>7</x:v>
      </x:c>
      <x:c r="G168" s="8">
        <x:v>25</x:v>
      </x:c>
      <x:c r="H168" s="6">
        <x:v>7.25</x:v>
      </x:c>
      <x:c r="I168" s="2" t="s">
        <x:v>156</x:v>
      </x:c>
      <x:c r="J168" s="2" t="s">
        <x:v>17</x:v>
      </x:c>
      <x:c r="K168" s="2"/>
      <x:c r="L168" s="10" t="s">
        <x:v>414</x:v>
      </x:c>
      <x:c r="M168" s="10" t="s">
        <x:v>415</x:v>
      </x:c>
      <x:c r="N168" s="10" t="s">
        <x:v>179</x:v>
      </x:c>
    </x:row>
    <x:row r="169" ht="41.400001525878906">
      <x:c r="A169" s="2" t="s">
        <x:v>416</x:v>
      </x:c>
      <x:c r="B169" s="4">
        <x:v>43139</x:v>
      </x:c>
      <x:c r="C169" s="2"/>
      <x:c r="D169" s="2" t="s">
        <x:v>15</x:v>
      </x:c>
      <x:c r="E169" s="2" t="s">
        <x:v>177</x:v>
      </x:c>
      <x:c r="F169" s="6">
        <x:v>7.25</x:v>
      </x:c>
      <x:c r="G169" s="8">
        <x:v>25</x:v>
      </x:c>
      <x:c r="H169" s="6">
        <x:v>7.5</x:v>
      </x:c>
      <x:c r="I169" s="2" t="s">
        <x:v>156</x:v>
      </x:c>
      <x:c r="J169" s="2" t="s">
        <x:v>244</x:v>
      </x:c>
      <x:c r="K169" s="2">
        <x:v>0</x:v>
      </x:c>
      <x:c r="L169" s="10" t="s">
        <x:v>417</x:v>
      </x:c>
      <x:c r="M169" s="10" t="s">
        <x:v>418</x:v>
      </x:c>
      <x:c r="N169" s="10" t="s">
        <x:v>179</x:v>
      </x:c>
    </x:row>
    <x:row r="170" ht="55.20000076293945">
      <x:c r="A170" s="2" t="s">
        <x:v>419</x:v>
      </x:c>
      <x:c r="B170" s="4">
        <x:v>43202</x:v>
      </x:c>
      <x:c r="C170" s="2"/>
      <x:c r="D170" s="2" t="s">
        <x:v>15</x:v>
      </x:c>
      <x:c r="E170" s="2" t="s">
        <x:v>177</x:v>
      </x:c>
      <x:c r="F170" s="6">
        <x:v>7.5</x:v>
      </x:c>
      <x:c r="G170" s="8">
        <x:v>0</x:v>
      </x:c>
      <x:c r="H170" s="6">
        <x:v>7.5</x:v>
      </x:c>
      <x:c r="I170" s="2" t="s">
        <x:v>47</x:v>
      </x:c>
      <x:c r="J170" s="2" t="s">
        <x:v>17</x:v>
      </x:c>
      <x:c r="K170" s="2"/>
      <x:c r="L170" s="10" t="s">
        <x:v>420</x:v>
      </x:c>
      <x:c r="M170" s="10" t="s">
        <x:v>421</x:v>
      </x:c>
      <x:c r="N170" s="10" t="s">
        <x:v>179</x:v>
      </x:c>
    </x:row>
    <x:row r="171" ht="41.400001525878906">
      <x:c r="A171" s="2" t="s">
        <x:v>422</x:v>
      </x:c>
      <x:c r="B171" s="4">
        <x:v>43237</x:v>
      </x:c>
      <x:c r="C171" s="2"/>
      <x:c r="D171" s="2" t="s">
        <x:v>15</x:v>
      </x:c>
      <x:c r="E171" s="2" t="s">
        <x:v>177</x:v>
      </x:c>
      <x:c r="F171" s="6">
        <x:v>7.5</x:v>
      </x:c>
      <x:c r="G171" s="8">
        <x:v>0</x:v>
      </x:c>
      <x:c r="H171" s="6">
        <x:v>7.5</x:v>
      </x:c>
      <x:c r="I171" s="2" t="s">
        <x:v>47</x:v>
      </x:c>
      <x:c r="J171" s="2" t="s">
        <x:v>244</x:v>
      </x:c>
      <x:c r="K171" s="2"/>
      <x:c r="L171" s="10" t="s">
        <x:v>423</x:v>
      </x:c>
      <x:c r="M171" s="10" t="s">
        <x:v>424</x:v>
      </x:c>
      <x:c r="N171" s="10" t="s">
        <x:v>179</x:v>
      </x:c>
    </x:row>
    <x:row r="172" ht="41.400001525878906">
      <x:c r="A172" s="2" t="s">
        <x:v>425</x:v>
      </x:c>
      <x:c r="B172" s="4">
        <x:v>43272</x:v>
      </x:c>
      <x:c r="C172" s="2"/>
      <x:c r="D172" s="2" t="s">
        <x:v>15</x:v>
      </x:c>
      <x:c r="E172" s="2" t="s">
        <x:v>177</x:v>
      </x:c>
      <x:c r="F172" s="6">
        <x:v>7.5</x:v>
      </x:c>
      <x:c r="G172" s="8">
        <x:v>25</x:v>
      </x:c>
      <x:c r="H172" s="6">
        <x:v>7.75</x:v>
      </x:c>
      <x:c r="I172" s="2" t="s">
        <x:v>156</x:v>
      </x:c>
      <x:c r="J172" s="2" t="s">
        <x:v>244</x:v>
      </x:c>
      <x:c r="K172" s="2"/>
      <x:c r="L172" s="10" t="s">
        <x:v>426</x:v>
      </x:c>
      <x:c r="M172" s="10" t="s">
        <x:v>427</x:v>
      </x:c>
      <x:c r="N172" s="10" t="s">
        <x:v>179</x:v>
      </x:c>
    </x:row>
    <x:row r="173" ht="41.400001525878906">
      <x:c r="A173" s="2" t="s">
        <x:v>428</x:v>
      </x:c>
      <x:c r="B173" s="4">
        <x:v>43314</x:v>
      </x:c>
      <x:c r="C173" s="2"/>
      <x:c r="D173" s="2" t="s">
        <x:v>15</x:v>
      </x:c>
      <x:c r="E173" s="2" t="s">
        <x:v>177</x:v>
      </x:c>
      <x:c r="F173" s="6">
        <x:v>7.75</x:v>
      </x:c>
      <x:c r="G173" s="8">
        <x:v>0</x:v>
      </x:c>
      <x:c r="H173" s="6">
        <x:v>7.75</x:v>
      </x:c>
      <x:c r="I173" s="2" t="s">
        <x:v>47</x:v>
      </x:c>
      <x:c r="J173" s="2" t="s">
        <x:v>244</x:v>
      </x:c>
      <x:c r="K173" s="2"/>
      <x:c r="L173" s="10" t="s">
        <x:v>429</x:v>
      </x:c>
      <x:c r="M173" s="10" t="s">
        <x:v>430</x:v>
      </x:c>
      <x:c r="N173" s="10" t="s">
        <x:v>179</x:v>
      </x:c>
    </x:row>
    <x:row r="174" ht="41.400001525878906">
      <x:c r="A174" s="2" t="s">
        <x:v>431</x:v>
      </x:c>
      <x:c r="B174" s="4">
        <x:v>43377</x:v>
      </x:c>
      <x:c r="C174" s="2"/>
      <x:c r="D174" s="2" t="s">
        <x:v>15</x:v>
      </x:c>
      <x:c r="E174" s="2" t="s">
        <x:v>177</x:v>
      </x:c>
      <x:c r="F174" s="6">
        <x:v>7.75</x:v>
      </x:c>
      <x:c r="G174" s="8">
        <x:v>0</x:v>
      </x:c>
      <x:c r="H174" s="6">
        <x:v>7.75</x:v>
      </x:c>
      <x:c r="I174" s="2" t="s">
        <x:v>47</x:v>
      </x:c>
      <x:c r="J174" s="2" t="s">
        <x:v>308</x:v>
      </x:c>
      <x:c r="K174" s="2">
        <x:v>1</x:v>
      </x:c>
      <x:c r="L174" s="10" t="s">
        <x:v>432</x:v>
      </x:c>
      <x:c r="M174" s="10" t="s">
        <x:v>433</x:v>
      </x:c>
      <x:c r="N174" s="10" t="s">
        <x:v>179</x:v>
      </x:c>
    </x:row>
    <x:row r="175" ht="41.400001525878906">
      <x:c r="A175" s="2" t="s">
        <x:v>434</x:v>
      </x:c>
      <x:c r="B175" s="4">
        <x:v>43419</x:v>
      </x:c>
      <x:c r="C175" s="2"/>
      <x:c r="D175" s="2" t="s">
        <x:v>15</x:v>
      </x:c>
      <x:c r="E175" s="2" t="s">
        <x:v>177</x:v>
      </x:c>
      <x:c r="F175" s="6">
        <x:v>7.75</x:v>
      </x:c>
      <x:c r="G175" s="8">
        <x:v>25</x:v>
      </x:c>
      <x:c r="H175" s="6">
        <x:v>8</x:v>
      </x:c>
      <x:c r="I175" s="2" t="s">
        <x:v>156</x:v>
      </x:c>
      <x:c r="J175" s="2" t="s">
        <x:v>308</x:v>
      </x:c>
      <x:c r="K175" s="2">
        <x:v>1</x:v>
      </x:c>
      <x:c r="L175" s="10" t="s">
        <x:v>435</x:v>
      </x:c>
      <x:c r="M175" s="10" t="s">
        <x:v>436</x:v>
      </x:c>
      <x:c r="N175" s="10" t="s">
        <x:v>179</x:v>
      </x:c>
    </x:row>
    <x:row r="176" ht="41.400001525878906">
      <x:c r="A176" s="2" t="s">
        <x:v>437</x:v>
      </x:c>
      <x:c r="B176" s="4">
        <x:v>43454</x:v>
      </x:c>
      <x:c r="C176" s="2"/>
      <x:c r="D176" s="2" t="s">
        <x:v>15</x:v>
      </x:c>
      <x:c r="E176" s="2" t="s">
        <x:v>177</x:v>
      </x:c>
      <x:c r="F176" s="6">
        <x:v>8</x:v>
      </x:c>
      <x:c r="G176" s="8">
        <x:v>25</x:v>
      </x:c>
      <x:c r="H176" s="6">
        <x:v>8.25</x:v>
      </x:c>
      <x:c r="I176" s="2" t="s">
        <x:v>156</x:v>
      </x:c>
      <x:c r="J176" s="2" t="s">
        <x:v>244</x:v>
      </x:c>
      <x:c r="K176" s="2"/>
      <x:c r="L176" s="10" t="s">
        <x:v>438</x:v>
      </x:c>
      <x:c r="M176" s="10" t="s">
        <x:v>439</x:v>
      </x:c>
      <x:c r="N176" s="10" t="s">
        <x:v>179</x:v>
      </x:c>
    </x:row>
    <x:row r="177" ht="41.400001525878906">
      <x:c r="A177" s="2" t="s">
        <x:v>440</x:v>
      </x:c>
      <x:c r="B177" s="4">
        <x:v>43503</x:v>
      </x:c>
      <x:c r="C177" s="2"/>
      <x:c r="D177" s="2" t="s">
        <x:v>15</x:v>
      </x:c>
      <x:c r="E177" s="2" t="s">
        <x:v>177</x:v>
      </x:c>
      <x:c r="F177" s="6">
        <x:v>8.25</x:v>
      </x:c>
      <x:c r="G177" s="8">
        <x:v>0</x:v>
      </x:c>
      <x:c r="H177" s="6">
        <x:v>8.25</x:v>
      </x:c>
      <x:c r="I177" s="2" t="s">
        <x:v>47</x:v>
      </x:c>
      <x:c r="J177" s="2" t="s">
        <x:v>244</x:v>
      </x:c>
      <x:c r="K177" s="2"/>
      <x:c r="L177" s="10" t="s">
        <x:v>441</x:v>
      </x:c>
      <x:c r="M177" s="10" t="s">
        <x:v>442</x:v>
      </x:c>
      <x:c r="N177" s="10" t="s">
        <x:v>179</x:v>
      </x:c>
    </x:row>
    <x:row r="178" ht="41.400001525878906">
      <x:c r="A178" s="2" t="s">
        <x:v>443</x:v>
      </x:c>
      <x:c r="B178" s="4">
        <x:v>43552</x:v>
      </x:c>
      <x:c r="C178" s="2"/>
      <x:c r="D178" s="2" t="s">
        <x:v>15</x:v>
      </x:c>
      <x:c r="E178" s="2" t="s">
        <x:v>177</x:v>
      </x:c>
      <x:c r="F178" s="6">
        <x:v>8.25</x:v>
      </x:c>
      <x:c r="G178" s="8">
        <x:v>0</x:v>
      </x:c>
      <x:c r="H178" s="6">
        <x:v>8.25</x:v>
      </x:c>
      <x:c r="I178" s="2" t="s">
        <x:v>47</x:v>
      </x:c>
      <x:c r="J178" s="2" t="s">
        <x:v>244</x:v>
      </x:c>
      <x:c r="K178" s="2"/>
      <x:c r="L178" s="10" t="s">
        <x:v>444</x:v>
      </x:c>
      <x:c r="M178" s="10" t="s">
        <x:v>445</x:v>
      </x:c>
      <x:c r="N178" s="10" t="s">
        <x:v>179</x:v>
      </x:c>
    </x:row>
    <x:row r="179" ht="41.400001525878906">
      <x:c r="A179" s="2" t="s">
        <x:v>446</x:v>
      </x:c>
      <x:c r="B179" s="4">
        <x:v>43601</x:v>
      </x:c>
      <x:c r="C179" s="2"/>
      <x:c r="D179" s="2" t="s">
        <x:v>15</x:v>
      </x:c>
      <x:c r="E179" s="2" t="s">
        <x:v>177</x:v>
      </x:c>
      <x:c r="F179" s="6">
        <x:v>8.25</x:v>
      </x:c>
      <x:c r="G179" s="8">
        <x:v>0</x:v>
      </x:c>
      <x:c r="H179" s="6">
        <x:v>8.25</x:v>
      </x:c>
      <x:c r="I179" s="2" t="s">
        <x:v>47</x:v>
      </x:c>
      <x:c r="J179" s="2" t="s">
        <x:v>244</x:v>
      </x:c>
      <x:c r="K179" s="2"/>
      <x:c r="L179" s="10" t="s">
        <x:v>447</x:v>
      </x:c>
      <x:c r="M179" s="10" t="s">
        <x:v>448</x:v>
      </x:c>
      <x:c r="N179" s="10" t="s">
        <x:v>179</x:v>
      </x:c>
    </x:row>
    <x:row r="180" ht="41.400001525878906">
      <x:c r="A180" s="2" t="s">
        <x:v>449</x:v>
      </x:c>
      <x:c r="B180" s="4">
        <x:v>43643</x:v>
      </x:c>
      <x:c r="C180" s="2"/>
      <x:c r="D180" s="2" t="s">
        <x:v>15</x:v>
      </x:c>
      <x:c r="E180" s="2" t="s">
        <x:v>177</x:v>
      </x:c>
      <x:c r="F180" s="6">
        <x:v>8.25</x:v>
      </x:c>
      <x:c r="G180" s="8">
        <x:v>0</x:v>
      </x:c>
      <x:c r="H180" s="6">
        <x:v>8.25</x:v>
      </x:c>
      <x:c r="I180" s="2" t="s">
        <x:v>47</x:v>
      </x:c>
      <x:c r="J180" s="2" t="s">
        <x:v>308</x:v>
      </x:c>
      <x:c r="K180" s="2">
        <x:v>1</x:v>
      </x:c>
      <x:c r="L180" s="10" t="s">
        <x:v>450</x:v>
      </x:c>
      <x:c r="M180" s="10" t="s">
        <x:v>451</x:v>
      </x:c>
      <x:c r="N180" s="10" t="s">
        <x:v>179</x:v>
      </x:c>
    </x:row>
    <x:row r="181" ht="41.400001525878906">
      <x:c r="A181" s="2" t="s">
        <x:v>452</x:v>
      </x:c>
      <x:c r="B181" s="4">
        <x:v>43692</x:v>
      </x:c>
      <x:c r="C181" s="2"/>
      <x:c r="D181" s="2" t="s">
        <x:v>15</x:v>
      </x:c>
      <x:c r="E181" s="2" t="s">
        <x:v>177</x:v>
      </x:c>
      <x:c r="F181" s="6">
        <x:v>8.25</x:v>
      </x:c>
      <x:c r="G181" s="8">
        <x:v>-25</x:v>
      </x:c>
      <x:c r="H181" s="6">
        <x:v>8</x:v>
      </x:c>
      <x:c r="I181" s="2" t="s">
        <x:v>199</x:v>
      </x:c>
      <x:c r="J181" s="2" t="s">
        <x:v>308</x:v>
      </x:c>
      <x:c r="K181" s="2">
        <x:v>1</x:v>
      </x:c>
      <x:c r="L181" s="10" t="s">
        <x:v>453</x:v>
      </x:c>
      <x:c r="M181" s="10" t="s">
        <x:v>454</x:v>
      </x:c>
      <x:c r="N181" s="10" t="s">
        <x:v>179</x:v>
      </x:c>
    </x:row>
    <x:row r="182" ht="41.400001525878906">
      <x:c r="A182" s="2" t="s">
        <x:v>455</x:v>
      </x:c>
      <x:c r="B182" s="4">
        <x:v>43734</x:v>
      </x:c>
      <x:c r="C182" s="2"/>
      <x:c r="D182" s="2" t="s">
        <x:v>15</x:v>
      </x:c>
      <x:c r="E182" s="2" t="s">
        <x:v>177</x:v>
      </x:c>
      <x:c r="F182" s="6">
        <x:v>8</x:v>
      </x:c>
      <x:c r="G182" s="8">
        <x:v>-25</x:v>
      </x:c>
      <x:c r="H182" s="6">
        <x:v>7.75</x:v>
      </x:c>
      <x:c r="I182" s="2" t="s">
        <x:v>199</x:v>
      </x:c>
      <x:c r="J182" s="2" t="s">
        <x:v>308</x:v>
      </x:c>
      <x:c r="K182" s="2">
        <x:v>2</x:v>
      </x:c>
      <x:c r="L182" s="10" t="s">
        <x:v>456</x:v>
      </x:c>
      <x:c r="M182" s="10" t="s">
        <x:v>457</x:v>
      </x:c>
      <x:c r="N182" s="10" t="s">
        <x:v>179</x:v>
      </x:c>
    </x:row>
    <x:row r="183" ht="41.400001525878906">
      <x:c r="A183" s="2" t="s">
        <x:v>458</x:v>
      </x:c>
      <x:c r="B183" s="4">
        <x:v>43783</x:v>
      </x:c>
      <x:c r="C183" s="2"/>
      <x:c r="D183" s="2" t="s">
        <x:v>15</x:v>
      </x:c>
      <x:c r="E183" s="2" t="s">
        <x:v>177</x:v>
      </x:c>
      <x:c r="F183" s="6">
        <x:v>7.75</x:v>
      </x:c>
      <x:c r="G183" s="8">
        <x:v>-25</x:v>
      </x:c>
      <x:c r="H183" s="6">
        <x:v>7.5</x:v>
      </x:c>
      <x:c r="I183" s="2" t="s">
        <x:v>199</x:v>
      </x:c>
      <x:c r="J183" s="2" t="s">
        <x:v>308</x:v>
      </x:c>
      <x:c r="K183" s="2">
        <x:v>2</x:v>
      </x:c>
      <x:c r="L183" s="10" t="s">
        <x:v>459</x:v>
      </x:c>
      <x:c r="M183" s="10" t="s">
        <x:v>460</x:v>
      </x:c>
      <x:c r="N183" s="10" t="s">
        <x:v>179</x:v>
      </x:c>
    </x:row>
    <x:row r="184" ht="41.400001525878906">
      <x:c r="A184" s="2" t="s">
        <x:v>461</x:v>
      </x:c>
      <x:c r="B184" s="4">
        <x:v>43818</x:v>
      </x:c>
      <x:c r="C184" s="2"/>
      <x:c r="D184" s="2" t="s">
        <x:v>15</x:v>
      </x:c>
      <x:c r="E184" s="2" t="s">
        <x:v>177</x:v>
      </x:c>
      <x:c r="F184" s="6">
        <x:v>7.5</x:v>
      </x:c>
      <x:c r="G184" s="8">
        <x:v>-25</x:v>
      </x:c>
      <x:c r="H184" s="6">
        <x:v>7.25</x:v>
      </x:c>
      <x:c r="I184" s="2" t="s">
        <x:v>199</x:v>
      </x:c>
      <x:c r="J184" s="2" t="s">
        <x:v>308</x:v>
      </x:c>
      <x:c r="K184" s="2">
        <x:v>1</x:v>
      </x:c>
      <x:c r="L184" s="10" t="s">
        <x:v>462</x:v>
      </x:c>
      <x:c r="M184" s="10" t="s">
        <x:v>463</x:v>
      </x:c>
      <x:c r="N184" s="10" t="s">
        <x:v>179</x:v>
      </x:c>
    </x:row>
    <x:row r="185" ht="55.20000076293945">
      <x:c r="A185" s="2" t="s">
        <x:v>464</x:v>
      </x:c>
      <x:c r="B185" s="4">
        <x:v>43874</x:v>
      </x:c>
      <x:c r="C185" s="2"/>
      <x:c r="D185" s="2" t="s">
        <x:v>15</x:v>
      </x:c>
      <x:c r="E185" s="2" t="s">
        <x:v>177</x:v>
      </x:c>
      <x:c r="F185" s="6">
        <x:v>7.25</x:v>
      </x:c>
      <x:c r="G185" s="8">
        <x:v>-25</x:v>
      </x:c>
      <x:c r="H185" s="6">
        <x:v>7</x:v>
      </x:c>
      <x:c r="I185" s="2" t="s">
        <x:v>199</x:v>
      </x:c>
      <x:c r="J185" s="2" t="s">
        <x:v>244</x:v>
      </x:c>
      <x:c r="K185" s="2"/>
      <x:c r="L185" s="10" t="s">
        <x:v>465</x:v>
      </x:c>
      <x:c r="M185" s="10" t="s">
        <x:v>466</x:v>
      </x:c>
      <x:c r="N185" s="10" t="s">
        <x:v>179</x:v>
      </x:c>
    </x:row>
    <x:row r="186" ht="41.400001525878906">
      <x:c r="A186" s="2" t="s">
        <x:v>467</x:v>
      </x:c>
      <x:c r="B186" s="4">
        <x:v>43910</x:v>
      </x:c>
      <x:c r="C186" s="2"/>
      <x:c r="D186" s="2" t="s">
        <x:v>369</x:v>
      </x:c>
      <x:c r="E186" s="2" t="s">
        <x:v>177</x:v>
      </x:c>
      <x:c r="F186" s="6">
        <x:v>7</x:v>
      </x:c>
      <x:c r="G186" s="8">
        <x:v>-50</x:v>
      </x:c>
      <x:c r="H186" s="6">
        <x:v>6.5</x:v>
      </x:c>
      <x:c r="I186" s="2" t="s">
        <x:v>199</x:v>
      </x:c>
      <x:c r="J186" s="2" t="s">
        <x:v>308</x:v>
      </x:c>
      <x:c r="K186" s="2">
        <x:v>1</x:v>
      </x:c>
      <x:c r="L186" s="10" t="s">
        <x:v>468</x:v>
      </x:c>
      <x:c r="M186" s="10" t="s">
        <x:v>469</x:v>
      </x:c>
      <x:c r="N186" s="10" t="s">
        <x:v>179</x:v>
      </x:c>
    </x:row>
    <x:row r="187" ht="55.20000076293945">
      <x:c r="A187" s="2" t="s">
        <x:v>470</x:v>
      </x:c>
      <x:c r="B187" s="4">
        <x:v>43942</x:v>
      </x:c>
      <x:c r="C187" s="2"/>
      <x:c r="D187" s="2" t="s">
        <x:v>369</x:v>
      </x:c>
      <x:c r="E187" s="2" t="s">
        <x:v>177</x:v>
      </x:c>
      <x:c r="F187" s="6">
        <x:v>6.5</x:v>
      </x:c>
      <x:c r="G187" s="8">
        <x:v>-50</x:v>
      </x:c>
      <x:c r="H187" s="6">
        <x:v>6</x:v>
      </x:c>
      <x:c r="I187" s="2" t="s">
        <x:v>199</x:v>
      </x:c>
      <x:c r="J187" s="2" t="s">
        <x:v>244</x:v>
      </x:c>
      <x:c r="K187" s="2"/>
      <x:c r="L187" s="10" t="s">
        <x:v>471</x:v>
      </x:c>
      <x:c r="M187" s="10" t="s">
        <x:v>472</x:v>
      </x:c>
      <x:c r="N187" s="10" t="s">
        <x:v>179</x:v>
      </x:c>
    </x:row>
    <x:row r="188" ht="41.400001525878906">
      <x:c r="A188" s="2" t="s">
        <x:v>473</x:v>
      </x:c>
      <x:c r="B188" s="4">
        <x:v>43965</x:v>
      </x:c>
      <x:c r="C188" s="2"/>
      <x:c r="D188" s="2" t="s">
        <x:v>15</x:v>
      </x:c>
      <x:c r="E188" s="2" t="s">
        <x:v>177</x:v>
      </x:c>
      <x:c r="F188" s="6">
        <x:v>6</x:v>
      </x:c>
      <x:c r="G188" s="8">
        <x:v>-50</x:v>
      </x:c>
      <x:c r="H188" s="6">
        <x:v>5.5</x:v>
      </x:c>
      <x:c r="I188" s="2" t="s">
        <x:v>199</x:v>
      </x:c>
      <x:c r="J188" s="2" t="s">
        <x:v>244</x:v>
      </x:c>
      <x:c r="K188" s="2"/>
      <x:c r="L188" s="10" t="s">
        <x:v>474</x:v>
      </x:c>
      <x:c r="M188" s="10" t="s">
        <x:v>475</x:v>
      </x:c>
      <x:c r="N188" s="10" t="s">
        <x:v>179</x:v>
      </x:c>
    </x:row>
    <x:row r="189" ht="41.400001525878906">
      <x:c r="A189" s="2" t="s">
        <x:v>476</x:v>
      </x:c>
      <x:c r="B189" s="4">
        <x:v>44007</x:v>
      </x:c>
      <x:c r="C189" s="2"/>
      <x:c r="D189" s="2" t="s">
        <x:v>15</x:v>
      </x:c>
      <x:c r="E189" s="2" t="s">
        <x:v>177</x:v>
      </x:c>
      <x:c r="F189" s="6">
        <x:v>5.5</x:v>
      </x:c>
      <x:c r="G189" s="8">
        <x:v>-50</x:v>
      </x:c>
      <x:c r="H189" s="6">
        <x:v>5</x:v>
      </x:c>
      <x:c r="I189" s="2" t="s">
        <x:v>199</x:v>
      </x:c>
      <x:c r="J189" s="2" t="s">
        <x:v>244</x:v>
      </x:c>
      <x:c r="K189" s="2"/>
      <x:c r="L189" s="10" t="s">
        <x:v>477</x:v>
      </x:c>
      <x:c r="M189" s="10" t="s">
        <x:v>478</x:v>
      </x:c>
      <x:c r="N189" s="10" t="s">
        <x:v>179</x:v>
      </x:c>
    </x:row>
    <x:row r="190" ht="55.20000076293945">
      <x:c r="A190" s="2" t="s">
        <x:v>479</x:v>
      </x:c>
      <x:c r="B190" s="4">
        <x:v>44056</x:v>
      </x:c>
      <x:c r="C190" s="2"/>
      <x:c r="D190" s="2" t="s">
        <x:v>15</x:v>
      </x:c>
      <x:c r="E190" s="2" t="s">
        <x:v>177</x:v>
      </x:c>
      <x:c r="F190" s="6">
        <x:v>5</x:v>
      </x:c>
      <x:c r="G190" s="8">
        <x:v>-50</x:v>
      </x:c>
      <x:c r="H190" s="6">
        <x:v>4.5</x:v>
      </x:c>
      <x:c r="I190" s="2" t="s">
        <x:v>199</x:v>
      </x:c>
      <x:c r="J190" s="2" t="s">
        <x:v>308</x:v>
      </x:c>
      <x:c r="K190" s="2">
        <x:v>1</x:v>
      </x:c>
      <x:c r="L190" s="10" t="s">
        <x:v>480</x:v>
      </x:c>
      <x:c r="M190" s="10" t="s">
        <x:v>481</x:v>
      </x:c>
      <x:c r="N190" s="10" t="s">
        <x:v>179</x:v>
      </x:c>
    </x:row>
    <x:row r="191" ht="41.400001525878906">
      <x:c r="A191" s="2" t="s">
        <x:v>482</x:v>
      </x:c>
      <x:c r="B191" s="4">
        <x:v>44098</x:v>
      </x:c>
      <x:c r="C191" s="2"/>
      <x:c r="D191" s="2" t="s">
        <x:v>15</x:v>
      </x:c>
      <x:c r="E191" s="2" t="s">
        <x:v>177</x:v>
      </x:c>
      <x:c r="F191" s="6">
        <x:v>4.5</x:v>
      </x:c>
      <x:c r="G191" s="8">
        <x:v>-25</x:v>
      </x:c>
      <x:c r="H191" s="6">
        <x:v>4.25</x:v>
      </x:c>
      <x:c r="I191" s="2" t="s">
        <x:v>199</x:v>
      </x:c>
      <x:c r="J191" s="2" t="s">
        <x:v>244</x:v>
      </x:c>
      <x:c r="K191" s="2"/>
      <x:c r="L191" s="10" t="s">
        <x:v>483</x:v>
      </x:c>
      <x:c r="M191" s="10" t="s">
        <x:v>484</x:v>
      </x:c>
      <x:c r="N191" s="10" t="s">
        <x:v>179</x:v>
      </x:c>
    </x:row>
    <x:row r="192" ht="41.400001525878906">
      <x:c r="A192" s="2" t="s">
        <x:v>485</x:v>
      </x:c>
      <x:c r="B192" s="4">
        <x:v>44147</x:v>
      </x:c>
      <x:c r="C192" s="2"/>
      <x:c r="D192" s="2" t="s">
        <x:v>15</x:v>
      </x:c>
      <x:c r="E192" s="2" t="s">
        <x:v>177</x:v>
      </x:c>
      <x:c r="F192" s="6">
        <x:v>4.25</x:v>
      </x:c>
      <x:c r="G192" s="8">
        <x:v>0</x:v>
      </x:c>
      <x:c r="H192" s="6">
        <x:v>4.25</x:v>
      </x:c>
      <x:c r="I192" s="2" t="s">
        <x:v>47</x:v>
      </x:c>
      <x:c r="J192" s="2" t="s">
        <x:v>308</x:v>
      </x:c>
      <x:c r="K192" s="2">
        <x:v>1</x:v>
      </x:c>
      <x:c r="L192" s="10" t="s">
        <x:v>486</x:v>
      </x:c>
      <x:c r="M192" s="10" t="s">
        <x:v>487</x:v>
      </x:c>
      <x:c r="N192" s="10" t="s">
        <x:v>179</x:v>
      </x:c>
    </x:row>
    <x:row r="193" ht="41.400001525878906">
      <x:c r="A193" s="2" t="s">
        <x:v>488</x:v>
      </x:c>
      <x:c r="B193" s="4">
        <x:v>44182</x:v>
      </x:c>
      <x:c r="C193" s="2"/>
      <x:c r="D193" s="2" t="s">
        <x:v>15</x:v>
      </x:c>
      <x:c r="E193" s="2" t="s">
        <x:v>177</x:v>
      </x:c>
      <x:c r="F193" s="6">
        <x:v>4.25</x:v>
      </x:c>
      <x:c r="G193" s="8">
        <x:v>0</x:v>
      </x:c>
      <x:c r="H193" s="6">
        <x:v>4.25</x:v>
      </x:c>
      <x:c r="I193" s="2" t="s">
        <x:v>47</x:v>
      </x:c>
      <x:c r="J193" s="2" t="s">
        <x:v>308</x:v>
      </x:c>
      <x:c r="K193" s="2">
        <x:v>2</x:v>
      </x:c>
      <x:c r="L193" s="10" t="s">
        <x:v>489</x:v>
      </x:c>
      <x:c r="M193" s="10" t="s">
        <x:v>490</x:v>
      </x:c>
      <x:c r="N193" s="10" t="s">
        <x:v>179</x:v>
      </x:c>
    </x:row>
    <x:row r="194" ht="41.400001525878906">
      <x:c r="A194" s="2" t="s">
        <x:v>491</x:v>
      </x:c>
      <x:c r="B194" s="4">
        <x:v>44238</x:v>
      </x:c>
      <x:c r="C194" s="2"/>
      <x:c r="D194" s="2" t="s">
        <x:v>15</x:v>
      </x:c>
      <x:c r="E194" s="2" t="s">
        <x:v>177</x:v>
      </x:c>
      <x:c r="F194" s="6">
        <x:v>4.25</x:v>
      </x:c>
      <x:c r="G194" s="8">
        <x:v>-25</x:v>
      </x:c>
      <x:c r="H194" s="6">
        <x:v>4</x:v>
      </x:c>
      <x:c r="I194" s="2" t="s">
        <x:v>199</x:v>
      </x:c>
      <x:c r="J194" s="2" t="s">
        <x:v>244</x:v>
      </x:c>
      <x:c r="K194" s="2"/>
      <x:c r="L194" s="10" t="s">
        <x:v>492</x:v>
      </x:c>
      <x:c r="M194" s="10" t="s">
        <x:v>493</x:v>
      </x:c>
      <x:c r="N194" s="10" t="s">
        <x:v>179</x:v>
      </x:c>
    </x:row>
    <x:row r="195" ht="41.400001525878906">
      <x:c r="A195" s="2" t="s">
        <x:v>494</x:v>
      </x:c>
      <x:c r="B195" s="4">
        <x:v>44280</x:v>
      </x:c>
      <x:c r="C195" s="2"/>
      <x:c r="D195" s="2" t="s">
        <x:v>15</x:v>
      </x:c>
      <x:c r="E195" s="2" t="s">
        <x:v>177</x:v>
      </x:c>
      <x:c r="F195" s="6">
        <x:v>4</x:v>
      </x:c>
      <x:c r="G195" s="8">
        <x:v>0</x:v>
      </x:c>
      <x:c r="H195" s="6">
        <x:v>4</x:v>
      </x:c>
      <x:c r="I195" s="2" t="s">
        <x:v>47</x:v>
      </x:c>
      <x:c r="J195" s="2" t="s">
        <x:v>244</x:v>
      </x:c>
      <x:c r="K195" s="2"/>
      <x:c r="L195" s="10" t="s">
        <x:v>495</x:v>
      </x:c>
      <x:c r="M195" s="10" t="s">
        <x:v>496</x:v>
      </x:c>
      <x:c r="N195" s="10" t="s">
        <x:v>179</x:v>
      </x:c>
    </x:row>
    <x:row r="196" ht="41.400001525878906">
      <x:c r="A196" s="2" t="s">
        <x:v>497</x:v>
      </x:c>
      <x:c r="B196" s="4">
        <x:v>44329</x:v>
      </x:c>
      <x:c r="C196" s="2"/>
      <x:c r="D196" s="2" t="s">
        <x:v>15</x:v>
      </x:c>
      <x:c r="E196" s="2" t="s">
        <x:v>177</x:v>
      </x:c>
      <x:c r="F196" s="6">
        <x:v>4</x:v>
      </x:c>
      <x:c r="G196" s="8">
        <x:v>0</x:v>
      </x:c>
      <x:c r="H196" s="6">
        <x:v>4</x:v>
      </x:c>
      <x:c r="I196" s="2" t="s">
        <x:v>47</x:v>
      </x:c>
      <x:c r="J196" s="2" t="s">
        <x:v>244</x:v>
      </x:c>
      <x:c r="K196" s="2"/>
      <x:c r="L196" s="10" t="s">
        <x:v>498</x:v>
      </x:c>
      <x:c r="M196" s="10" t="s">
        <x:v>499</x:v>
      </x:c>
      <x:c r="N196" s="10" t="s">
        <x:v>179</x:v>
      </x:c>
    </x:row>
    <x:row r="197" ht="41.400001525878906">
      <x:c r="A197" s="2" t="s">
        <x:v>500</x:v>
      </x:c>
      <x:c r="B197" s="4">
        <x:v>44371</x:v>
      </x:c>
      <x:c r="C197" s="2"/>
      <x:c r="D197" s="2" t="s">
        <x:v>15</x:v>
      </x:c>
      <x:c r="E197" s="2" t="s">
        <x:v>177</x:v>
      </x:c>
      <x:c r="F197" s="6">
        <x:v>4</x:v>
      </x:c>
      <x:c r="G197" s="8">
        <x:v>25</x:v>
      </x:c>
      <x:c r="H197" s="6">
        <x:v>4.25</x:v>
      </x:c>
      <x:c r="I197" s="2" t="s">
        <x:v>156</x:v>
      </x:c>
      <x:c r="J197" s="2" t="s">
        <x:v>308</x:v>
      </x:c>
      <x:c r="K197" s="2">
        <x:v>2</x:v>
      </x:c>
      <x:c r="L197" s="10" t="s">
        <x:v>501</x:v>
      </x:c>
      <x:c r="M197" s="10" t="s">
        <x:v>502</x:v>
      </x:c>
      <x:c r="N197" s="10" t="s">
        <x:v>179</x:v>
      </x:c>
    </x:row>
    <x:row r="198" ht="41.400001525878906">
      <x:c r="A198" s="2" t="s">
        <x:v>503</x:v>
      </x:c>
      <x:c r="B198" s="4">
        <x:v>44420</x:v>
      </x:c>
      <x:c r="C198" s="2"/>
      <x:c r="D198" s="2" t="s">
        <x:v>15</x:v>
      </x:c>
      <x:c r="E198" s="2" t="s">
        <x:v>177</x:v>
      </x:c>
      <x:c r="F198" s="6">
        <x:v>4.25</x:v>
      </x:c>
      <x:c r="G198" s="8">
        <x:v>25</x:v>
      </x:c>
      <x:c r="H198" s="6">
        <x:v>4.5</x:v>
      </x:c>
      <x:c r="I198" s="2" t="s">
        <x:v>156</x:v>
      </x:c>
      <x:c r="J198" s="2" t="s">
        <x:v>308</x:v>
      </x:c>
      <x:c r="K198" s="2">
        <x:v>2</x:v>
      </x:c>
      <x:c r="L198" s="10" t="s">
        <x:v>504</x:v>
      </x:c>
      <x:c r="M198" s="10" t="s">
        <x:v>505</x:v>
      </x:c>
      <x:c r="N198" s="10" t="s">
        <x:v>179</x:v>
      </x:c>
    </x:row>
    <x:row r="199" ht="55.20000076293945">
      <x:c r="A199" s="2" t="s">
        <x:v>506</x:v>
      </x:c>
      <x:c r="B199" s="4">
        <x:v>44469</x:v>
      </x:c>
      <x:c r="C199" s="2"/>
      <x:c r="D199" s="2" t="s">
        <x:v>15</x:v>
      </x:c>
      <x:c r="E199" s="2" t="s">
        <x:v>177</x:v>
      </x:c>
      <x:c r="F199" s="6">
        <x:v>4.5</x:v>
      </x:c>
      <x:c r="G199" s="8">
        <x:v>25</x:v>
      </x:c>
      <x:c r="H199" s="6">
        <x:v>4.75</x:v>
      </x:c>
      <x:c r="I199" s="2" t="s">
        <x:v>156</x:v>
      </x:c>
      <x:c r="J199" s="2" t="s">
        <x:v>308</x:v>
      </x:c>
      <x:c r="K199" s="2">
        <x:v>1</x:v>
      </x:c>
      <x:c r="L199" s="10" t="s">
        <x:v>507</x:v>
      </x:c>
      <x:c r="M199" s="10" t="s">
        <x:v>508</x:v>
      </x:c>
      <x:c r="N199" s="10" t="s">
        <x:v>179</x:v>
      </x:c>
    </x:row>
    <x:row r="200" ht="41.400001525878906">
      <x:c r="A200" s="2" t="s">
        <x:v>509</x:v>
      </x:c>
      <x:c r="B200" s="4">
        <x:v>44511</x:v>
      </x:c>
      <x:c r="C200" s="2"/>
      <x:c r="D200" s="2" t="s">
        <x:v>15</x:v>
      </x:c>
      <x:c r="E200" s="2" t="s">
        <x:v>177</x:v>
      </x:c>
      <x:c r="F200" s="6">
        <x:v>4.75</x:v>
      </x:c>
      <x:c r="G200" s="8">
        <x:v>25</x:v>
      </x:c>
      <x:c r="H200" s="6">
        <x:v>5</x:v>
      </x:c>
      <x:c r="I200" s="2" t="s">
        <x:v>156</x:v>
      </x:c>
      <x:c r="J200" s="2" t="s">
        <x:v>308</x:v>
      </x:c>
      <x:c r="K200" s="2">
        <x:v>1</x:v>
      </x:c>
      <x:c r="L200" s="10" t="s">
        <x:v>510</x:v>
      </x:c>
      <x:c r="M200" s="10" t="s">
        <x:v>511</x:v>
      </x:c>
      <x:c r="N200" s="10" t="s">
        <x:v>179</x:v>
      </x:c>
    </x:row>
    <x:row r="201" ht="41.400001525878906">
      <x:c r="A201" s="2" t="s">
        <x:v>512</x:v>
      </x:c>
      <x:c r="B201" s="4">
        <x:v>44546</x:v>
      </x:c>
      <x:c r="C201" s="2"/>
      <x:c r="D201" s="2" t="s">
        <x:v>15</x:v>
      </x:c>
      <x:c r="E201" s="2" t="s">
        <x:v>177</x:v>
      </x:c>
      <x:c r="F201" s="6">
        <x:v>5</x:v>
      </x:c>
      <x:c r="G201" s="8">
        <x:v>50</x:v>
      </x:c>
      <x:c r="H201" s="6">
        <x:v>5.5</x:v>
      </x:c>
      <x:c r="I201" s="2" t="s">
        <x:v>156</x:v>
      </x:c>
      <x:c r="J201" s="2" t="s">
        <x:v>308</x:v>
      </x:c>
      <x:c r="K201" s="2">
        <x:v>1</x:v>
      </x:c>
      <x:c r="L201" s="10" t="s">
        <x:v>513</x:v>
      </x:c>
      <x:c r="M201" s="10" t="s">
        <x:v>514</x:v>
      </x:c>
      <x:c r="N201" s="10" t="s">
        <x:v>179</x:v>
      </x:c>
    </x:row>
    <x:row r="202" ht="41.400001525878906">
      <x:c r="A202" s="2" t="s">
        <x:v>515</x:v>
      </x:c>
      <x:c r="B202" s="4">
        <x:v>44602</x:v>
      </x:c>
      <x:c r="C202" s="2"/>
      <x:c r="D202" s="2" t="s">
        <x:v>15</x:v>
      </x:c>
      <x:c r="E202" s="2" t="s">
        <x:v>177</x:v>
      </x:c>
      <x:c r="F202" s="6">
        <x:v>5.5</x:v>
      </x:c>
      <x:c r="G202" s="8">
        <x:v>50</x:v>
      </x:c>
      <x:c r="H202" s="6">
        <x:v>6</x:v>
      </x:c>
      <x:c r="I202" s="2" t="s">
        <x:v>156</x:v>
      </x:c>
      <x:c r="J202" s="2" t="s">
        <x:v>308</x:v>
      </x:c>
      <x:c r="K202" s="2">
        <x:v>1</x:v>
      </x:c>
      <x:c r="L202" s="10" t="s">
        <x:v>516</x:v>
      </x:c>
      <x:c r="M202" s="10" t="s">
        <x:v>517</x:v>
      </x:c>
      <x:c r="N202" s="10" t="s">
        <x:v>179</x:v>
      </x:c>
    </x:row>
    <x:row r="203" ht="41.400001525878906">
      <x:c r="A203" s="2" t="s">
        <x:v>518</x:v>
      </x:c>
      <x:c r="B203" s="4">
        <x:v>44644</x:v>
      </x:c>
      <x:c r="C203" s="2"/>
      <x:c r="D203" s="2" t="s">
        <x:v>15</x:v>
      </x:c>
      <x:c r="E203" s="2" t="s">
        <x:v>177</x:v>
      </x:c>
      <x:c r="F203" s="6">
        <x:v>6</x:v>
      </x:c>
      <x:c r="G203" s="8">
        <x:v>50</x:v>
      </x:c>
      <x:c r="H203" s="6">
        <x:v>6.5</x:v>
      </x:c>
      <x:c r="I203" s="2" t="s">
        <x:v>156</x:v>
      </x:c>
      <x:c r="J203" s="2" t="s">
        <x:v>244</x:v>
      </x:c>
      <x:c r="K203" s="2"/>
      <x:c r="L203" s="10" t="s">
        <x:v>519</x:v>
      </x:c>
      <x:c r="M203" s="10" t="s">
        <x:v>520</x:v>
      </x:c>
      <x:c r="N203" s="10" t="s">
        <x:v>179</x:v>
      </x:c>
    </x:row>
    <x:row r="204" ht="41.400001525878906">
      <x:c r="A204" s="2" t="s">
        <x:v>521</x:v>
      </x:c>
      <x:c r="B204" s="4">
        <x:v>44693</x:v>
      </x:c>
      <x:c r="C204" s="2"/>
      <x:c r="D204" s="2" t="s">
        <x:v>15</x:v>
      </x:c>
      <x:c r="E204" s="2" t="s">
        <x:v>177</x:v>
      </x:c>
      <x:c r="F204" s="6">
        <x:v>6.5</x:v>
      </x:c>
      <x:c r="G204" s="8">
        <x:v>50</x:v>
      </x:c>
      <x:c r="H204" s="6">
        <x:v>7</x:v>
      </x:c>
      <x:c r="I204" s="2" t="s">
        <x:v>156</x:v>
      </x:c>
      <x:c r="J204" s="2" t="s">
        <x:v>308</x:v>
      </x:c>
      <x:c r="K204" s="2">
        <x:v>1</x:v>
      </x:c>
      <x:c r="L204" s="10" t="s">
        <x:v>522</x:v>
      </x:c>
      <x:c r="M204" s="10" t="s">
        <x:v>523</x:v>
      </x:c>
      <x:c r="N204" s="10" t="s">
        <x:v>179</x:v>
      </x:c>
    </x:row>
    <x:row r="205" ht="55.20000076293945">
      <x:c r="A205" s="2" t="s">
        <x:v>524</x:v>
      </x:c>
      <x:c r="B205" s="4">
        <x:v>44735</x:v>
      </x:c>
      <x:c r="C205" s="2"/>
      <x:c r="D205" s="2" t="s">
        <x:v>15</x:v>
      </x:c>
      <x:c r="E205" s="2" t="s">
        <x:v>177</x:v>
      </x:c>
      <x:c r="F205" s="6">
        <x:v>7</x:v>
      </x:c>
      <x:c r="G205" s="8">
        <x:v>75</x:v>
      </x:c>
      <x:c r="H205" s="6">
        <x:v>7.75</x:v>
      </x:c>
      <x:c r="I205" s="2" t="s">
        <x:v>156</x:v>
      </x:c>
      <x:c r="J205" s="2" t="s">
        <x:v>244</x:v>
      </x:c>
      <x:c r="K205" s="2"/>
      <x:c r="L205" s="10" t="s">
        <x:v>525</x:v>
      </x:c>
      <x:c r="M205" s="10" t="s">
        <x:v>526</x:v>
      </x:c>
      <x:c r="N205" s="10" t="s">
        <x:v>179</x:v>
      </x:c>
    </x:row>
    <x:row r="206" ht="41.400001525878906">
      <x:c r="A206" s="2" t="s">
        <x:v>527</x:v>
      </x:c>
      <x:c r="B206" s="4">
        <x:v>44784</x:v>
      </x:c>
      <x:c r="C206" s="2"/>
      <x:c r="D206" s="2" t="s">
        <x:v>15</x:v>
      </x:c>
      <x:c r="E206" s="2" t="s">
        <x:v>177</x:v>
      </x:c>
      <x:c r="F206" s="6">
        <x:v>7.75</x:v>
      </x:c>
      <x:c r="G206" s="8">
        <x:v>75</x:v>
      </x:c>
      <x:c r="H206" s="6">
        <x:v>8.5</x:v>
      </x:c>
      <x:c r="I206" s="2" t="s">
        <x:v>156</x:v>
      </x:c>
      <x:c r="J206" s="2" t="s">
        <x:v>244</x:v>
      </x:c>
      <x:c r="K206" s="2"/>
      <x:c r="L206" s="10" t="s">
        <x:v>528</x:v>
      </x:c>
      <x:c r="M206" s="10" t="s">
        <x:v>529</x:v>
      </x:c>
      <x:c r="N206" s="10" t="s">
        <x:v>179</x:v>
      </x:c>
    </x:row>
    <x:row r="207" ht="41.400001525878906">
      <x:c r="A207" s="2" t="s">
        <x:v>530</x:v>
      </x:c>
      <x:c r="B207" s="4">
        <x:v>44833</x:v>
      </x:c>
      <x:c r="C207" s="2"/>
      <x:c r="D207" s="2" t="s">
        <x:v>15</x:v>
      </x:c>
      <x:c r="E207" s="2" t="s">
        <x:v>177</x:v>
      </x:c>
      <x:c r="F207" s="6">
        <x:v>8.5</x:v>
      </x:c>
      <x:c r="G207" s="8">
        <x:v>75</x:v>
      </x:c>
      <x:c r="H207" s="6">
        <x:v>9.25</x:v>
      </x:c>
      <x:c r="I207" s="2" t="s">
        <x:v>156</x:v>
      </x:c>
      <x:c r="J207" s="2" t="s">
        <x:v>244</x:v>
      </x:c>
      <x:c r="K207" s="2"/>
      <x:c r="L207" s="10" t="s">
        <x:v>531</x:v>
      </x:c>
      <x:c r="M207" s="10" t="s">
        <x:v>532</x:v>
      </x:c>
      <x:c r="N207" s="10" t="s">
        <x:v>179</x:v>
      </x:c>
    </x:row>
    <x:row r="208" ht="41.400001525878906">
      <x:c r="A208" s="2" t="s">
        <x:v>533</x:v>
      </x:c>
      <x:c r="B208" s="4">
        <x:v>44875</x:v>
      </x:c>
      <x:c r="C208" s="2"/>
      <x:c r="D208" s="2" t="s">
        <x:v>15</x:v>
      </x:c>
      <x:c r="E208" s="2" t="s">
        <x:v>177</x:v>
      </x:c>
      <x:c r="F208" s="6">
        <x:v>9.25</x:v>
      </x:c>
      <x:c r="G208" s="8">
        <x:v>75</x:v>
      </x:c>
      <x:c r="H208" s="6">
        <x:v>10</x:v>
      </x:c>
      <x:c r="I208" s="2" t="s">
        <x:v>156</x:v>
      </x:c>
      <x:c r="J208" s="2" t="s">
        <x:v>308</x:v>
      </x:c>
      <x:c r="K208" s="2">
        <x:v>1</x:v>
      </x:c>
      <x:c r="L208" s="10" t="s">
        <x:v>534</x:v>
      </x:c>
      <x:c r="M208" s="10" t="s">
        <x:v>535</x:v>
      </x:c>
      <x:c r="N208" s="10" t="s">
        <x:v>179</x:v>
      </x:c>
    </x:row>
    <x:row r="209" ht="41.400001525878906">
      <x:c r="A209" s="2" t="s">
        <x:v>536</x:v>
      </x:c>
      <x:c r="B209" s="4">
        <x:v>44910</x:v>
      </x:c>
      <x:c r="C209" s="2"/>
      <x:c r="D209" s="2" t="s">
        <x:v>15</x:v>
      </x:c>
      <x:c r="E209" s="2" t="s">
        <x:v>177</x:v>
      </x:c>
      <x:c r="F209" s="6">
        <x:v>10</x:v>
      </x:c>
      <x:c r="G209" s="8">
        <x:v>50</x:v>
      </x:c>
      <x:c r="H209" s="6">
        <x:v>10.5</x:v>
      </x:c>
      <x:c r="I209" s="2" t="s">
        <x:v>156</x:v>
      </x:c>
      <x:c r="J209" s="2" t="s">
        <x:v>308</x:v>
      </x:c>
      <x:c r="K209" s="2">
        <x:v>1</x:v>
      </x:c>
      <x:c r="L209" s="10" t="s">
        <x:v>537</x:v>
      </x:c>
      <x:c r="M209" s="10" t="s">
        <x:v>538</x:v>
      </x:c>
      <x:c r="N209" s="10" t="s">
        <x:v>179</x:v>
      </x:c>
    </x:row>
    <x:row r="210" ht="41.400001525878906">
      <x:c r="A210" s="2" t="s">
        <x:v>539</x:v>
      </x:c>
      <x:c r="B210" s="4">
        <x:v>44966</x:v>
      </x:c>
      <x:c r="C210" s="2"/>
      <x:c r="D210" s="2" t="s">
        <x:v>15</x:v>
      </x:c>
      <x:c r="E210" s="2" t="s">
        <x:v>177</x:v>
      </x:c>
      <x:c r="F210" s="6">
        <x:v>10.5</x:v>
      </x:c>
      <x:c r="G210" s="8">
        <x:v>50</x:v>
      </x:c>
      <x:c r="H210" s="6">
        <x:v>11</x:v>
      </x:c>
      <x:c r="I210" s="2" t="s">
        <x:v>156</x:v>
      </x:c>
      <x:c r="J210" s="2" t="s">
        <x:v>244</x:v>
      </x:c>
      <x:c r="K210" s="2"/>
      <x:c r="L210" s="10" t="s">
        <x:v>540</x:v>
      </x:c>
      <x:c r="M210" s="10" t="s">
        <x:v>541</x:v>
      </x:c>
      <x:c r="N210" s="10" t="s">
        <x:v>179</x:v>
      </x:c>
    </x:row>
    <x:row r="211" ht="41.400001525878906">
      <x:c r="A211" s="2" t="s">
        <x:v>542</x:v>
      </x:c>
      <x:c r="B211" s="4">
        <x:v>45015</x:v>
      </x:c>
      <x:c r="C211" s="2"/>
      <x:c r="D211" s="2" t="s">
        <x:v>15</x:v>
      </x:c>
      <x:c r="E211" s="2" t="s">
        <x:v>177</x:v>
      </x:c>
      <x:c r="F211" s="6">
        <x:v>11</x:v>
      </x:c>
      <x:c r="G211" s="8">
        <x:v>25</x:v>
      </x:c>
      <x:c r="H211" s="6">
        <x:v>11.25</x:v>
      </x:c>
      <x:c r="I211" s="2" t="s">
        <x:v>156</x:v>
      </x:c>
      <x:c r="J211" s="2" t="s">
        <x:v>244</x:v>
      </x:c>
      <x:c r="K211" s="2"/>
      <x:c r="L211" s="10" t="s">
        <x:v>543</x:v>
      </x:c>
      <x:c r="M211" s="10" t="s">
        <x:v>544</x:v>
      </x:c>
      <x:c r="N211" s="10" t="s">
        <x:v>179</x:v>
      </x:c>
    </x:row>
    <x:row r="212" ht="41.400001525878906">
      <x:c r="A212" s="2" t="s">
        <x:v>545</x:v>
      </x:c>
      <x:c r="B212" s="4">
        <x:v>45064</x:v>
      </x:c>
      <x:c r="C212" s="2"/>
      <x:c r="D212" s="2" t="s">
        <x:v>15</x:v>
      </x:c>
      <x:c r="E212" s="2" t="s">
        <x:v>177</x:v>
      </x:c>
      <x:c r="F212" s="6">
        <x:v>11.25</x:v>
      </x:c>
      <x:c r="G212" s="8">
        <x:v>0</x:v>
      </x:c>
      <x:c r="H212" s="6">
        <x:v>11.25</x:v>
      </x:c>
      <x:c r="I212" s="2" t="s">
        <x:v>47</x:v>
      </x:c>
      <x:c r="J212" s="2" t="s">
        <x:v>244</x:v>
      </x:c>
      <x:c r="K212" s="2"/>
      <x:c r="L212" s="10" t="s">
        <x:v>546</x:v>
      </x:c>
      <x:c r="M212" s="10" t="s">
        <x:v>547</x:v>
      </x:c>
      <x:c r="N212" s="10" t="s">
        <x:v>179</x:v>
      </x:c>
    </x:row>
    <x:row r="213" ht="41.400001525878906">
      <x:c r="A213" s="2" t="s">
        <x:v>548</x:v>
      </x:c>
      <x:c r="B213" s="4">
        <x:v>45099</x:v>
      </x:c>
      <x:c r="C213" s="2"/>
      <x:c r="D213" s="2" t="s">
        <x:v>15</x:v>
      </x:c>
      <x:c r="E213" s="2" t="s">
        <x:v>177</x:v>
      </x:c>
      <x:c r="F213" s="6">
        <x:v>11.25</x:v>
      </x:c>
      <x:c r="G213" s="8">
        <x:v>0</x:v>
      </x:c>
      <x:c r="H213" s="6">
        <x:v>11.25</x:v>
      </x:c>
      <x:c r="I213" s="2" t="s">
        <x:v>47</x:v>
      </x:c>
      <x:c r="J213" s="2" t="s">
        <x:v>244</x:v>
      </x:c>
      <x:c r="K213" s="2"/>
      <x:c r="L213" s="10" t="s">
        <x:v>549</x:v>
      </x:c>
      <x:c r="M213" s="10" t="s">
        <x:v>550</x:v>
      </x:c>
      <x:c r="N213" s="10" t="s">
        <x:v>179</x:v>
      </x:c>
    </x:row>
    <x:row r="214" ht="41.400001525878906">
      <x:c r="A214" s="2" t="s">
        <x:v>551</x:v>
      </x:c>
      <x:c r="B214" s="4">
        <x:v>45148</x:v>
      </x:c>
      <x:c r="C214" s="2"/>
      <x:c r="D214" s="2" t="s">
        <x:v>15</x:v>
      </x:c>
      <x:c r="E214" s="2" t="s">
        <x:v>177</x:v>
      </x:c>
      <x:c r="F214" s="6">
        <x:v>11.25</x:v>
      </x:c>
      <x:c r="G214" s="8">
        <x:v>0</x:v>
      </x:c>
      <x:c r="H214" s="6">
        <x:v>11.25</x:v>
      </x:c>
      <x:c r="I214" s="2" t="s">
        <x:v>47</x:v>
      </x:c>
      <x:c r="J214" s="2" t="s">
        <x:v>244</x:v>
      </x:c>
      <x:c r="K214" s="2"/>
      <x:c r="L214" s="10" t="s">
        <x:v>552</x:v>
      </x:c>
      <x:c r="M214" s="10" t="s">
        <x:v>553</x:v>
      </x:c>
      <x:c r="N214" s="10" t="s">
        <x:v>179</x:v>
      </x:c>
    </x:row>
    <x:row r="215" ht="41.400001525878906">
      <x:c r="A215" s="2" t="s">
        <x:v>554</x:v>
      </x:c>
      <x:c r="B215" s="4">
        <x:v>45197</x:v>
      </x:c>
      <x:c r="C215" s="2"/>
      <x:c r="D215" s="2" t="s">
        <x:v>15</x:v>
      </x:c>
      <x:c r="E215" s="2" t="s">
        <x:v>177</x:v>
      </x:c>
      <x:c r="F215" s="6">
        <x:v>11.25</x:v>
      </x:c>
      <x:c r="G215" s="8">
        <x:v>0</x:v>
      </x:c>
      <x:c r="H215" s="6">
        <x:v>11.25</x:v>
      </x:c>
      <x:c r="I215" s="2" t="s">
        <x:v>47</x:v>
      </x:c>
      <x:c r="J215" s="2" t="s">
        <x:v>244</x:v>
      </x:c>
      <x:c r="K215" s="2"/>
      <x:c r="L215" s="10" t="s">
        <x:v>555</x:v>
      </x:c>
      <x:c r="M215" s="10" t="s">
        <x:v>556</x:v>
      </x:c>
      <x:c r="N215" s="10" t="s">
        <x:v>179</x:v>
      </x:c>
    </x:row>
    <x:row r="216" ht="41.400001525878906">
      <x:c r="A216" s="2" t="s">
        <x:v>557</x:v>
      </x:c>
      <x:c r="B216" s="4">
        <x:v>45239</x:v>
      </x:c>
      <x:c r="C216" s="2"/>
      <x:c r="D216" s="2" t="s">
        <x:v>15</x:v>
      </x:c>
      <x:c r="E216" s="2" t="s">
        <x:v>177</x:v>
      </x:c>
      <x:c r="F216" s="6">
        <x:v>11.25</x:v>
      </x:c>
      <x:c r="G216" s="8">
        <x:v>0</x:v>
      </x:c>
      <x:c r="H216" s="6">
        <x:v>11.25</x:v>
      </x:c>
      <x:c r="I216" s="2" t="s">
        <x:v>47</x:v>
      </x:c>
      <x:c r="J216" s="2" t="s">
        <x:v>244</x:v>
      </x:c>
      <x:c r="K216" s="2"/>
      <x:c r="L216" s="10" t="s">
        <x:v>558</x:v>
      </x:c>
      <x:c r="M216" s="10" t="s">
        <x:v>559</x:v>
      </x:c>
      <x:c r="N216" s="10" t="s">
        <x:v>179</x:v>
      </x:c>
    </x:row>
    <x:row r="217" ht="41.400001525878906">
      <x:c r="A217" s="2" t="s">
        <x:v>560</x:v>
      </x:c>
      <x:c r="B217" s="4">
        <x:v>45274</x:v>
      </x:c>
      <x:c r="C217" s="2"/>
      <x:c r="D217" s="2" t="s">
        <x:v>15</x:v>
      </x:c>
      <x:c r="E217" s="2" t="s">
        <x:v>177</x:v>
      </x:c>
      <x:c r="F217" s="6">
        <x:v>11.25</x:v>
      </x:c>
      <x:c r="G217" s="8">
        <x:v>0</x:v>
      </x:c>
      <x:c r="H217" s="6">
        <x:v>11.25</x:v>
      </x:c>
      <x:c r="I217" s="2" t="s">
        <x:v>47</x:v>
      </x:c>
      <x:c r="J217" s="2" t="s">
        <x:v>244</x:v>
      </x:c>
      <x:c r="K217" s="2"/>
      <x:c r="L217" s="10" t="s">
        <x:v>561</x:v>
      </x:c>
      <x:c r="M217" s="10" t="s">
        <x:v>562</x:v>
      </x:c>
      <x:c r="N217" s="10" t="s">
        <x:v>179</x:v>
      </x:c>
    </x:row>
    <x:row r="218" ht="41.400001525878906">
      <x:c r="A218" s="2" t="s">
        <x:v>563</x:v>
      </x:c>
      <x:c r="B218" s="4">
        <x:v>45330</x:v>
      </x:c>
      <x:c r="C218" s="2"/>
      <x:c r="D218" s="2" t="s">
        <x:v>15</x:v>
      </x:c>
      <x:c r="E218" s="2" t="s">
        <x:v>177</x:v>
      </x:c>
      <x:c r="F218" s="6">
        <x:v>11.25</x:v>
      </x:c>
      <x:c r="G218" s="8">
        <x:v>0</x:v>
      </x:c>
      <x:c r="H218" s="6">
        <x:v>11.25</x:v>
      </x:c>
      <x:c r="I218" s="2" t="s">
        <x:v>47</x:v>
      </x:c>
      <x:c r="J218" s="2" t="s">
        <x:v>244</x:v>
      </x:c>
      <x:c r="K218" s="2"/>
      <x:c r="L218" s="10" t="s">
        <x:v>564</x:v>
      </x:c>
      <x:c r="M218" s="10" t="s">
        <x:v>565</x:v>
      </x:c>
      <x:c r="N218" s="10" t="s">
        <x:v>179</x:v>
      </x:c>
    </x:row>
    <x:row r="219" ht="41.400001525878906">
      <x:c r="A219" s="2" t="s">
        <x:v>566</x:v>
      </x:c>
      <x:c r="B219" s="4">
        <x:v>45372</x:v>
      </x:c>
      <x:c r="C219" s="2"/>
      <x:c r="D219" s="2" t="s">
        <x:v>15</x:v>
      </x:c>
      <x:c r="E219" s="2" t="s">
        <x:v>177</x:v>
      </x:c>
      <x:c r="F219" s="6">
        <x:v>11.25</x:v>
      </x:c>
      <x:c r="G219" s="8">
        <x:v>-25</x:v>
      </x:c>
      <x:c r="H219" s="6">
        <x:v>11</x:v>
      </x:c>
      <x:c r="I219" s="2" t="s">
        <x:v>199</x:v>
      </x:c>
      <x:c r="J219" s="2" t="s">
        <x:v>308</x:v>
      </x:c>
      <x:c r="K219" s="2">
        <x:v>1</x:v>
      </x:c>
      <x:c r="L219" s="10" t="s">
        <x:v>567</x:v>
      </x:c>
      <x:c r="M219" s="10" t="s">
        <x:v>568</x:v>
      </x:c>
      <x:c r="N219" s="10" t="s">
        <x:v>179</x:v>
      </x:c>
    </x:row>
    <x:row r="220" ht="41.400001525878906">
      <x:c r="A220" s="2" t="s">
        <x:v>569</x:v>
      </x:c>
      <x:c r="B220" s="4">
        <x:v>45421</x:v>
      </x:c>
      <x:c r="C220" s="2"/>
      <x:c r="D220" s="2" t="s">
        <x:v>15</x:v>
      </x:c>
      <x:c r="E220" s="2" t="s">
        <x:v>177</x:v>
      </x:c>
      <x:c r="F220" s="6">
        <x:v>11</x:v>
      </x:c>
      <x:c r="G220" s="8">
        <x:v>0</x:v>
      </x:c>
      <x:c r="H220" s="6">
        <x:v>11</x:v>
      </x:c>
      <x:c r="I220" s="2" t="s">
        <x:v>47</x:v>
      </x:c>
      <x:c r="J220" s="2" t="s">
        <x:v>244</x:v>
      </x:c>
      <x:c r="K220" s="2"/>
      <x:c r="L220" s="10" t="s">
        <x:v>570</x:v>
      </x:c>
      <x:c r="M220" s="10" t="s">
        <x:v>571</x:v>
      </x:c>
      <x:c r="N220" s="10" t="s">
        <x:v>179</x:v>
      </x:c>
    </x:row>
    <x:row r="221" ht="41.400001525878906">
      <x:c r="A221" s="2" t="s">
        <x:v>572</x:v>
      </x:c>
      <x:c r="B221" s="4">
        <x:v>45470</x:v>
      </x:c>
      <x:c r="C221" s="2"/>
      <x:c r="D221" s="2" t="s">
        <x:v>15</x:v>
      </x:c>
      <x:c r="E221" s="2" t="s">
        <x:v>177</x:v>
      </x:c>
      <x:c r="F221" s="6">
        <x:v>11</x:v>
      </x:c>
      <x:c r="G221" s="8">
        <x:v>0</x:v>
      </x:c>
      <x:c r="H221" s="6">
        <x:v>11</x:v>
      </x:c>
      <x:c r="I221" s="2" t="s">
        <x:v>47</x:v>
      </x:c>
      <x:c r="J221" s="2" t="s">
        <x:v>308</x:v>
      </x:c>
      <x:c r="K221" s="2">
        <x:v>1</x:v>
      </x:c>
      <x:c r="L221" s="10" t="s">
        <x:v>573</x:v>
      </x:c>
      <x:c r="M221" s="10" t="s">
        <x:v>574</x:v>
      </x:c>
      <x:c r="N221" s="10" t="s">
        <x:v>179</x:v>
      </x:c>
    </x:row>
    <x:row r="222" ht="41.400001525878906">
      <x:c r="A222" s="2" t="s">
        <x:v>575</x:v>
      </x:c>
      <x:c r="B222" s="4">
        <x:v>45512</x:v>
      </x:c>
      <x:c r="C222" s="2"/>
      <x:c r="D222" s="2" t="s">
        <x:v>15</x:v>
      </x:c>
      <x:c r="E222" s="2" t="s">
        <x:v>177</x:v>
      </x:c>
      <x:c r="F222" s="6">
        <x:v>11</x:v>
      </x:c>
      <x:c r="G222" s="8">
        <x:v>-25</x:v>
      </x:c>
      <x:c r="H222" s="6">
        <x:v>10.75</x:v>
      </x:c>
      <x:c r="I222" s="2" t="s">
        <x:v>199</x:v>
      </x:c>
      <x:c r="J222" s="2" t="s">
        <x:v>308</x:v>
      </x:c>
      <x:c r="K222" s="2">
        <x:v>2</x:v>
      </x:c>
      <x:c r="L222" s="10" t="s">
        <x:v>576</x:v>
      </x:c>
      <x:c r="M222" s="10" t="s">
        <x:v>577</x:v>
      </x:c>
      <x:c r="N222" s="10" t="s">
        <x:v>179</x:v>
      </x:c>
    </x:row>
    <x:row r="223" ht="41.400001525878906">
      <x:c r="A223" s="2" t="s">
        <x:v>578</x:v>
      </x:c>
      <x:c r="B223" s="4">
        <x:v>45561</x:v>
      </x:c>
      <x:c r="C223" s="2"/>
      <x:c r="D223" s="2" t="s">
        <x:v>15</x:v>
      </x:c>
      <x:c r="E223" s="2" t="s">
        <x:v>177</x:v>
      </x:c>
      <x:c r="F223" s="6">
        <x:v>10.75</x:v>
      </x:c>
      <x:c r="G223" s="8">
        <x:v>-25</x:v>
      </x:c>
      <x:c r="H223" s="6">
        <x:v>10.5</x:v>
      </x:c>
      <x:c r="I223" s="2" t="s">
        <x:v>199</x:v>
      </x:c>
      <x:c r="J223" s="2" t="s">
        <x:v>308</x:v>
      </x:c>
      <x:c r="K223" s="2">
        <x:v>1</x:v>
      </x:c>
      <x:c r="L223" s="10" t="s">
        <x:v>579</x:v>
      </x:c>
      <x:c r="M223" s="10" t="s">
        <x:v>580</x:v>
      </x:c>
      <x:c r="N223" s="10" t="s">
        <x:v>179</x:v>
      </x:c>
    </x:row>
    <x:row r="224" ht="41.400001525878906">
      <x:c r="A224" s="2" t="s">
        <x:v>581</x:v>
      </x:c>
      <x:c r="B224" s="4">
        <x:v>45610</x:v>
      </x:c>
      <x:c r="C224" s="2"/>
      <x:c r="D224" s="2" t="s">
        <x:v>15</x:v>
      </x:c>
      <x:c r="E224" s="2" t="s">
        <x:v>177</x:v>
      </x:c>
      <x:c r="F224" s="6">
        <x:v>10.5</x:v>
      </x:c>
      <x:c r="G224" s="8">
        <x:v>-25</x:v>
      </x:c>
      <x:c r="H224" s="6">
        <x:v>10.25</x:v>
      </x:c>
      <x:c r="I224" s="2" t="s">
        <x:v>199</x:v>
      </x:c>
      <x:c r="J224" s="2" t="s">
        <x:v>244</x:v>
      </x:c>
      <x:c r="K224" s="2"/>
      <x:c r="L224" s="10" t="s">
        <x:v>582</x:v>
      </x:c>
      <x:c r="M224" s="10" t="s">
        <x:v>583</x:v>
      </x:c>
      <x:c r="N224" s="10" t="s">
        <x:v>179</x:v>
      </x:c>
    </x:row>
    <x:row r="225" ht="41.400001525878906">
      <x:c r="A225" s="2" t="s">
        <x:v>584</x:v>
      </x:c>
      <x:c r="B225" s="4">
        <x:v>45645</x:v>
      </x:c>
      <x:c r="C225" s="2"/>
      <x:c r="D225" s="2" t="s">
        <x:v>15</x:v>
      </x:c>
      <x:c r="E225" s="2" t="s">
        <x:v>177</x:v>
      </x:c>
      <x:c r="F225" s="6">
        <x:v>10.25</x:v>
      </x:c>
      <x:c r="G225" s="8">
        <x:v>-25</x:v>
      </x:c>
      <x:c r="H225" s="6">
        <x:v>10</x:v>
      </x:c>
      <x:c r="I225" s="2" t="s">
        <x:v>199</x:v>
      </x:c>
      <x:c r="J225" s="2" t="s">
        <x:v>244</x:v>
      </x:c>
      <x:c r="K225" s="2"/>
      <x:c r="L225" s="10" t="s">
        <x:v>585</x:v>
      </x:c>
      <x:c r="M225" s="10" t="s">
        <x:v>586</x:v>
      </x:c>
      <x:c r="N225" s="10" t="s">
        <x:v>179</x:v>
      </x:c>
    </x:row>
    <x:row r="226" ht="41.400001525878906">
      <x:c r="A226" s="2" t="s">
        <x:v>587</x:v>
      </x:c>
      <x:c r="B226" s="4">
        <x:v>45694</x:v>
      </x:c>
      <x:c r="C226" s="2"/>
      <x:c r="D226" s="2" t="s">
        <x:v>15</x:v>
      </x:c>
      <x:c r="E226" s="2" t="s">
        <x:v>177</x:v>
      </x:c>
      <x:c r="F226" s="6">
        <x:v>10</x:v>
      </x:c>
      <x:c r="G226" s="8">
        <x:v>-50</x:v>
      </x:c>
      <x:c r="H226" s="6">
        <x:v>9.5</x:v>
      </x:c>
      <x:c r="I226" s="2" t="s">
        <x:v>199</x:v>
      </x:c>
      <x:c r="J226" s="2" t="s">
        <x:v>308</x:v>
      </x:c>
      <x:c r="K226" s="2">
        <x:v>1</x:v>
      </x:c>
      <x:c r="L226" s="10" t="s">
        <x:v>588</x:v>
      </x:c>
      <x:c r="M226" s="10" t="s">
        <x:v>589</x:v>
      </x:c>
      <x:c r="N226" s="10" t="s">
        <x:v>179</x:v>
      </x:c>
    </x:row>
    <x:row r="227" ht="41.400001525878906">
      <x:c r="A227" s="2" t="s">
        <x:v>590</x:v>
      </x:c>
      <x:c r="B227" s="4">
        <x:v>45743</x:v>
      </x:c>
      <x:c r="C227" s="2"/>
      <x:c r="D227" s="2" t="s">
        <x:v>15</x:v>
      </x:c>
      <x:c r="E227" s="2" t="s">
        <x:v>177</x:v>
      </x:c>
      <x:c r="F227" s="6">
        <x:v>9.5</x:v>
      </x:c>
      <x:c r="G227" s="8">
        <x:v>-50</x:v>
      </x:c>
      <x:c r="H227" s="6">
        <x:v>9</x:v>
      </x:c>
      <x:c r="I227" s="2" t="s">
        <x:v>199</x:v>
      </x:c>
      <x:c r="J227" s="2" t="s">
        <x:v>244</x:v>
      </x:c>
      <x:c r="K227" s="2"/>
      <x:c r="L227" s="10" t="s">
        <x:v>591</x:v>
      </x:c>
      <x:c r="M227" s="10" t="s">
        <x:v>592</x:v>
      </x:c>
      <x:c r="N227" s="10" t="s">
        <x:v>179</x:v>
      </x:c>
    </x:row>
    <x:row r="228" ht="55.20000076293945">
      <x:c r="A228" s="2" t="s">
        <x:v>593</x:v>
      </x:c>
      <x:c r="B228" s="4">
        <x:v>45792</x:v>
      </x:c>
      <x:c r="C228" s="2"/>
      <x:c r="D228" s="2" t="s">
        <x:v>15</x:v>
      </x:c>
      <x:c r="E228" s="2" t="s">
        <x:v>177</x:v>
      </x:c>
      <x:c r="F228" s="6">
        <x:v>9</x:v>
      </x:c>
      <x:c r="G228" s="8">
        <x:v>-50</x:v>
      </x:c>
      <x:c r="H228" s="6">
        <x:v>8.5</x:v>
      </x:c>
      <x:c r="I228" s="2" t="s">
        <x:v>199</x:v>
      </x:c>
      <x:c r="J228" s="2" t="s">
        <x:v>244</x:v>
      </x:c>
      <x:c r="K228" s="2"/>
      <x:c r="L228" s="10" t="s">
        <x:v>594</x:v>
      </x:c>
      <x:c r="M228" s="10" t="s">
        <x:v>595</x:v>
      </x:c>
      <x:c r="N228" s="10" t="s">
        <x:v>179</x:v>
      </x:c>
    </x:row>
    <x:row r="229" ht="41.400001525878906">
      <x:c r="A229" s="2" t="s">
        <x:v>596</x:v>
      </x:c>
      <x:c r="B229" s="4">
        <x:v>45834</x:v>
      </x:c>
      <x:c r="C229" s="2"/>
      <x:c r="D229" s="2" t="s">
        <x:v>15</x:v>
      </x:c>
      <x:c r="E229" s="2" t="s">
        <x:v>177</x:v>
      </x:c>
      <x:c r="F229" s="6">
        <x:v>8.5</x:v>
      </x:c>
      <x:c r="G229" s="8">
        <x:v>-50</x:v>
      </x:c>
      <x:c r="H229" s="6">
        <x:v>8</x:v>
      </x:c>
      <x:c r="I229" s="2" t="s">
        <x:v>199</x:v>
      </x:c>
      <x:c r="J229" s="2" t="s">
        <x:v>308</x:v>
      </x:c>
      <x:c r="K229" s="2">
        <x:v>1</x:v>
      </x:c>
      <x:c r="L229" s="10" t="s">
        <x:v>597</x:v>
      </x:c>
      <x:c r="M229" s="10" t="s">
        <x:v>598</x:v>
      </x:c>
      <x:c r="N229" s="10" t="s">
        <x:v>179</x:v>
      </x:c>
    </x:row>
    <x:row r="230" ht="41.400001525878906">
      <x:c r="A230" s="2" t="s">
        <x:v>599</x:v>
      </x:c>
      <x:c r="B230" s="4">
        <x:v>45876</x:v>
      </x:c>
      <x:c r="C230" s="2"/>
      <x:c r="D230" s="2" t="s">
        <x:v>15</x:v>
      </x:c>
      <x:c r="E230" s="2" t="s">
        <x:v>177</x:v>
      </x:c>
      <x:c r="F230" s="6">
        <x:v>8</x:v>
      </x:c>
      <x:c r="G230" s="8">
        <x:v>-25</x:v>
      </x:c>
      <x:c r="H230" s="6">
        <x:v>7.75</x:v>
      </x:c>
      <x:c r="I230" s="2" t="s">
        <x:v>199</x:v>
      </x:c>
      <x:c r="J230" s="2" t="s">
        <x:v>308</x:v>
      </x:c>
      <x:c r="K230" s="2">
        <x:v>1</x:v>
      </x:c>
      <x:c r="L230" s="10" t="s">
        <x:v>600</x:v>
      </x:c>
      <x:c r="M230" s="10" t="s">
        <x:v>601</x:v>
      </x:c>
      <x:c r="N230" s="10" t="s">
        <x:v>179</x:v>
      </x:c>
    </x:row>
    <x:row r="231" ht="41.400001525878906">
      <x:c r="A231" s="2" t="s">
        <x:v>602</x:v>
      </x:c>
      <x:c r="B231" s="4">
        <x:v>45925</x:v>
      </x:c>
      <x:c r="C231" s="2"/>
      <x:c r="D231" s="2" t="s">
        <x:v>15</x:v>
      </x:c>
      <x:c r="E231" s="2" t="s">
        <x:v>177</x:v>
      </x:c>
      <x:c r="F231" s="6">
        <x:v>7.75</x:v>
      </x:c>
      <x:c r="G231" s="8">
        <x:v>-25</x:v>
      </x:c>
      <x:c r="H231" s="6">
        <x:v>7.5</x:v>
      </x:c>
      <x:c r="I231" s="2" t="s">
        <x:v>199</x:v>
      </x:c>
      <x:c r="J231" s="2" t="s">
        <x:v>308</x:v>
      </x:c>
      <x:c r="K231" s="2">
        <x:v>1</x:v>
      </x:c>
      <x:c r="L231" s="10" t="s">
        <x:v>603</x:v>
      </x:c>
      <x:c r="M231" s="10" t="s">
        <x:v>604</x:v>
      </x:c>
      <x:c r="N231" s="10" t="s">
        <x:v>179</x:v>
      </x:c>
    </x:row>
    <x:row r="232" ht="41.400001525878906">
      <x:c r="A232" s="2" t="s">
        <x:v>605</x:v>
      </x:c>
      <x:c r="B232" s="4">
        <x:v>45967</x:v>
      </x:c>
      <x:c r="C232" s="2"/>
      <x:c r="D232" s="2" t="s">
        <x:v>15</x:v>
      </x:c>
      <x:c r="E232" s="2" t="s">
        <x:v>177</x:v>
      </x:c>
      <x:c r="F232" s="6">
        <x:v>7.5</x:v>
      </x:c>
      <x:c r="G232" s="8">
        <x:v>-25</x:v>
      </x:c>
      <x:c r="H232" s="6">
        <x:v>7.25</x:v>
      </x:c>
      <x:c r="I232" s="2" t="s">
        <x:v>199</x:v>
      </x:c>
      <x:c r="J232" s="2" t="s">
        <x:v>308</x:v>
      </x:c>
      <x:c r="K232" s="2">
        <x:v>1</x:v>
      </x:c>
      <x:c r="L232" s="10" t="s">
        <x:v>606</x:v>
      </x:c>
      <x:c r="M232" s="10" t="s">
        <x:v>607</x:v>
      </x:c>
      <x:c r="N232" s="10" t="s">
        <x:v>179</x:v>
      </x:c>
    </x:row>
    <x:row r="233" ht="41.400001525878906">
      <x:c r="A233" s="2" t="s">
        <x:v>608</x:v>
      </x:c>
      <x:c r="B233" s="4">
        <x:v>46009</x:v>
      </x:c>
      <x:c r="C233" s="2"/>
      <x:c r="D233" s="2" t="s">
        <x:v>15</x:v>
      </x:c>
      <x:c r="E233" s="2" t="s">
        <x:v>177</x:v>
      </x:c>
      <x:c r="F233" s="6">
        <x:v>7.25</x:v>
      </x:c>
      <x:c r="G233" s="8">
        <x:v>-25</x:v>
      </x:c>
      <x:c r="H233" s="6">
        <x:v>7</x:v>
      </x:c>
      <x:c r="I233" s="2" t="s">
        <x:v>199</x:v>
      </x:c>
      <x:c r="J233" s="2" t="s">
        <x:v>308</x:v>
      </x:c>
      <x:c r="K233" s="2">
        <x:v>1</x:v>
      </x:c>
      <x:c r="L233" s="10" t="s">
        <x:v>609</x:v>
      </x:c>
      <x:c r="M233" s="10" t="s">
        <x:v>610</x:v>
      </x:c>
      <x:c r="N233" s="10" t="s">
        <x:v>179</x:v>
      </x:c>
    </x:row>
    <x:row r="234" ht="41.400001525878906">
      <x:c r="A234" s="2" t="s">
        <x:v>611</x:v>
      </x:c>
      <x:c r="B234" s="4">
        <x:v>46058</x:v>
      </x:c>
      <x:c r="C234" s="2"/>
      <x:c r="D234" s="2" t="s">
        <x:v>15</x:v>
      </x:c>
      <x:c r="E234" s="2" t="s">
        <x:v>177</x:v>
      </x:c>
      <x:c r="F234" s="6">
        <x:v>7</x:v>
      </x:c>
      <x:c r="G234" s="8">
        <x:v>0</x:v>
      </x:c>
      <x:c r="H234" s="6">
        <x:v>7</x:v>
      </x:c>
      <x:c r="I234" s="2" t="s">
        <x:v>47</x:v>
      </x:c>
      <x:c r="J234" s="2" t="s">
        <x:v>244</x:v>
      </x:c>
      <x:c r="K234" s="2"/>
      <x:c r="L234" s="10" t="s">
        <x:v>612</x:v>
      </x:c>
      <x:c r="M234" s="10" t="s">
        <x:v>613</x:v>
      </x:c>
      <x:c r="N234" s="10" t="s">
        <x:v>179</x:v>
      </x:c>
    </x:row>
    <x:row r="235" ht="41.400001525878906">
      <x:c r="A235" s="2" t="s">
        <x:v>614</x:v>
      </x:c>
      <x:c r="B235" s="4">
        <x:v>46107</x:v>
      </x:c>
      <x:c r="C235" s="2"/>
      <x:c r="D235" s="2" t="s">
        <x:v>15</x:v>
      </x:c>
      <x:c r="E235" s="2" t="s">
        <x:v>177</x:v>
      </x:c>
      <x:c r="F235" s="6">
        <x:v>7</x:v>
      </x:c>
      <x:c r="G235" s="8">
        <x:v>-25</x:v>
      </x:c>
      <x:c r="H235" s="6">
        <x:v>6.75</x:v>
      </x:c>
      <x:c r="I235" s="2" t="s">
        <x:v>199</x:v>
      </x:c>
      <x:c r="J235" s="2" t="s">
        <x:v>308</x:v>
      </x:c>
      <x:c r="K235" s="2">
        <x:v>2</x:v>
      </x:c>
      <x:c r="L235" s="10" t="s">
        <x:v>615</x:v>
      </x:c>
      <x:c r="M235" s="10" t="s">
        <x:v>616</x:v>
      </x:c>
      <x:c r="N235" s="10" t="s">
        <x:v>179</x:v>
      </x:c>
    </x:row>
    <x:row r="236" ht="41.400001525878906">
      <x:c r="A236" s="2" t="s">
        <x:v>617</x:v>
      </x:c>
      <x:c r="B236" s="4">
        <x:v>46149</x:v>
      </x:c>
      <x:c r="C236" s="2"/>
      <x:c r="D236" s="2" t="s">
        <x:v>15</x:v>
      </x:c>
      <x:c r="E236" s="2" t="s">
        <x:v>177</x:v>
      </x:c>
      <x:c r="F236" s="6">
        <x:v>6.75</x:v>
      </x:c>
      <x:c r="G236" s="8">
        <x:v>-25</x:v>
      </x:c>
      <x:c r="H236" s="6">
        <x:v>6.5</x:v>
      </x:c>
      <x:c r="I236" s="2" t="s">
        <x:v>199</x:v>
      </x:c>
      <x:c r="J236" s="2" t="s">
        <x:v>308</x:v>
      </x:c>
      <x:c r="K236" s="2">
        <x:v>2</x:v>
      </x:c>
      <x:c r="L236" s="10" t="s">
        <x:v>618</x:v>
      </x:c>
      <x:c r="M236" s="10" t="s">
        <x:v>619</x:v>
      </x:c>
      <x:c r="N236" s="10" t="s">
        <x:v>179</x:v>
      </x:c>
    </x:row>
    <x:row r="237" ht="41.400001525878906">
      <x:c r="A237" s="3" t="s">
        <x:v>620</x:v>
      </x:c>
      <x:c r="B237" s="5">
        <x:v>46198</x:v>
      </x:c>
      <x:c r="C237" s="3"/>
      <x:c r="D237" s="3" t="s">
        <x:v>15</x:v>
      </x:c>
      <x:c r="E237" s="3" t="s">
        <x:v>177</x:v>
      </x:c>
      <x:c r="F237" s="7">
        <x:v>6.5</x:v>
      </x:c>
      <x:c r="G237" s="9">
        <x:v>0</x:v>
      </x:c>
      <x:c r="H237" s="7">
        <x:v>6.5</x:v>
      </x:c>
      <x:c r="I237" s="3" t="s">
        <x:v>47</x:v>
      </x:c>
      <x:c r="J237" s="3" t="s">
        <x:v>244</x:v>
      </x:c>
      <x:c r="K237" s="3"/>
      <x:c r="L237" s="11" t="s">
        <x:v>621</x:v>
      </x:c>
      <x:c r="M237" s="11" t="s">
        <x:v>622</x:v>
      </x:c>
      <x:c r="N237" s="11" t="s">
        <x:v>179</x:v>
      </x:c>
    </x:row>
    <x:row r="238">
      <x:c r="A238" t="str">
        <x:v>D20260806</x:v>
      </x:c>
      <x:c r="B238" s="163" t="n">
        <x:v>46240</x:v>
      </x:c>
      <x:c r="C238"/>
      <x:c r="D238" t="str">
        <x:v>Ordinaria</x:v>
      </x:c>
      <x:c r="E238" t="str">
        <x:v>Tasa objetivo</x:v>
      </x:c>
      <x:c r="F238" t="n">
        <x:v>6.5</x:v>
      </x:c>
      <x:c r="G238" t="n">
        <x:v>0</x:v>
      </x:c>
      <x:c r="H238" t="n">
        <x:v>6.5</x:v>
      </x:c>
      <x:c r="I238" t="str">
        <x:v>Sin cambio</x:v>
      </x:c>
      <x:c r="J238" t="str">
        <x:v>Sí</x:v>
      </x:c>
      <x:c r="K238" t="n">
        <x:v>0</x:v>
      </x:c>
      <x:c r="L238" t="str">
        <x:v>https://www.banxico.org.mx/publicaciones-y-prensa/anuncios-de-las-decisiones-de-politica-monetaria/{8DA3F519-341F-480E-1D4E-1AEE71DD08DA}.pdf</x:v>
      </x:c>
      <x:c r="M238"/>
      <x:c r="N238" t="str">
        <x:v>Régimen: Tasa objetivo. Decisión unánime con presencia de todos los miembros.</x:v>
      </x:c>
    </x:row>
  </x:sheetData>
  <x:conditionalFormatting sqref="J2:J237">
    <x:cfRule type="containsText" dxfId="3" priority="1" operator="containsText" text="No disponible"/>
  </x:conditionalFormatting>
  <x:dataValidations count="3">
    <x:dataValidation type="list" sqref="D2:D237">
      <x:formula1>"Ordinaria,Extraordinaria"</x:formula1>
    </x:dataValidation>
    <x:dataValidation type="list" sqref="I2:I237">
      <x:formula1>"Sube,Baja,Sin cambio,No disponible"</x:formula1>
    </x:dataValidation>
    <x:dataValidation type="list" sqref="J2:J237">
      <x:formula1>"Sí,No,No disponible"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e3560d2b7d7464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5" customWidth="1"/>
    <x:col min="2" max="2" width="13" customWidth="1"/>
    <x:col min="3" max="3" width="34" customWidth="1"/>
    <x:col min="4" max="4" width="25" customWidth="1"/>
    <x:col min="5" max="5" width="82" customWidth="1"/>
  </x:cols>
  <x:sheetData>
    <x:row r="1" ht="31.950000762939453" customHeight="1">
      <x:c r="A1" s="58" t="s">
        <x:v>0</x:v>
      </x:c>
      <x:c r="B1" s="58" t="s">
        <x:v>623</x:v>
      </x:c>
      <x:c r="C1" s="58" t="s">
        <x:v>624</x:v>
      </x:c>
      <x:c r="D1" s="58" t="s">
        <x:v>625</x:v>
      </x:c>
      <x:c r="E1" s="58" t="s">
        <x:v>13</x:v>
      </x:c>
    </x:row>
    <x:row r="2" ht="69">
      <x:c r="A2" s="54" t="s">
        <x:v>422</x:v>
      </x:c>
      <x:c r="B2" s="54" t="s">
        <x:v>626</x:v>
      </x:c>
      <x:c r="C2" s="54" t="s">
        <x:v>627</x:v>
      </x:c>
      <x:c r="D2" s="54" t="s">
        <x:v>628</x:v>
      </x:c>
      <x:c r="E2" s="56" t="s">
        <x:v>629</x:v>
      </x:c>
    </x:row>
    <x:row r="3" ht="69">
      <x:c r="A3" s="2" t="s">
        <x:v>422</x:v>
      </x:c>
      <x:c r="B3" s="2" t="s">
        <x:v>630</x:v>
      </x:c>
      <x:c r="C3" s="2" t="s">
        <x:v>627</x:v>
      </x:c>
      <x:c r="D3" s="2" t="s">
        <x:v>628</x:v>
      </x:c>
      <x:c r="E3" s="10" t="s">
        <x:v>629</x:v>
      </x:c>
    </x:row>
    <x:row r="4" ht="69">
      <x:c r="A4" s="2" t="s">
        <x:v>422</x:v>
      </x:c>
      <x:c r="B4" s="2" t="s">
        <x:v>631</x:v>
      </x:c>
      <x:c r="C4" s="2" t="s">
        <x:v>627</x:v>
      </x:c>
      <x:c r="D4" s="2" t="s">
        <x:v>628</x:v>
      </x:c>
      <x:c r="E4" s="10" t="s">
        <x:v>629</x:v>
      </x:c>
    </x:row>
    <x:row r="5" ht="69">
      <x:c r="A5" s="2" t="s">
        <x:v>422</x:v>
      </x:c>
      <x:c r="B5" s="2" t="s">
        <x:v>632</x:v>
      </x:c>
      <x:c r="C5" s="2" t="s">
        <x:v>627</x:v>
      </x:c>
      <x:c r="D5" s="2" t="s">
        <x:v>628</x:v>
      </x:c>
      <x:c r="E5" s="10" t="s">
        <x:v>629</x:v>
      </x:c>
    </x:row>
    <x:row r="6" ht="69">
      <x:c r="A6" s="2" t="s">
        <x:v>422</x:v>
      </x:c>
      <x:c r="B6" s="2" t="s">
        <x:v>633</x:v>
      </x:c>
      <x:c r="C6" s="2" t="s">
        <x:v>627</x:v>
      </x:c>
      <x:c r="D6" s="2" t="s">
        <x:v>628</x:v>
      </x:c>
      <x:c r="E6" s="10" t="s">
        <x:v>629</x:v>
      </x:c>
    </x:row>
    <x:row r="7" ht="69">
      <x:c r="A7" s="2" t="s">
        <x:v>425</x:v>
      </x:c>
      <x:c r="B7" s="2" t="s">
        <x:v>626</x:v>
      </x:c>
      <x:c r="C7" s="2" t="s">
        <x:v>627</x:v>
      </x:c>
      <x:c r="D7" s="2" t="s">
        <x:v>628</x:v>
      </x:c>
      <x:c r="E7" s="10" t="s">
        <x:v>634</x:v>
      </x:c>
    </x:row>
    <x:row r="8" ht="69">
      <x:c r="A8" s="2" t="s">
        <x:v>425</x:v>
      </x:c>
      <x:c r="B8" s="2" t="s">
        <x:v>630</x:v>
      </x:c>
      <x:c r="C8" s="2" t="s">
        <x:v>627</x:v>
      </x:c>
      <x:c r="D8" s="2" t="s">
        <x:v>628</x:v>
      </x:c>
      <x:c r="E8" s="10" t="s">
        <x:v>634</x:v>
      </x:c>
    </x:row>
    <x:row r="9" ht="69">
      <x:c r="A9" s="2" t="s">
        <x:v>425</x:v>
      </x:c>
      <x:c r="B9" s="2" t="s">
        <x:v>631</x:v>
      </x:c>
      <x:c r="C9" s="2" t="s">
        <x:v>627</x:v>
      </x:c>
      <x:c r="D9" s="2" t="s">
        <x:v>628</x:v>
      </x:c>
      <x:c r="E9" s="10" t="s">
        <x:v>634</x:v>
      </x:c>
    </x:row>
    <x:row r="10" ht="69">
      <x:c r="A10" s="2" t="s">
        <x:v>425</x:v>
      </x:c>
      <x:c r="B10" s="2" t="s">
        <x:v>632</x:v>
      </x:c>
      <x:c r="C10" s="2" t="s">
        <x:v>627</x:v>
      </x:c>
      <x:c r="D10" s="2" t="s">
        <x:v>628</x:v>
      </x:c>
      <x:c r="E10" s="10" t="s">
        <x:v>634</x:v>
      </x:c>
    </x:row>
    <x:row r="11" ht="69">
      <x:c r="A11" s="2" t="s">
        <x:v>425</x:v>
      </x:c>
      <x:c r="B11" s="2" t="s">
        <x:v>633</x:v>
      </x:c>
      <x:c r="C11" s="2" t="s">
        <x:v>627</x:v>
      </x:c>
      <x:c r="D11" s="2" t="s">
        <x:v>628</x:v>
      </x:c>
      <x:c r="E11" s="10" t="s">
        <x:v>634</x:v>
      </x:c>
    </x:row>
    <x:row r="12" ht="69">
      <x:c r="A12" s="2" t="s">
        <x:v>428</x:v>
      </x:c>
      <x:c r="B12" s="2" t="s">
        <x:v>626</x:v>
      </x:c>
      <x:c r="C12" s="2" t="s">
        <x:v>627</x:v>
      </x:c>
      <x:c r="D12" s="2" t="s">
        <x:v>628</x:v>
      </x:c>
      <x:c r="E12" s="10" t="s">
        <x:v>635</x:v>
      </x:c>
    </x:row>
    <x:row r="13" ht="69">
      <x:c r="A13" s="2" t="s">
        <x:v>428</x:v>
      </x:c>
      <x:c r="B13" s="2" t="s">
        <x:v>630</x:v>
      </x:c>
      <x:c r="C13" s="2" t="s">
        <x:v>627</x:v>
      </x:c>
      <x:c r="D13" s="2" t="s">
        <x:v>628</x:v>
      </x:c>
      <x:c r="E13" s="10" t="s">
        <x:v>635</x:v>
      </x:c>
    </x:row>
    <x:row r="14" ht="69">
      <x:c r="A14" s="2" t="s">
        <x:v>428</x:v>
      </x:c>
      <x:c r="B14" s="2" t="s">
        <x:v>631</x:v>
      </x:c>
      <x:c r="C14" s="2" t="s">
        <x:v>627</x:v>
      </x:c>
      <x:c r="D14" s="2" t="s">
        <x:v>628</x:v>
      </x:c>
      <x:c r="E14" s="10" t="s">
        <x:v>635</x:v>
      </x:c>
    </x:row>
    <x:row r="15" ht="69">
      <x:c r="A15" s="2" t="s">
        <x:v>428</x:v>
      </x:c>
      <x:c r="B15" s="2" t="s">
        <x:v>632</x:v>
      </x:c>
      <x:c r="C15" s="2" t="s">
        <x:v>627</x:v>
      </x:c>
      <x:c r="D15" s="2" t="s">
        <x:v>628</x:v>
      </x:c>
      <x:c r="E15" s="10" t="s">
        <x:v>635</x:v>
      </x:c>
    </x:row>
    <x:row r="16" ht="69">
      <x:c r="A16" s="2" t="s">
        <x:v>428</x:v>
      </x:c>
      <x:c r="B16" s="2" t="s">
        <x:v>633</x:v>
      </x:c>
      <x:c r="C16" s="2" t="s">
        <x:v>627</x:v>
      </x:c>
      <x:c r="D16" s="2" t="s">
        <x:v>628</x:v>
      </x:c>
      <x:c r="E16" s="10" t="s">
        <x:v>635</x:v>
      </x:c>
    </x:row>
    <x:row r="17" ht="69">
      <x:c r="A17" s="2" t="s">
        <x:v>431</x:v>
      </x:c>
      <x:c r="B17" s="2" t="s">
        <x:v>626</x:v>
      </x:c>
      <x:c r="C17" s="2" t="s">
        <x:v>627</x:v>
      </x:c>
      <x:c r="D17" s="2" t="s">
        <x:v>628</x:v>
      </x:c>
      <x:c r="E17" s="10" t="s">
        <x:v>636</x:v>
      </x:c>
    </x:row>
    <x:row r="18" ht="69">
      <x:c r="A18" s="2" t="s">
        <x:v>431</x:v>
      </x:c>
      <x:c r="B18" s="2" t="s">
        <x:v>630</x:v>
      </x:c>
      <x:c r="C18" s="2" t="s">
        <x:v>627</x:v>
      </x:c>
      <x:c r="D18" s="2" t="s">
        <x:v>628</x:v>
      </x:c>
      <x:c r="E18" s="10" t="s">
        <x:v>636</x:v>
      </x:c>
    </x:row>
    <x:row r="19" ht="69">
      <x:c r="A19" s="2" t="s">
        <x:v>431</x:v>
      </x:c>
      <x:c r="B19" s="2" t="s">
        <x:v>631</x:v>
      </x:c>
      <x:c r="C19" s="2" t="s">
        <x:v>627</x:v>
      </x:c>
      <x:c r="D19" s="2" t="s">
        <x:v>628</x:v>
      </x:c>
      <x:c r="E19" s="10" t="s">
        <x:v>636</x:v>
      </x:c>
    </x:row>
    <x:row r="20" ht="69">
      <x:c r="A20" s="2" t="s">
        <x:v>431</x:v>
      </x:c>
      <x:c r="B20" s="2" t="s">
        <x:v>632</x:v>
      </x:c>
      <x:c r="C20" s="2" t="s">
        <x:v>627</x:v>
      </x:c>
      <x:c r="D20" s="2" t="s">
        <x:v>628</x:v>
      </x:c>
      <x:c r="E20" s="10" t="s">
        <x:v>636</x:v>
      </x:c>
    </x:row>
    <x:row r="21" ht="69">
      <x:c r="A21" s="2" t="s">
        <x:v>431</x:v>
      </x:c>
      <x:c r="B21" s="2" t="s">
        <x:v>633</x:v>
      </x:c>
      <x:c r="C21" s="2" t="s">
        <x:v>627</x:v>
      </x:c>
      <x:c r="D21" s="2" t="s">
        <x:v>628</x:v>
      </x:c>
      <x:c r="E21" s="10" t="s">
        <x:v>636</x:v>
      </x:c>
    </x:row>
    <x:row r="22" ht="69">
      <x:c r="A22" s="2" t="s">
        <x:v>434</x:v>
      </x:c>
      <x:c r="B22" s="2" t="s">
        <x:v>626</x:v>
      </x:c>
      <x:c r="C22" s="2" t="s">
        <x:v>627</x:v>
      </x:c>
      <x:c r="D22" s="2" t="s">
        <x:v>628</x:v>
      </x:c>
      <x:c r="E22" s="10" t="s">
        <x:v>637</x:v>
      </x:c>
    </x:row>
    <x:row r="23" ht="69">
      <x:c r="A23" s="2" t="s">
        <x:v>434</x:v>
      </x:c>
      <x:c r="B23" s="2" t="s">
        <x:v>630</x:v>
      </x:c>
      <x:c r="C23" s="2" t="s">
        <x:v>627</x:v>
      </x:c>
      <x:c r="D23" s="2" t="s">
        <x:v>628</x:v>
      </x:c>
      <x:c r="E23" s="10" t="s">
        <x:v>637</x:v>
      </x:c>
    </x:row>
    <x:row r="24" ht="69">
      <x:c r="A24" s="2" t="s">
        <x:v>434</x:v>
      </x:c>
      <x:c r="B24" s="2" t="s">
        <x:v>631</x:v>
      </x:c>
      <x:c r="C24" s="2" t="s">
        <x:v>627</x:v>
      </x:c>
      <x:c r="D24" s="2" t="s">
        <x:v>628</x:v>
      </x:c>
      <x:c r="E24" s="10" t="s">
        <x:v>637</x:v>
      </x:c>
    </x:row>
    <x:row r="25" ht="69">
      <x:c r="A25" s="2" t="s">
        <x:v>434</x:v>
      </x:c>
      <x:c r="B25" s="2" t="s">
        <x:v>632</x:v>
      </x:c>
      <x:c r="C25" s="2" t="s">
        <x:v>627</x:v>
      </x:c>
      <x:c r="D25" s="2" t="s">
        <x:v>628</x:v>
      </x:c>
      <x:c r="E25" s="10" t="s">
        <x:v>637</x:v>
      </x:c>
    </x:row>
    <x:row r="26" ht="69">
      <x:c r="A26" s="2" t="s">
        <x:v>434</x:v>
      </x:c>
      <x:c r="B26" s="2" t="s">
        <x:v>633</x:v>
      </x:c>
      <x:c r="C26" s="2" t="s">
        <x:v>627</x:v>
      </x:c>
      <x:c r="D26" s="2" t="s">
        <x:v>628</x:v>
      </x:c>
      <x:c r="E26" s="10" t="s">
        <x:v>637</x:v>
      </x:c>
    </x:row>
    <x:row r="27" ht="55.20000076293945">
      <x:c r="A27" s="2" t="s">
        <x:v>437</x:v>
      </x:c>
      <x:c r="B27" s="2"/>
      <x:c r="C27" s="2" t="s">
        <x:v>627</x:v>
      </x:c>
      <x:c r="D27" s="2" t="s">
        <x:v>638</x:v>
      </x:c>
      <x:c r="E27" s="10" t="s">
        <x:v>639</x:v>
      </x:c>
    </x:row>
    <x:row r="28" ht="69">
      <x:c r="A28" s="2" t="s">
        <x:v>437</x:v>
      </x:c>
      <x:c r="B28" s="2" t="s">
        <x:v>630</x:v>
      </x:c>
      <x:c r="C28" s="2" t="s">
        <x:v>627</x:v>
      </x:c>
      <x:c r="D28" s="2" t="s">
        <x:v>628</x:v>
      </x:c>
      <x:c r="E28" s="10" t="s">
        <x:v>640</x:v>
      </x:c>
    </x:row>
    <x:row r="29" ht="69">
      <x:c r="A29" s="2" t="s">
        <x:v>437</x:v>
      </x:c>
      <x:c r="B29" s="2" t="s">
        <x:v>631</x:v>
      </x:c>
      <x:c r="C29" s="2" t="s">
        <x:v>627</x:v>
      </x:c>
      <x:c r="D29" s="2" t="s">
        <x:v>628</x:v>
      </x:c>
      <x:c r="E29" s="10" t="s">
        <x:v>640</x:v>
      </x:c>
    </x:row>
    <x:row r="30" ht="69">
      <x:c r="A30" s="2" t="s">
        <x:v>437</x:v>
      </x:c>
      <x:c r="B30" s="2" t="s">
        <x:v>632</x:v>
      </x:c>
      <x:c r="C30" s="2" t="s">
        <x:v>627</x:v>
      </x:c>
      <x:c r="D30" s="2" t="s">
        <x:v>628</x:v>
      </x:c>
      <x:c r="E30" s="10" t="s">
        <x:v>640</x:v>
      </x:c>
    </x:row>
    <x:row r="31" ht="69">
      <x:c r="A31" s="2" t="s">
        <x:v>437</x:v>
      </x:c>
      <x:c r="B31" s="2" t="s">
        <x:v>633</x:v>
      </x:c>
      <x:c r="C31" s="2" t="s">
        <x:v>627</x:v>
      </x:c>
      <x:c r="D31" s="2" t="s">
        <x:v>628</x:v>
      </x:c>
      <x:c r="E31" s="10" t="s">
        <x:v>640</x:v>
      </x:c>
    </x:row>
    <x:row r="32" ht="69">
      <x:c r="A32" s="2" t="s">
        <x:v>440</x:v>
      </x:c>
      <x:c r="B32" s="2" t="s">
        <x:v>631</x:v>
      </x:c>
      <x:c r="C32" s="2" t="s">
        <x:v>627</x:v>
      </x:c>
      <x:c r="D32" s="2" t="s">
        <x:v>628</x:v>
      </x:c>
      <x:c r="E32" s="10" t="s">
        <x:v>641</x:v>
      </x:c>
    </x:row>
    <x:row r="33" ht="69">
      <x:c r="A33" s="2" t="s">
        <x:v>440</x:v>
      </x:c>
      <x:c r="B33" s="2" t="s">
        <x:v>632</x:v>
      </x:c>
      <x:c r="C33" s="2" t="s">
        <x:v>627</x:v>
      </x:c>
      <x:c r="D33" s="2" t="s">
        <x:v>628</x:v>
      </x:c>
      <x:c r="E33" s="10" t="s">
        <x:v>641</x:v>
      </x:c>
    </x:row>
    <x:row r="34" ht="69">
      <x:c r="A34" s="2" t="s">
        <x:v>440</x:v>
      </x:c>
      <x:c r="B34" s="2" t="s">
        <x:v>633</x:v>
      </x:c>
      <x:c r="C34" s="2" t="s">
        <x:v>627</x:v>
      </x:c>
      <x:c r="D34" s="2" t="s">
        <x:v>628</x:v>
      </x:c>
      <x:c r="E34" s="10" t="s">
        <x:v>641</x:v>
      </x:c>
    </x:row>
    <x:row r="35" ht="69">
      <x:c r="A35" s="2" t="s">
        <x:v>440</x:v>
      </x:c>
      <x:c r="B35" s="2" t="s">
        <x:v>642</x:v>
      </x:c>
      <x:c r="C35" s="2" t="s">
        <x:v>627</x:v>
      </x:c>
      <x:c r="D35" s="2" t="s">
        <x:v>628</x:v>
      </x:c>
      <x:c r="E35" s="10" t="s">
        <x:v>641</x:v>
      </x:c>
    </x:row>
    <x:row r="36" ht="69">
      <x:c r="A36" s="2" t="s">
        <x:v>440</x:v>
      </x:c>
      <x:c r="B36" s="2" t="s">
        <x:v>643</x:v>
      </x:c>
      <x:c r="C36" s="2" t="s">
        <x:v>627</x:v>
      </x:c>
      <x:c r="D36" s="2" t="s">
        <x:v>628</x:v>
      </x:c>
      <x:c r="E36" s="10" t="s">
        <x:v>641</x:v>
      </x:c>
    </x:row>
    <x:row r="37" ht="69">
      <x:c r="A37" s="2" t="s">
        <x:v>443</x:v>
      </x:c>
      <x:c r="B37" s="2" t="s">
        <x:v>631</x:v>
      </x:c>
      <x:c r="C37" s="2" t="s">
        <x:v>627</x:v>
      </x:c>
      <x:c r="D37" s="2" t="s">
        <x:v>628</x:v>
      </x:c>
      <x:c r="E37" s="10" t="s">
        <x:v>644</x:v>
      </x:c>
    </x:row>
    <x:row r="38" ht="69">
      <x:c r="A38" s="2" t="s">
        <x:v>443</x:v>
      </x:c>
      <x:c r="B38" s="2" t="s">
        <x:v>632</x:v>
      </x:c>
      <x:c r="C38" s="2" t="s">
        <x:v>627</x:v>
      </x:c>
      <x:c r="D38" s="2" t="s">
        <x:v>628</x:v>
      </x:c>
      <x:c r="E38" s="10" t="s">
        <x:v>644</x:v>
      </x:c>
    </x:row>
    <x:row r="39" ht="69">
      <x:c r="A39" s="2" t="s">
        <x:v>443</x:v>
      </x:c>
      <x:c r="B39" s="2" t="s">
        <x:v>633</x:v>
      </x:c>
      <x:c r="C39" s="2" t="s">
        <x:v>627</x:v>
      </x:c>
      <x:c r="D39" s="2" t="s">
        <x:v>628</x:v>
      </x:c>
      <x:c r="E39" s="10" t="s">
        <x:v>644</x:v>
      </x:c>
    </x:row>
    <x:row r="40" ht="69">
      <x:c r="A40" s="2" t="s">
        <x:v>443</x:v>
      </x:c>
      <x:c r="B40" s="2" t="s">
        <x:v>642</x:v>
      </x:c>
      <x:c r="C40" s="2" t="s">
        <x:v>627</x:v>
      </x:c>
      <x:c r="D40" s="2" t="s">
        <x:v>628</x:v>
      </x:c>
      <x:c r="E40" s="10" t="s">
        <x:v>644</x:v>
      </x:c>
    </x:row>
    <x:row r="41" ht="69">
      <x:c r="A41" s="2" t="s">
        <x:v>443</x:v>
      </x:c>
      <x:c r="B41" s="2" t="s">
        <x:v>643</x:v>
      </x:c>
      <x:c r="C41" s="2" t="s">
        <x:v>627</x:v>
      </x:c>
      <x:c r="D41" s="2" t="s">
        <x:v>628</x:v>
      </x:c>
      <x:c r="E41" s="10" t="s">
        <x:v>644</x:v>
      </x:c>
    </x:row>
    <x:row r="42" ht="69">
      <x:c r="A42" s="2" t="s">
        <x:v>446</x:v>
      </x:c>
      <x:c r="B42" s="2" t="s">
        <x:v>631</x:v>
      </x:c>
      <x:c r="C42" s="2" t="s">
        <x:v>627</x:v>
      </x:c>
      <x:c r="D42" s="2" t="s">
        <x:v>628</x:v>
      </x:c>
      <x:c r="E42" s="10" t="s">
        <x:v>645</x:v>
      </x:c>
    </x:row>
    <x:row r="43" ht="69">
      <x:c r="A43" s="2" t="s">
        <x:v>446</x:v>
      </x:c>
      <x:c r="B43" s="2" t="s">
        <x:v>632</x:v>
      </x:c>
      <x:c r="C43" s="2" t="s">
        <x:v>627</x:v>
      </x:c>
      <x:c r="D43" s="2" t="s">
        <x:v>628</x:v>
      </x:c>
      <x:c r="E43" s="10" t="s">
        <x:v>645</x:v>
      </x:c>
    </x:row>
    <x:row r="44" ht="69">
      <x:c r="A44" s="2" t="s">
        <x:v>446</x:v>
      </x:c>
      <x:c r="B44" s="2" t="s">
        <x:v>633</x:v>
      </x:c>
      <x:c r="C44" s="2" t="s">
        <x:v>627</x:v>
      </x:c>
      <x:c r="D44" s="2" t="s">
        <x:v>628</x:v>
      </x:c>
      <x:c r="E44" s="10" t="s">
        <x:v>645</x:v>
      </x:c>
    </x:row>
    <x:row r="45" ht="69">
      <x:c r="A45" s="2" t="s">
        <x:v>446</x:v>
      </x:c>
      <x:c r="B45" s="2" t="s">
        <x:v>642</x:v>
      </x:c>
      <x:c r="C45" s="2" t="s">
        <x:v>627</x:v>
      </x:c>
      <x:c r="D45" s="2" t="s">
        <x:v>628</x:v>
      </x:c>
      <x:c r="E45" s="10" t="s">
        <x:v>645</x:v>
      </x:c>
    </x:row>
    <x:row r="46" ht="69">
      <x:c r="A46" s="2" t="s">
        <x:v>446</x:v>
      </x:c>
      <x:c r="B46" s="2" t="s">
        <x:v>643</x:v>
      </x:c>
      <x:c r="C46" s="2" t="s">
        <x:v>627</x:v>
      </x:c>
      <x:c r="D46" s="2" t="s">
        <x:v>628</x:v>
      </x:c>
      <x:c r="E46" s="10" t="s">
        <x:v>645</x:v>
      </x:c>
    </x:row>
    <x:row r="47" ht="69">
      <x:c r="A47" s="2" t="s">
        <x:v>449</x:v>
      </x:c>
      <x:c r="B47" s="2" t="s">
        <x:v>631</x:v>
      </x:c>
      <x:c r="C47" s="2" t="s">
        <x:v>627</x:v>
      </x:c>
      <x:c r="D47" s="2" t="s">
        <x:v>628</x:v>
      </x:c>
      <x:c r="E47" s="10" t="s">
        <x:v>646</x:v>
      </x:c>
    </x:row>
    <x:row r="48" ht="69">
      <x:c r="A48" s="2" t="s">
        <x:v>449</x:v>
      </x:c>
      <x:c r="B48" s="2" t="s">
        <x:v>632</x:v>
      </x:c>
      <x:c r="C48" s="2" t="s">
        <x:v>627</x:v>
      </x:c>
      <x:c r="D48" s="2" t="s">
        <x:v>628</x:v>
      </x:c>
      <x:c r="E48" s="10" t="s">
        <x:v>646</x:v>
      </x:c>
    </x:row>
    <x:row r="49" ht="69">
      <x:c r="A49" s="2" t="s">
        <x:v>449</x:v>
      </x:c>
      <x:c r="B49" s="2" t="s">
        <x:v>633</x:v>
      </x:c>
      <x:c r="C49" s="2" t="s">
        <x:v>627</x:v>
      </x:c>
      <x:c r="D49" s="2" t="s">
        <x:v>628</x:v>
      </x:c>
      <x:c r="E49" s="10" t="s">
        <x:v>646</x:v>
      </x:c>
    </x:row>
    <x:row r="50" ht="69">
      <x:c r="A50" s="2" t="s">
        <x:v>449</x:v>
      </x:c>
      <x:c r="B50" s="2" t="s">
        <x:v>642</x:v>
      </x:c>
      <x:c r="C50" s="2" t="s">
        <x:v>627</x:v>
      </x:c>
      <x:c r="D50" s="2" t="s">
        <x:v>628</x:v>
      </x:c>
      <x:c r="E50" s="10" t="s">
        <x:v>646</x:v>
      </x:c>
    </x:row>
    <x:row r="51" ht="69">
      <x:c r="A51" s="2" t="s">
        <x:v>449</x:v>
      </x:c>
      <x:c r="B51" s="2" t="s">
        <x:v>643</x:v>
      </x:c>
      <x:c r="C51" s="2" t="s">
        <x:v>627</x:v>
      </x:c>
      <x:c r="D51" s="2" t="s">
        <x:v>628</x:v>
      </x:c>
      <x:c r="E51" s="10" t="s">
        <x:v>646</x:v>
      </x:c>
    </x:row>
    <x:row r="52" ht="69">
      <x:c r="A52" s="2" t="s">
        <x:v>452</x:v>
      </x:c>
      <x:c r="B52" s="2" t="s">
        <x:v>631</x:v>
      </x:c>
      <x:c r="C52" s="2" t="s">
        <x:v>627</x:v>
      </x:c>
      <x:c r="D52" s="2" t="s">
        <x:v>628</x:v>
      </x:c>
      <x:c r="E52" s="10" t="s">
        <x:v>647</x:v>
      </x:c>
    </x:row>
    <x:row r="53" ht="69">
      <x:c r="A53" s="2" t="s">
        <x:v>452</x:v>
      </x:c>
      <x:c r="B53" s="2" t="s">
        <x:v>632</x:v>
      </x:c>
      <x:c r="C53" s="2" t="s">
        <x:v>627</x:v>
      </x:c>
      <x:c r="D53" s="2" t="s">
        <x:v>628</x:v>
      </x:c>
      <x:c r="E53" s="10" t="s">
        <x:v>647</x:v>
      </x:c>
    </x:row>
    <x:row r="54" ht="69">
      <x:c r="A54" s="2" t="s">
        <x:v>452</x:v>
      </x:c>
      <x:c r="B54" s="2" t="s">
        <x:v>633</x:v>
      </x:c>
      <x:c r="C54" s="2" t="s">
        <x:v>627</x:v>
      </x:c>
      <x:c r="D54" s="2" t="s">
        <x:v>628</x:v>
      </x:c>
      <x:c r="E54" s="10" t="s">
        <x:v>647</x:v>
      </x:c>
    </x:row>
    <x:row r="55" ht="69">
      <x:c r="A55" s="2" t="s">
        <x:v>452</x:v>
      </x:c>
      <x:c r="B55" s="2" t="s">
        <x:v>642</x:v>
      </x:c>
      <x:c r="C55" s="2" t="s">
        <x:v>627</x:v>
      </x:c>
      <x:c r="D55" s="2" t="s">
        <x:v>628</x:v>
      </x:c>
      <x:c r="E55" s="10" t="s">
        <x:v>647</x:v>
      </x:c>
    </x:row>
    <x:row r="56" ht="69">
      <x:c r="A56" s="2" t="s">
        <x:v>452</x:v>
      </x:c>
      <x:c r="B56" s="2" t="s">
        <x:v>643</x:v>
      </x:c>
      <x:c r="C56" s="2" t="s">
        <x:v>627</x:v>
      </x:c>
      <x:c r="D56" s="2" t="s">
        <x:v>628</x:v>
      </x:c>
      <x:c r="E56" s="10" t="s">
        <x:v>647</x:v>
      </x:c>
    </x:row>
    <x:row r="57" ht="69">
      <x:c r="A57" s="2" t="s">
        <x:v>455</x:v>
      </x:c>
      <x:c r="B57" s="2" t="s">
        <x:v>631</x:v>
      </x:c>
      <x:c r="C57" s="2" t="s">
        <x:v>627</x:v>
      </x:c>
      <x:c r="D57" s="2" t="s">
        <x:v>628</x:v>
      </x:c>
      <x:c r="E57" s="10" t="s">
        <x:v>648</x:v>
      </x:c>
    </x:row>
    <x:row r="58" ht="69">
      <x:c r="A58" s="2" t="s">
        <x:v>455</x:v>
      </x:c>
      <x:c r="B58" s="2" t="s">
        <x:v>632</x:v>
      </x:c>
      <x:c r="C58" s="2" t="s">
        <x:v>627</x:v>
      </x:c>
      <x:c r="D58" s="2" t="s">
        <x:v>628</x:v>
      </x:c>
      <x:c r="E58" s="10" t="s">
        <x:v>648</x:v>
      </x:c>
    </x:row>
    <x:row r="59" ht="69">
      <x:c r="A59" s="2" t="s">
        <x:v>455</x:v>
      </x:c>
      <x:c r="B59" s="2" t="s">
        <x:v>633</x:v>
      </x:c>
      <x:c r="C59" s="2" t="s">
        <x:v>627</x:v>
      </x:c>
      <x:c r="D59" s="2" t="s">
        <x:v>628</x:v>
      </x:c>
      <x:c r="E59" s="10" t="s">
        <x:v>648</x:v>
      </x:c>
    </x:row>
    <x:row r="60" ht="69">
      <x:c r="A60" s="2" t="s">
        <x:v>455</x:v>
      </x:c>
      <x:c r="B60" s="2" t="s">
        <x:v>642</x:v>
      </x:c>
      <x:c r="C60" s="2" t="s">
        <x:v>627</x:v>
      </x:c>
      <x:c r="D60" s="2" t="s">
        <x:v>628</x:v>
      </x:c>
      <x:c r="E60" s="10" t="s">
        <x:v>648</x:v>
      </x:c>
    </x:row>
    <x:row r="61" ht="69">
      <x:c r="A61" s="2" t="s">
        <x:v>455</x:v>
      </x:c>
      <x:c r="B61" s="2" t="s">
        <x:v>643</x:v>
      </x:c>
      <x:c r="C61" s="2" t="s">
        <x:v>627</x:v>
      </x:c>
      <x:c r="D61" s="2" t="s">
        <x:v>628</x:v>
      </x:c>
      <x:c r="E61" s="10" t="s">
        <x:v>648</x:v>
      </x:c>
    </x:row>
    <x:row r="62" ht="69">
      <x:c r="A62" s="2" t="s">
        <x:v>458</x:v>
      </x:c>
      <x:c r="B62" s="2" t="s">
        <x:v>631</x:v>
      </x:c>
      <x:c r="C62" s="2" t="s">
        <x:v>627</x:v>
      </x:c>
      <x:c r="D62" s="2" t="s">
        <x:v>628</x:v>
      </x:c>
      <x:c r="E62" s="10" t="s">
        <x:v>649</x:v>
      </x:c>
    </x:row>
    <x:row r="63" ht="69">
      <x:c r="A63" s="2" t="s">
        <x:v>458</x:v>
      </x:c>
      <x:c r="B63" s="2" t="s">
        <x:v>632</x:v>
      </x:c>
      <x:c r="C63" s="2" t="s">
        <x:v>627</x:v>
      </x:c>
      <x:c r="D63" s="2" t="s">
        <x:v>628</x:v>
      </x:c>
      <x:c r="E63" s="10" t="s">
        <x:v>649</x:v>
      </x:c>
    </x:row>
    <x:row r="64" ht="69">
      <x:c r="A64" s="2" t="s">
        <x:v>458</x:v>
      </x:c>
      <x:c r="B64" s="2" t="s">
        <x:v>633</x:v>
      </x:c>
      <x:c r="C64" s="2" t="s">
        <x:v>627</x:v>
      </x:c>
      <x:c r="D64" s="2" t="s">
        <x:v>628</x:v>
      </x:c>
      <x:c r="E64" s="10" t="s">
        <x:v>649</x:v>
      </x:c>
    </x:row>
    <x:row r="65" ht="69">
      <x:c r="A65" s="2" t="s">
        <x:v>458</x:v>
      </x:c>
      <x:c r="B65" s="2" t="s">
        <x:v>642</x:v>
      </x:c>
      <x:c r="C65" s="2" t="s">
        <x:v>627</x:v>
      </x:c>
      <x:c r="D65" s="2" t="s">
        <x:v>628</x:v>
      </x:c>
      <x:c r="E65" s="10" t="s">
        <x:v>649</x:v>
      </x:c>
    </x:row>
    <x:row r="66" ht="69">
      <x:c r="A66" s="2" t="s">
        <x:v>458</x:v>
      </x:c>
      <x:c r="B66" s="2" t="s">
        <x:v>643</x:v>
      </x:c>
      <x:c r="C66" s="2" t="s">
        <x:v>627</x:v>
      </x:c>
      <x:c r="D66" s="2" t="s">
        <x:v>628</x:v>
      </x:c>
      <x:c r="E66" s="10" t="s">
        <x:v>649</x:v>
      </x:c>
    </x:row>
    <x:row r="67" ht="69">
      <x:c r="A67" s="2" t="s">
        <x:v>461</x:v>
      </x:c>
      <x:c r="B67" s="2" t="s">
        <x:v>631</x:v>
      </x:c>
      <x:c r="C67" s="2" t="s">
        <x:v>627</x:v>
      </x:c>
      <x:c r="D67" s="2" t="s">
        <x:v>628</x:v>
      </x:c>
      <x:c r="E67" s="10" t="s">
        <x:v>650</x:v>
      </x:c>
    </x:row>
    <x:row r="68" ht="69">
      <x:c r="A68" s="2" t="s">
        <x:v>461</x:v>
      </x:c>
      <x:c r="B68" s="2" t="s">
        <x:v>632</x:v>
      </x:c>
      <x:c r="C68" s="2" t="s">
        <x:v>627</x:v>
      </x:c>
      <x:c r="D68" s="2" t="s">
        <x:v>628</x:v>
      </x:c>
      <x:c r="E68" s="10" t="s">
        <x:v>650</x:v>
      </x:c>
    </x:row>
    <x:row r="69" ht="69">
      <x:c r="A69" s="2" t="s">
        <x:v>461</x:v>
      </x:c>
      <x:c r="B69" s="2" t="s">
        <x:v>633</x:v>
      </x:c>
      <x:c r="C69" s="2" t="s">
        <x:v>627</x:v>
      </x:c>
      <x:c r="D69" s="2" t="s">
        <x:v>628</x:v>
      </x:c>
      <x:c r="E69" s="10" t="s">
        <x:v>650</x:v>
      </x:c>
    </x:row>
    <x:row r="70" ht="69">
      <x:c r="A70" s="2" t="s">
        <x:v>461</x:v>
      </x:c>
      <x:c r="B70" s="2" t="s">
        <x:v>642</x:v>
      </x:c>
      <x:c r="C70" s="2" t="s">
        <x:v>627</x:v>
      </x:c>
      <x:c r="D70" s="2" t="s">
        <x:v>628</x:v>
      </x:c>
      <x:c r="E70" s="10" t="s">
        <x:v>650</x:v>
      </x:c>
    </x:row>
    <x:row r="71" ht="69">
      <x:c r="A71" s="2" t="s">
        <x:v>461</x:v>
      </x:c>
      <x:c r="B71" s="2" t="s">
        <x:v>643</x:v>
      </x:c>
      <x:c r="C71" s="2" t="s">
        <x:v>627</x:v>
      </x:c>
      <x:c r="D71" s="2" t="s">
        <x:v>628</x:v>
      </x:c>
      <x:c r="E71" s="10" t="s">
        <x:v>650</x:v>
      </x:c>
    </x:row>
    <x:row r="72" ht="69">
      <x:c r="A72" s="2" t="s">
        <x:v>464</x:v>
      </x:c>
      <x:c r="B72" s="2" t="s">
        <x:v>631</x:v>
      </x:c>
      <x:c r="C72" s="2" t="s">
        <x:v>627</x:v>
      </x:c>
      <x:c r="D72" s="2" t="s">
        <x:v>628</x:v>
      </x:c>
      <x:c r="E72" s="10" t="s">
        <x:v>651</x:v>
      </x:c>
    </x:row>
    <x:row r="73" ht="69">
      <x:c r="A73" s="2" t="s">
        <x:v>464</x:v>
      </x:c>
      <x:c r="B73" s="2" t="s">
        <x:v>632</x:v>
      </x:c>
      <x:c r="C73" s="2" t="s">
        <x:v>627</x:v>
      </x:c>
      <x:c r="D73" s="2" t="s">
        <x:v>628</x:v>
      </x:c>
      <x:c r="E73" s="10" t="s">
        <x:v>651</x:v>
      </x:c>
    </x:row>
    <x:row r="74" ht="69">
      <x:c r="A74" s="2" t="s">
        <x:v>464</x:v>
      </x:c>
      <x:c r="B74" s="2" t="s">
        <x:v>633</x:v>
      </x:c>
      <x:c r="C74" s="2" t="s">
        <x:v>627</x:v>
      </x:c>
      <x:c r="D74" s="2" t="s">
        <x:v>628</x:v>
      </x:c>
      <x:c r="E74" s="10" t="s">
        <x:v>651</x:v>
      </x:c>
    </x:row>
    <x:row r="75" ht="69">
      <x:c r="A75" s="2" t="s">
        <x:v>464</x:v>
      </x:c>
      <x:c r="B75" s="2" t="s">
        <x:v>642</x:v>
      </x:c>
      <x:c r="C75" s="2" t="s">
        <x:v>627</x:v>
      </x:c>
      <x:c r="D75" s="2" t="s">
        <x:v>628</x:v>
      </x:c>
      <x:c r="E75" s="10" t="s">
        <x:v>651</x:v>
      </x:c>
    </x:row>
    <x:row r="76" ht="69">
      <x:c r="A76" s="2" t="s">
        <x:v>464</x:v>
      </x:c>
      <x:c r="B76" s="2" t="s">
        <x:v>643</x:v>
      </x:c>
      <x:c r="C76" s="2" t="s">
        <x:v>627</x:v>
      </x:c>
      <x:c r="D76" s="2" t="s">
        <x:v>628</x:v>
      </x:c>
      <x:c r="E76" s="10" t="s">
        <x:v>651</x:v>
      </x:c>
    </x:row>
    <x:row r="77" ht="69">
      <x:c r="A77" s="2" t="s">
        <x:v>467</x:v>
      </x:c>
      <x:c r="B77" s="2" t="s">
        <x:v>631</x:v>
      </x:c>
      <x:c r="C77" s="2" t="s">
        <x:v>627</x:v>
      </x:c>
      <x:c r="D77" s="2" t="s">
        <x:v>628</x:v>
      </x:c>
      <x:c r="E77" s="10" t="s">
        <x:v>652</x:v>
      </x:c>
    </x:row>
    <x:row r="78" ht="69">
      <x:c r="A78" s="2" t="s">
        <x:v>467</x:v>
      </x:c>
      <x:c r="B78" s="2" t="s">
        <x:v>632</x:v>
      </x:c>
      <x:c r="C78" s="2" t="s">
        <x:v>627</x:v>
      </x:c>
      <x:c r="D78" s="2" t="s">
        <x:v>628</x:v>
      </x:c>
      <x:c r="E78" s="10" t="s">
        <x:v>652</x:v>
      </x:c>
    </x:row>
    <x:row r="79" ht="69">
      <x:c r="A79" s="2" t="s">
        <x:v>467</x:v>
      </x:c>
      <x:c r="B79" s="2" t="s">
        <x:v>633</x:v>
      </x:c>
      <x:c r="C79" s="2" t="s">
        <x:v>627</x:v>
      </x:c>
      <x:c r="D79" s="2" t="s">
        <x:v>628</x:v>
      </x:c>
      <x:c r="E79" s="10" t="s">
        <x:v>652</x:v>
      </x:c>
    </x:row>
    <x:row r="80" ht="69">
      <x:c r="A80" s="2" t="s">
        <x:v>467</x:v>
      </x:c>
      <x:c r="B80" s="2" t="s">
        <x:v>642</x:v>
      </x:c>
      <x:c r="C80" s="2" t="s">
        <x:v>627</x:v>
      </x:c>
      <x:c r="D80" s="2" t="s">
        <x:v>628</x:v>
      </x:c>
      <x:c r="E80" s="10" t="s">
        <x:v>652</x:v>
      </x:c>
    </x:row>
    <x:row r="81" ht="69">
      <x:c r="A81" s="2" t="s">
        <x:v>467</x:v>
      </x:c>
      <x:c r="B81" s="2" t="s">
        <x:v>643</x:v>
      </x:c>
      <x:c r="C81" s="2" t="s">
        <x:v>627</x:v>
      </x:c>
      <x:c r="D81" s="2" t="s">
        <x:v>628</x:v>
      </x:c>
      <x:c r="E81" s="10" t="s">
        <x:v>652</x:v>
      </x:c>
    </x:row>
    <x:row r="82" ht="69">
      <x:c r="A82" s="2" t="s">
        <x:v>470</x:v>
      </x:c>
      <x:c r="B82" s="2" t="s">
        <x:v>631</x:v>
      </x:c>
      <x:c r="C82" s="2" t="s">
        <x:v>627</x:v>
      </x:c>
      <x:c r="D82" s="2" t="s">
        <x:v>628</x:v>
      </x:c>
      <x:c r="E82" s="10" t="s">
        <x:v>653</x:v>
      </x:c>
    </x:row>
    <x:row r="83" ht="69">
      <x:c r="A83" s="2" t="s">
        <x:v>470</x:v>
      </x:c>
      <x:c r="B83" s="2" t="s">
        <x:v>632</x:v>
      </x:c>
      <x:c r="C83" s="2" t="s">
        <x:v>627</x:v>
      </x:c>
      <x:c r="D83" s="2" t="s">
        <x:v>628</x:v>
      </x:c>
      <x:c r="E83" s="10" t="s">
        <x:v>653</x:v>
      </x:c>
    </x:row>
    <x:row r="84" ht="69">
      <x:c r="A84" s="2" t="s">
        <x:v>470</x:v>
      </x:c>
      <x:c r="B84" s="2" t="s">
        <x:v>633</x:v>
      </x:c>
      <x:c r="C84" s="2" t="s">
        <x:v>627</x:v>
      </x:c>
      <x:c r="D84" s="2" t="s">
        <x:v>628</x:v>
      </x:c>
      <x:c r="E84" s="10" t="s">
        <x:v>653</x:v>
      </x:c>
    </x:row>
    <x:row r="85" ht="69">
      <x:c r="A85" s="2" t="s">
        <x:v>470</x:v>
      </x:c>
      <x:c r="B85" s="2" t="s">
        <x:v>642</x:v>
      </x:c>
      <x:c r="C85" s="2" t="s">
        <x:v>627</x:v>
      </x:c>
      <x:c r="D85" s="2" t="s">
        <x:v>628</x:v>
      </x:c>
      <x:c r="E85" s="10" t="s">
        <x:v>653</x:v>
      </x:c>
    </x:row>
    <x:row r="86" ht="69">
      <x:c r="A86" s="2" t="s">
        <x:v>470</x:v>
      </x:c>
      <x:c r="B86" s="2" t="s">
        <x:v>643</x:v>
      </x:c>
      <x:c r="C86" s="2" t="s">
        <x:v>627</x:v>
      </x:c>
      <x:c r="D86" s="2" t="s">
        <x:v>628</x:v>
      </x:c>
      <x:c r="E86" s="10" t="s">
        <x:v>653</x:v>
      </x:c>
    </x:row>
    <x:row r="87" ht="69">
      <x:c r="A87" s="2" t="s">
        <x:v>473</x:v>
      </x:c>
      <x:c r="B87" s="2" t="s">
        <x:v>631</x:v>
      </x:c>
      <x:c r="C87" s="2" t="s">
        <x:v>627</x:v>
      </x:c>
      <x:c r="D87" s="2" t="s">
        <x:v>628</x:v>
      </x:c>
      <x:c r="E87" s="10" t="s">
        <x:v>654</x:v>
      </x:c>
    </x:row>
    <x:row r="88" ht="69">
      <x:c r="A88" s="2" t="s">
        <x:v>473</x:v>
      </x:c>
      <x:c r="B88" s="2" t="s">
        <x:v>632</x:v>
      </x:c>
      <x:c r="C88" s="2" t="s">
        <x:v>627</x:v>
      </x:c>
      <x:c r="D88" s="2" t="s">
        <x:v>628</x:v>
      </x:c>
      <x:c r="E88" s="10" t="s">
        <x:v>654</x:v>
      </x:c>
    </x:row>
    <x:row r="89" ht="69">
      <x:c r="A89" s="2" t="s">
        <x:v>473</x:v>
      </x:c>
      <x:c r="B89" s="2" t="s">
        <x:v>633</x:v>
      </x:c>
      <x:c r="C89" s="2" t="s">
        <x:v>627</x:v>
      </x:c>
      <x:c r="D89" s="2" t="s">
        <x:v>628</x:v>
      </x:c>
      <x:c r="E89" s="10" t="s">
        <x:v>654</x:v>
      </x:c>
    </x:row>
    <x:row r="90" ht="69">
      <x:c r="A90" s="2" t="s">
        <x:v>473</x:v>
      </x:c>
      <x:c r="B90" s="2" t="s">
        <x:v>642</x:v>
      </x:c>
      <x:c r="C90" s="2" t="s">
        <x:v>627</x:v>
      </x:c>
      <x:c r="D90" s="2" t="s">
        <x:v>628</x:v>
      </x:c>
      <x:c r="E90" s="10" t="s">
        <x:v>654</x:v>
      </x:c>
    </x:row>
    <x:row r="91" ht="69">
      <x:c r="A91" s="2" t="s">
        <x:v>473</x:v>
      </x:c>
      <x:c r="B91" s="2" t="s">
        <x:v>643</x:v>
      </x:c>
      <x:c r="C91" s="2" t="s">
        <x:v>627</x:v>
      </x:c>
      <x:c r="D91" s="2" t="s">
        <x:v>628</x:v>
      </x:c>
      <x:c r="E91" s="10" t="s">
        <x:v>654</x:v>
      </x:c>
    </x:row>
    <x:row r="92" ht="69">
      <x:c r="A92" s="2" t="s">
        <x:v>476</x:v>
      </x:c>
      <x:c r="B92" s="2" t="s">
        <x:v>631</x:v>
      </x:c>
      <x:c r="C92" s="2" t="s">
        <x:v>627</x:v>
      </x:c>
      <x:c r="D92" s="2" t="s">
        <x:v>628</x:v>
      </x:c>
      <x:c r="E92" s="10" t="s">
        <x:v>655</x:v>
      </x:c>
    </x:row>
    <x:row r="93" ht="69">
      <x:c r="A93" s="2" t="s">
        <x:v>476</x:v>
      </x:c>
      <x:c r="B93" s="2" t="s">
        <x:v>632</x:v>
      </x:c>
      <x:c r="C93" s="2" t="s">
        <x:v>627</x:v>
      </x:c>
      <x:c r="D93" s="2" t="s">
        <x:v>628</x:v>
      </x:c>
      <x:c r="E93" s="10" t="s">
        <x:v>655</x:v>
      </x:c>
    </x:row>
    <x:row r="94" ht="69">
      <x:c r="A94" s="2" t="s">
        <x:v>476</x:v>
      </x:c>
      <x:c r="B94" s="2" t="s">
        <x:v>633</x:v>
      </x:c>
      <x:c r="C94" s="2" t="s">
        <x:v>627</x:v>
      </x:c>
      <x:c r="D94" s="2" t="s">
        <x:v>628</x:v>
      </x:c>
      <x:c r="E94" s="10" t="s">
        <x:v>655</x:v>
      </x:c>
    </x:row>
    <x:row r="95" ht="69">
      <x:c r="A95" s="2" t="s">
        <x:v>476</x:v>
      </x:c>
      <x:c r="B95" s="2" t="s">
        <x:v>642</x:v>
      </x:c>
      <x:c r="C95" s="2" t="s">
        <x:v>627</x:v>
      </x:c>
      <x:c r="D95" s="2" t="s">
        <x:v>628</x:v>
      </x:c>
      <x:c r="E95" s="10" t="s">
        <x:v>655</x:v>
      </x:c>
    </x:row>
    <x:row r="96" ht="69">
      <x:c r="A96" s="2" t="s">
        <x:v>476</x:v>
      </x:c>
      <x:c r="B96" s="2" t="s">
        <x:v>643</x:v>
      </x:c>
      <x:c r="C96" s="2" t="s">
        <x:v>627</x:v>
      </x:c>
      <x:c r="D96" s="2" t="s">
        <x:v>628</x:v>
      </x:c>
      <x:c r="E96" s="10" t="s">
        <x:v>655</x:v>
      </x:c>
    </x:row>
    <x:row r="97" ht="69">
      <x:c r="A97" s="2" t="s">
        <x:v>479</x:v>
      </x:c>
      <x:c r="B97" s="2" t="s">
        <x:v>631</x:v>
      </x:c>
      <x:c r="C97" s="2" t="s">
        <x:v>627</x:v>
      </x:c>
      <x:c r="D97" s="2" t="s">
        <x:v>628</x:v>
      </x:c>
      <x:c r="E97" s="10" t="s">
        <x:v>656</x:v>
      </x:c>
    </x:row>
    <x:row r="98" ht="69">
      <x:c r="A98" s="2" t="s">
        <x:v>479</x:v>
      </x:c>
      <x:c r="B98" s="2" t="s">
        <x:v>632</x:v>
      </x:c>
      <x:c r="C98" s="2" t="s">
        <x:v>627</x:v>
      </x:c>
      <x:c r="D98" s="2" t="s">
        <x:v>628</x:v>
      </x:c>
      <x:c r="E98" s="10" t="s">
        <x:v>656</x:v>
      </x:c>
    </x:row>
    <x:row r="99" ht="69">
      <x:c r="A99" s="2" t="s">
        <x:v>479</x:v>
      </x:c>
      <x:c r="B99" s="2" t="s">
        <x:v>633</x:v>
      </x:c>
      <x:c r="C99" s="2" t="s">
        <x:v>627</x:v>
      </x:c>
      <x:c r="D99" s="2" t="s">
        <x:v>628</x:v>
      </x:c>
      <x:c r="E99" s="10" t="s">
        <x:v>656</x:v>
      </x:c>
    </x:row>
    <x:row r="100" ht="69">
      <x:c r="A100" s="2" t="s">
        <x:v>479</x:v>
      </x:c>
      <x:c r="B100" s="2" t="s">
        <x:v>642</x:v>
      </x:c>
      <x:c r="C100" s="2" t="s">
        <x:v>627</x:v>
      </x:c>
      <x:c r="D100" s="2" t="s">
        <x:v>628</x:v>
      </x:c>
      <x:c r="E100" s="10" t="s">
        <x:v>656</x:v>
      </x:c>
    </x:row>
    <x:row r="101" ht="69">
      <x:c r="A101" s="2" t="s">
        <x:v>479</x:v>
      </x:c>
      <x:c r="B101" s="2" t="s">
        <x:v>643</x:v>
      </x:c>
      <x:c r="C101" s="2" t="s">
        <x:v>627</x:v>
      </x:c>
      <x:c r="D101" s="2" t="s">
        <x:v>628</x:v>
      </x:c>
      <x:c r="E101" s="10" t="s">
        <x:v>656</x:v>
      </x:c>
    </x:row>
    <x:row r="102" ht="69">
      <x:c r="A102" s="2" t="s">
        <x:v>482</x:v>
      </x:c>
      <x:c r="B102" s="2" t="s">
        <x:v>631</x:v>
      </x:c>
      <x:c r="C102" s="2" t="s">
        <x:v>627</x:v>
      </x:c>
      <x:c r="D102" s="2" t="s">
        <x:v>628</x:v>
      </x:c>
      <x:c r="E102" s="10" t="s">
        <x:v>657</x:v>
      </x:c>
    </x:row>
    <x:row r="103" ht="69">
      <x:c r="A103" s="2" t="s">
        <x:v>482</x:v>
      </x:c>
      <x:c r="B103" s="2" t="s">
        <x:v>632</x:v>
      </x:c>
      <x:c r="C103" s="2" t="s">
        <x:v>627</x:v>
      </x:c>
      <x:c r="D103" s="2" t="s">
        <x:v>628</x:v>
      </x:c>
      <x:c r="E103" s="10" t="s">
        <x:v>657</x:v>
      </x:c>
    </x:row>
    <x:row r="104" ht="69">
      <x:c r="A104" s="2" t="s">
        <x:v>482</x:v>
      </x:c>
      <x:c r="B104" s="2" t="s">
        <x:v>633</x:v>
      </x:c>
      <x:c r="C104" s="2" t="s">
        <x:v>627</x:v>
      </x:c>
      <x:c r="D104" s="2" t="s">
        <x:v>628</x:v>
      </x:c>
      <x:c r="E104" s="10" t="s">
        <x:v>657</x:v>
      </x:c>
    </x:row>
    <x:row r="105" ht="69">
      <x:c r="A105" s="2" t="s">
        <x:v>482</x:v>
      </x:c>
      <x:c r="B105" s="2" t="s">
        <x:v>642</x:v>
      </x:c>
      <x:c r="C105" s="2" t="s">
        <x:v>627</x:v>
      </x:c>
      <x:c r="D105" s="2" t="s">
        <x:v>628</x:v>
      </x:c>
      <x:c r="E105" s="10" t="s">
        <x:v>657</x:v>
      </x:c>
    </x:row>
    <x:row r="106" ht="69">
      <x:c r="A106" s="2" t="s">
        <x:v>482</x:v>
      </x:c>
      <x:c r="B106" s="2" t="s">
        <x:v>643</x:v>
      </x:c>
      <x:c r="C106" s="2" t="s">
        <x:v>627</x:v>
      </x:c>
      <x:c r="D106" s="2" t="s">
        <x:v>628</x:v>
      </x:c>
      <x:c r="E106" s="10" t="s">
        <x:v>657</x:v>
      </x:c>
    </x:row>
    <x:row r="107" ht="69">
      <x:c r="A107" s="2" t="s">
        <x:v>485</x:v>
      </x:c>
      <x:c r="B107" s="2" t="s">
        <x:v>631</x:v>
      </x:c>
      <x:c r="C107" s="2" t="s">
        <x:v>627</x:v>
      </x:c>
      <x:c r="D107" s="2" t="s">
        <x:v>628</x:v>
      </x:c>
      <x:c r="E107" s="10" t="s">
        <x:v>658</x:v>
      </x:c>
    </x:row>
    <x:row r="108" ht="69">
      <x:c r="A108" s="2" t="s">
        <x:v>485</x:v>
      </x:c>
      <x:c r="B108" s="2" t="s">
        <x:v>632</x:v>
      </x:c>
      <x:c r="C108" s="2" t="s">
        <x:v>627</x:v>
      </x:c>
      <x:c r="D108" s="2" t="s">
        <x:v>628</x:v>
      </x:c>
      <x:c r="E108" s="10" t="s">
        <x:v>658</x:v>
      </x:c>
    </x:row>
    <x:row r="109" ht="69">
      <x:c r="A109" s="2" t="s">
        <x:v>485</x:v>
      </x:c>
      <x:c r="B109" s="2" t="s">
        <x:v>633</x:v>
      </x:c>
      <x:c r="C109" s="2" t="s">
        <x:v>627</x:v>
      </x:c>
      <x:c r="D109" s="2" t="s">
        <x:v>628</x:v>
      </x:c>
      <x:c r="E109" s="10" t="s">
        <x:v>658</x:v>
      </x:c>
    </x:row>
    <x:row r="110" ht="69">
      <x:c r="A110" s="2" t="s">
        <x:v>485</x:v>
      </x:c>
      <x:c r="B110" s="2" t="s">
        <x:v>642</x:v>
      </x:c>
      <x:c r="C110" s="2" t="s">
        <x:v>627</x:v>
      </x:c>
      <x:c r="D110" s="2" t="s">
        <x:v>628</x:v>
      </x:c>
      <x:c r="E110" s="10" t="s">
        <x:v>658</x:v>
      </x:c>
    </x:row>
    <x:row r="111" ht="69">
      <x:c r="A111" s="2" t="s">
        <x:v>485</x:v>
      </x:c>
      <x:c r="B111" s="2" t="s">
        <x:v>643</x:v>
      </x:c>
      <x:c r="C111" s="2" t="s">
        <x:v>627</x:v>
      </x:c>
      <x:c r="D111" s="2" t="s">
        <x:v>628</x:v>
      </x:c>
      <x:c r="E111" s="10" t="s">
        <x:v>658</x:v>
      </x:c>
    </x:row>
    <x:row r="112" ht="69">
      <x:c r="A112" s="2" t="s">
        <x:v>488</x:v>
      </x:c>
      <x:c r="B112" s="2" t="s">
        <x:v>631</x:v>
      </x:c>
      <x:c r="C112" s="2" t="s">
        <x:v>627</x:v>
      </x:c>
      <x:c r="D112" s="2" t="s">
        <x:v>628</x:v>
      </x:c>
      <x:c r="E112" s="10" t="s">
        <x:v>659</x:v>
      </x:c>
    </x:row>
    <x:row r="113" ht="69">
      <x:c r="A113" s="2" t="s">
        <x:v>488</x:v>
      </x:c>
      <x:c r="B113" s="2" t="s">
        <x:v>632</x:v>
      </x:c>
      <x:c r="C113" s="2" t="s">
        <x:v>627</x:v>
      </x:c>
      <x:c r="D113" s="2" t="s">
        <x:v>628</x:v>
      </x:c>
      <x:c r="E113" s="10" t="s">
        <x:v>659</x:v>
      </x:c>
    </x:row>
    <x:row r="114" ht="69">
      <x:c r="A114" s="2" t="s">
        <x:v>488</x:v>
      </x:c>
      <x:c r="B114" s="2" t="s">
        <x:v>633</x:v>
      </x:c>
      <x:c r="C114" s="2" t="s">
        <x:v>627</x:v>
      </x:c>
      <x:c r="D114" s="2" t="s">
        <x:v>628</x:v>
      </x:c>
      <x:c r="E114" s="10" t="s">
        <x:v>659</x:v>
      </x:c>
    </x:row>
    <x:row r="115" ht="69">
      <x:c r="A115" s="2" t="s">
        <x:v>488</x:v>
      </x:c>
      <x:c r="B115" s="2" t="s">
        <x:v>642</x:v>
      </x:c>
      <x:c r="C115" s="2" t="s">
        <x:v>627</x:v>
      </x:c>
      <x:c r="D115" s="2" t="s">
        <x:v>628</x:v>
      </x:c>
      <x:c r="E115" s="10" t="s">
        <x:v>659</x:v>
      </x:c>
    </x:row>
    <x:row r="116" ht="69">
      <x:c r="A116" s="2" t="s">
        <x:v>488</x:v>
      </x:c>
      <x:c r="B116" s="2" t="s">
        <x:v>643</x:v>
      </x:c>
      <x:c r="C116" s="2" t="s">
        <x:v>627</x:v>
      </x:c>
      <x:c r="D116" s="2" t="s">
        <x:v>628</x:v>
      </x:c>
      <x:c r="E116" s="10" t="s">
        <x:v>659</x:v>
      </x:c>
    </x:row>
    <x:row r="117" ht="69">
      <x:c r="A117" s="2" t="s">
        <x:v>491</x:v>
      </x:c>
      <x:c r="B117" s="2" t="s">
        <x:v>632</x:v>
      </x:c>
      <x:c r="C117" s="2" t="s">
        <x:v>627</x:v>
      </x:c>
      <x:c r="D117" s="2" t="s">
        <x:v>628</x:v>
      </x:c>
      <x:c r="E117" s="10" t="s">
        <x:v>660</x:v>
      </x:c>
    </x:row>
    <x:row r="118" ht="69">
      <x:c r="A118" s="2" t="s">
        <x:v>491</x:v>
      </x:c>
      <x:c r="B118" s="2" t="s">
        <x:v>633</x:v>
      </x:c>
      <x:c r="C118" s="2" t="s">
        <x:v>627</x:v>
      </x:c>
      <x:c r="D118" s="2" t="s">
        <x:v>628</x:v>
      </x:c>
      <x:c r="E118" s="10" t="s">
        <x:v>660</x:v>
      </x:c>
    </x:row>
    <x:row r="119" ht="69">
      <x:c r="A119" s="2" t="s">
        <x:v>491</x:v>
      </x:c>
      <x:c r="B119" s="2" t="s">
        <x:v>642</x:v>
      </x:c>
      <x:c r="C119" s="2" t="s">
        <x:v>627</x:v>
      </x:c>
      <x:c r="D119" s="2" t="s">
        <x:v>628</x:v>
      </x:c>
      <x:c r="E119" s="10" t="s">
        <x:v>660</x:v>
      </x:c>
    </x:row>
    <x:row r="120" ht="69">
      <x:c r="A120" s="2" t="s">
        <x:v>491</x:v>
      </x:c>
      <x:c r="B120" s="2" t="s">
        <x:v>643</x:v>
      </x:c>
      <x:c r="C120" s="2" t="s">
        <x:v>627</x:v>
      </x:c>
      <x:c r="D120" s="2" t="s">
        <x:v>628</x:v>
      </x:c>
      <x:c r="E120" s="10" t="s">
        <x:v>660</x:v>
      </x:c>
    </x:row>
    <x:row r="121" ht="69">
      <x:c r="A121" s="2" t="s">
        <x:v>491</x:v>
      </x:c>
      <x:c r="B121" s="2" t="s">
        <x:v>661</x:v>
      </x:c>
      <x:c r="C121" s="2" t="s">
        <x:v>627</x:v>
      </x:c>
      <x:c r="D121" s="2" t="s">
        <x:v>628</x:v>
      </x:c>
      <x:c r="E121" s="10" t="s">
        <x:v>660</x:v>
      </x:c>
    </x:row>
    <x:row r="122" ht="69">
      <x:c r="A122" s="2" t="s">
        <x:v>494</x:v>
      </x:c>
      <x:c r="B122" s="2" t="s">
        <x:v>632</x:v>
      </x:c>
      <x:c r="C122" s="2" t="s">
        <x:v>627</x:v>
      </x:c>
      <x:c r="D122" s="2" t="s">
        <x:v>628</x:v>
      </x:c>
      <x:c r="E122" s="10" t="s">
        <x:v>662</x:v>
      </x:c>
    </x:row>
    <x:row r="123" ht="69">
      <x:c r="A123" s="2" t="s">
        <x:v>494</x:v>
      </x:c>
      <x:c r="B123" s="2" t="s">
        <x:v>633</x:v>
      </x:c>
      <x:c r="C123" s="2" t="s">
        <x:v>627</x:v>
      </x:c>
      <x:c r="D123" s="2" t="s">
        <x:v>628</x:v>
      </x:c>
      <x:c r="E123" s="10" t="s">
        <x:v>662</x:v>
      </x:c>
    </x:row>
    <x:row r="124" ht="69">
      <x:c r="A124" s="2" t="s">
        <x:v>494</x:v>
      </x:c>
      <x:c r="B124" s="2" t="s">
        <x:v>642</x:v>
      </x:c>
      <x:c r="C124" s="2" t="s">
        <x:v>627</x:v>
      </x:c>
      <x:c r="D124" s="2" t="s">
        <x:v>628</x:v>
      </x:c>
      <x:c r="E124" s="10" t="s">
        <x:v>662</x:v>
      </x:c>
    </x:row>
    <x:row r="125" ht="69">
      <x:c r="A125" s="2" t="s">
        <x:v>494</x:v>
      </x:c>
      <x:c r="B125" s="2" t="s">
        <x:v>643</x:v>
      </x:c>
      <x:c r="C125" s="2" t="s">
        <x:v>627</x:v>
      </x:c>
      <x:c r="D125" s="2" t="s">
        <x:v>628</x:v>
      </x:c>
      <x:c r="E125" s="10" t="s">
        <x:v>662</x:v>
      </x:c>
    </x:row>
    <x:row r="126" ht="69">
      <x:c r="A126" s="2" t="s">
        <x:v>494</x:v>
      </x:c>
      <x:c r="B126" s="2" t="s">
        <x:v>661</x:v>
      </x:c>
      <x:c r="C126" s="2" t="s">
        <x:v>627</x:v>
      </x:c>
      <x:c r="D126" s="2" t="s">
        <x:v>628</x:v>
      </x:c>
      <x:c r="E126" s="10" t="s">
        <x:v>662</x:v>
      </x:c>
    </x:row>
    <x:row r="127" ht="69">
      <x:c r="A127" s="2" t="s">
        <x:v>497</x:v>
      </x:c>
      <x:c r="B127" s="2" t="s">
        <x:v>632</x:v>
      </x:c>
      <x:c r="C127" s="2" t="s">
        <x:v>627</x:v>
      </x:c>
      <x:c r="D127" s="2" t="s">
        <x:v>628</x:v>
      </x:c>
      <x:c r="E127" s="10" t="s">
        <x:v>663</x:v>
      </x:c>
    </x:row>
    <x:row r="128" ht="69">
      <x:c r="A128" s="2" t="s">
        <x:v>497</x:v>
      </x:c>
      <x:c r="B128" s="2" t="s">
        <x:v>633</x:v>
      </x:c>
      <x:c r="C128" s="2" t="s">
        <x:v>627</x:v>
      </x:c>
      <x:c r="D128" s="2" t="s">
        <x:v>628</x:v>
      </x:c>
      <x:c r="E128" s="10" t="s">
        <x:v>663</x:v>
      </x:c>
    </x:row>
    <x:row r="129" ht="69">
      <x:c r="A129" s="2" t="s">
        <x:v>497</x:v>
      </x:c>
      <x:c r="B129" s="2" t="s">
        <x:v>642</x:v>
      </x:c>
      <x:c r="C129" s="2" t="s">
        <x:v>627</x:v>
      </x:c>
      <x:c r="D129" s="2" t="s">
        <x:v>628</x:v>
      </x:c>
      <x:c r="E129" s="10" t="s">
        <x:v>663</x:v>
      </x:c>
    </x:row>
    <x:row r="130" ht="69">
      <x:c r="A130" s="2" t="s">
        <x:v>497</x:v>
      </x:c>
      <x:c r="B130" s="2" t="s">
        <x:v>643</x:v>
      </x:c>
      <x:c r="C130" s="2" t="s">
        <x:v>627</x:v>
      </x:c>
      <x:c r="D130" s="2" t="s">
        <x:v>628</x:v>
      </x:c>
      <x:c r="E130" s="10" t="s">
        <x:v>663</x:v>
      </x:c>
    </x:row>
    <x:row r="131" ht="69">
      <x:c r="A131" s="2" t="s">
        <x:v>497</x:v>
      </x:c>
      <x:c r="B131" s="2" t="s">
        <x:v>661</x:v>
      </x:c>
      <x:c r="C131" s="2" t="s">
        <x:v>627</x:v>
      </x:c>
      <x:c r="D131" s="2" t="s">
        <x:v>628</x:v>
      </x:c>
      <x:c r="E131" s="10" t="s">
        <x:v>663</x:v>
      </x:c>
    </x:row>
    <x:row r="132" ht="69">
      <x:c r="A132" s="2" t="s">
        <x:v>500</x:v>
      </x:c>
      <x:c r="B132" s="2" t="s">
        <x:v>632</x:v>
      </x:c>
      <x:c r="C132" s="2" t="s">
        <x:v>627</x:v>
      </x:c>
      <x:c r="D132" s="2" t="s">
        <x:v>628</x:v>
      </x:c>
      <x:c r="E132" s="10" t="s">
        <x:v>664</x:v>
      </x:c>
    </x:row>
    <x:row r="133" ht="69">
      <x:c r="A133" s="2" t="s">
        <x:v>500</x:v>
      </x:c>
      <x:c r="B133" s="2" t="s">
        <x:v>633</x:v>
      </x:c>
      <x:c r="C133" s="2" t="s">
        <x:v>627</x:v>
      </x:c>
      <x:c r="D133" s="2" t="s">
        <x:v>628</x:v>
      </x:c>
      <x:c r="E133" s="10" t="s">
        <x:v>664</x:v>
      </x:c>
    </x:row>
    <x:row r="134" ht="69">
      <x:c r="A134" s="2" t="s">
        <x:v>500</x:v>
      </x:c>
      <x:c r="B134" s="2" t="s">
        <x:v>642</x:v>
      </x:c>
      <x:c r="C134" s="2" t="s">
        <x:v>627</x:v>
      </x:c>
      <x:c r="D134" s="2" t="s">
        <x:v>628</x:v>
      </x:c>
      <x:c r="E134" s="10" t="s">
        <x:v>664</x:v>
      </x:c>
    </x:row>
    <x:row r="135" ht="69">
      <x:c r="A135" s="2" t="s">
        <x:v>500</x:v>
      </x:c>
      <x:c r="B135" s="2" t="s">
        <x:v>643</x:v>
      </x:c>
      <x:c r="C135" s="2" t="s">
        <x:v>627</x:v>
      </x:c>
      <x:c r="D135" s="2" t="s">
        <x:v>628</x:v>
      </x:c>
      <x:c r="E135" s="10" t="s">
        <x:v>664</x:v>
      </x:c>
    </x:row>
    <x:row r="136" ht="69">
      <x:c r="A136" s="2" t="s">
        <x:v>500</x:v>
      </x:c>
      <x:c r="B136" s="2" t="s">
        <x:v>661</x:v>
      </x:c>
      <x:c r="C136" s="2" t="s">
        <x:v>627</x:v>
      </x:c>
      <x:c r="D136" s="2" t="s">
        <x:v>628</x:v>
      </x:c>
      <x:c r="E136" s="10" t="s">
        <x:v>664</x:v>
      </x:c>
    </x:row>
    <x:row r="137" ht="69">
      <x:c r="A137" s="2" t="s">
        <x:v>503</x:v>
      </x:c>
      <x:c r="B137" s="2" t="s">
        <x:v>632</x:v>
      </x:c>
      <x:c r="C137" s="2" t="s">
        <x:v>627</x:v>
      </x:c>
      <x:c r="D137" s="2" t="s">
        <x:v>628</x:v>
      </x:c>
      <x:c r="E137" s="10" t="s">
        <x:v>665</x:v>
      </x:c>
    </x:row>
    <x:row r="138" ht="69">
      <x:c r="A138" s="2" t="s">
        <x:v>503</x:v>
      </x:c>
      <x:c r="B138" s="2" t="s">
        <x:v>633</x:v>
      </x:c>
      <x:c r="C138" s="2" t="s">
        <x:v>627</x:v>
      </x:c>
      <x:c r="D138" s="2" t="s">
        <x:v>628</x:v>
      </x:c>
      <x:c r="E138" s="10" t="s">
        <x:v>665</x:v>
      </x:c>
    </x:row>
    <x:row r="139" ht="69">
      <x:c r="A139" s="2" t="s">
        <x:v>503</x:v>
      </x:c>
      <x:c r="B139" s="2" t="s">
        <x:v>642</x:v>
      </x:c>
      <x:c r="C139" s="2" t="s">
        <x:v>627</x:v>
      </x:c>
      <x:c r="D139" s="2" t="s">
        <x:v>628</x:v>
      </x:c>
      <x:c r="E139" s="10" t="s">
        <x:v>665</x:v>
      </x:c>
    </x:row>
    <x:row r="140" ht="69">
      <x:c r="A140" s="2" t="s">
        <x:v>503</x:v>
      </x:c>
      <x:c r="B140" s="2" t="s">
        <x:v>643</x:v>
      </x:c>
      <x:c r="C140" s="2" t="s">
        <x:v>627</x:v>
      </x:c>
      <x:c r="D140" s="2" t="s">
        <x:v>628</x:v>
      </x:c>
      <x:c r="E140" s="10" t="s">
        <x:v>665</x:v>
      </x:c>
    </x:row>
    <x:row r="141" ht="69">
      <x:c r="A141" s="2" t="s">
        <x:v>503</x:v>
      </x:c>
      <x:c r="B141" s="2" t="s">
        <x:v>661</x:v>
      </x:c>
      <x:c r="C141" s="2" t="s">
        <x:v>627</x:v>
      </x:c>
      <x:c r="D141" s="2" t="s">
        <x:v>628</x:v>
      </x:c>
      <x:c r="E141" s="10" t="s">
        <x:v>665</x:v>
      </x:c>
    </x:row>
    <x:row r="142" ht="69">
      <x:c r="A142" s="2" t="s">
        <x:v>506</x:v>
      </x:c>
      <x:c r="B142" s="2" t="s">
        <x:v>632</x:v>
      </x:c>
      <x:c r="C142" s="2" t="s">
        <x:v>627</x:v>
      </x:c>
      <x:c r="D142" s="2" t="s">
        <x:v>628</x:v>
      </x:c>
      <x:c r="E142" s="10" t="s">
        <x:v>666</x:v>
      </x:c>
    </x:row>
    <x:row r="143" ht="69">
      <x:c r="A143" s="2" t="s">
        <x:v>506</x:v>
      </x:c>
      <x:c r="B143" s="2" t="s">
        <x:v>633</x:v>
      </x:c>
      <x:c r="C143" s="2" t="s">
        <x:v>627</x:v>
      </x:c>
      <x:c r="D143" s="2" t="s">
        <x:v>628</x:v>
      </x:c>
      <x:c r="E143" s="10" t="s">
        <x:v>666</x:v>
      </x:c>
    </x:row>
    <x:row r="144" ht="69">
      <x:c r="A144" s="2" t="s">
        <x:v>506</x:v>
      </x:c>
      <x:c r="B144" s="2" t="s">
        <x:v>642</x:v>
      </x:c>
      <x:c r="C144" s="2" t="s">
        <x:v>627</x:v>
      </x:c>
      <x:c r="D144" s="2" t="s">
        <x:v>628</x:v>
      </x:c>
      <x:c r="E144" s="10" t="s">
        <x:v>666</x:v>
      </x:c>
    </x:row>
    <x:row r="145" ht="69">
      <x:c r="A145" s="2" t="s">
        <x:v>506</x:v>
      </x:c>
      <x:c r="B145" s="2" t="s">
        <x:v>643</x:v>
      </x:c>
      <x:c r="C145" s="2" t="s">
        <x:v>627</x:v>
      </x:c>
      <x:c r="D145" s="2" t="s">
        <x:v>628</x:v>
      </x:c>
      <x:c r="E145" s="10" t="s">
        <x:v>666</x:v>
      </x:c>
    </x:row>
    <x:row r="146" ht="69">
      <x:c r="A146" s="2" t="s">
        <x:v>506</x:v>
      </x:c>
      <x:c r="B146" s="2" t="s">
        <x:v>661</x:v>
      </x:c>
      <x:c r="C146" s="2" t="s">
        <x:v>627</x:v>
      </x:c>
      <x:c r="D146" s="2" t="s">
        <x:v>628</x:v>
      </x:c>
      <x:c r="E146" s="10" t="s">
        <x:v>666</x:v>
      </x:c>
    </x:row>
    <x:row r="147" ht="69">
      <x:c r="A147" s="2" t="s">
        <x:v>509</x:v>
      </x:c>
      <x:c r="B147" s="2" t="s">
        <x:v>632</x:v>
      </x:c>
      <x:c r="C147" s="2" t="s">
        <x:v>627</x:v>
      </x:c>
      <x:c r="D147" s="2" t="s">
        <x:v>628</x:v>
      </x:c>
      <x:c r="E147" s="10" t="s">
        <x:v>667</x:v>
      </x:c>
    </x:row>
    <x:row r="148" ht="69">
      <x:c r="A148" s="2" t="s">
        <x:v>509</x:v>
      </x:c>
      <x:c r="B148" s="2" t="s">
        <x:v>633</x:v>
      </x:c>
      <x:c r="C148" s="2" t="s">
        <x:v>627</x:v>
      </x:c>
      <x:c r="D148" s="2" t="s">
        <x:v>628</x:v>
      </x:c>
      <x:c r="E148" s="10" t="s">
        <x:v>667</x:v>
      </x:c>
    </x:row>
    <x:row r="149" ht="69">
      <x:c r="A149" s="2" t="s">
        <x:v>509</x:v>
      </x:c>
      <x:c r="B149" s="2" t="s">
        <x:v>642</x:v>
      </x:c>
      <x:c r="C149" s="2" t="s">
        <x:v>627</x:v>
      </x:c>
      <x:c r="D149" s="2" t="s">
        <x:v>628</x:v>
      </x:c>
      <x:c r="E149" s="10" t="s">
        <x:v>667</x:v>
      </x:c>
    </x:row>
    <x:row r="150" ht="69">
      <x:c r="A150" s="2" t="s">
        <x:v>509</x:v>
      </x:c>
      <x:c r="B150" s="2" t="s">
        <x:v>643</x:v>
      </x:c>
      <x:c r="C150" s="2" t="s">
        <x:v>627</x:v>
      </x:c>
      <x:c r="D150" s="2" t="s">
        <x:v>628</x:v>
      </x:c>
      <x:c r="E150" s="10" t="s">
        <x:v>667</x:v>
      </x:c>
    </x:row>
    <x:row r="151" ht="69">
      <x:c r="A151" s="2" t="s">
        <x:v>509</x:v>
      </x:c>
      <x:c r="B151" s="2" t="s">
        <x:v>661</x:v>
      </x:c>
      <x:c r="C151" s="2" t="s">
        <x:v>627</x:v>
      </x:c>
      <x:c r="D151" s="2" t="s">
        <x:v>628</x:v>
      </x:c>
      <x:c r="E151" s="10" t="s">
        <x:v>667</x:v>
      </x:c>
    </x:row>
    <x:row r="152" ht="69">
      <x:c r="A152" s="2" t="s">
        <x:v>512</x:v>
      </x:c>
      <x:c r="B152" s="2" t="s">
        <x:v>632</x:v>
      </x:c>
      <x:c r="C152" s="2" t="s">
        <x:v>627</x:v>
      </x:c>
      <x:c r="D152" s="2" t="s">
        <x:v>628</x:v>
      </x:c>
      <x:c r="E152" s="10" t="s">
        <x:v>668</x:v>
      </x:c>
    </x:row>
    <x:row r="153" ht="69">
      <x:c r="A153" s="2" t="s">
        <x:v>512</x:v>
      </x:c>
      <x:c r="B153" s="2" t="s">
        <x:v>633</x:v>
      </x:c>
      <x:c r="C153" s="2" t="s">
        <x:v>627</x:v>
      </x:c>
      <x:c r="D153" s="2" t="s">
        <x:v>628</x:v>
      </x:c>
      <x:c r="E153" s="10" t="s">
        <x:v>668</x:v>
      </x:c>
    </x:row>
    <x:row r="154" ht="69">
      <x:c r="A154" s="2" t="s">
        <x:v>512</x:v>
      </x:c>
      <x:c r="B154" s="2" t="s">
        <x:v>642</x:v>
      </x:c>
      <x:c r="C154" s="2" t="s">
        <x:v>627</x:v>
      </x:c>
      <x:c r="D154" s="2" t="s">
        <x:v>628</x:v>
      </x:c>
      <x:c r="E154" s="10" t="s">
        <x:v>668</x:v>
      </x:c>
    </x:row>
    <x:row r="155" ht="69">
      <x:c r="A155" s="2" t="s">
        <x:v>512</x:v>
      </x:c>
      <x:c r="B155" s="2" t="s">
        <x:v>643</x:v>
      </x:c>
      <x:c r="C155" s="2" t="s">
        <x:v>627</x:v>
      </x:c>
      <x:c r="D155" s="2" t="s">
        <x:v>628</x:v>
      </x:c>
      <x:c r="E155" s="10" t="s">
        <x:v>668</x:v>
      </x:c>
    </x:row>
    <x:row r="156" ht="69">
      <x:c r="A156" s="2" t="s">
        <x:v>512</x:v>
      </x:c>
      <x:c r="B156" s="2" t="s">
        <x:v>661</x:v>
      </x:c>
      <x:c r="C156" s="2" t="s">
        <x:v>627</x:v>
      </x:c>
      <x:c r="D156" s="2" t="s">
        <x:v>628</x:v>
      </x:c>
      <x:c r="E156" s="10" t="s">
        <x:v>668</x:v>
      </x:c>
    </x:row>
    <x:row r="157" ht="69">
      <x:c r="A157" s="2" t="s">
        <x:v>515</x:v>
      </x:c>
      <x:c r="B157" s="2" t="s">
        <x:v>633</x:v>
      </x:c>
      <x:c r="C157" s="2" t="s">
        <x:v>627</x:v>
      </x:c>
      <x:c r="D157" s="2" t="s">
        <x:v>628</x:v>
      </x:c>
      <x:c r="E157" s="10" t="s">
        <x:v>669</x:v>
      </x:c>
    </x:row>
    <x:row r="158" ht="69">
      <x:c r="A158" s="2" t="s">
        <x:v>515</x:v>
      </x:c>
      <x:c r="B158" s="2" t="s">
        <x:v>642</x:v>
      </x:c>
      <x:c r="C158" s="2" t="s">
        <x:v>627</x:v>
      </x:c>
      <x:c r="D158" s="2" t="s">
        <x:v>628</x:v>
      </x:c>
      <x:c r="E158" s="10" t="s">
        <x:v>669</x:v>
      </x:c>
    </x:row>
    <x:row r="159" ht="69">
      <x:c r="A159" s="2" t="s">
        <x:v>515</x:v>
      </x:c>
      <x:c r="B159" s="2" t="s">
        <x:v>643</x:v>
      </x:c>
      <x:c r="C159" s="2" t="s">
        <x:v>627</x:v>
      </x:c>
      <x:c r="D159" s="2" t="s">
        <x:v>628</x:v>
      </x:c>
      <x:c r="E159" s="10" t="s">
        <x:v>669</x:v>
      </x:c>
    </x:row>
    <x:row r="160" ht="69">
      <x:c r="A160" s="2" t="s">
        <x:v>515</x:v>
      </x:c>
      <x:c r="B160" s="2" t="s">
        <x:v>661</x:v>
      </x:c>
      <x:c r="C160" s="2" t="s">
        <x:v>627</x:v>
      </x:c>
      <x:c r="D160" s="2" t="s">
        <x:v>628</x:v>
      </x:c>
      <x:c r="E160" s="10" t="s">
        <x:v>669</x:v>
      </x:c>
    </x:row>
    <x:row r="161" ht="69">
      <x:c r="A161" s="2" t="s">
        <x:v>515</x:v>
      </x:c>
      <x:c r="B161" s="2" t="s">
        <x:v>670</x:v>
      </x:c>
      <x:c r="C161" s="2" t="s">
        <x:v>627</x:v>
      </x:c>
      <x:c r="D161" s="2" t="s">
        <x:v>628</x:v>
      </x:c>
      <x:c r="E161" s="10" t="s">
        <x:v>669</x:v>
      </x:c>
    </x:row>
    <x:row r="162" ht="69">
      <x:c r="A162" s="2" t="s">
        <x:v>518</x:v>
      </x:c>
      <x:c r="B162" s="2" t="s">
        <x:v>633</x:v>
      </x:c>
      <x:c r="C162" s="2" t="s">
        <x:v>627</x:v>
      </x:c>
      <x:c r="D162" s="2" t="s">
        <x:v>628</x:v>
      </x:c>
      <x:c r="E162" s="10" t="s">
        <x:v>671</x:v>
      </x:c>
    </x:row>
    <x:row r="163" ht="69">
      <x:c r="A163" s="2" t="s">
        <x:v>518</x:v>
      </x:c>
      <x:c r="B163" s="2" t="s">
        <x:v>642</x:v>
      </x:c>
      <x:c r="C163" s="2" t="s">
        <x:v>627</x:v>
      </x:c>
      <x:c r="D163" s="2" t="s">
        <x:v>628</x:v>
      </x:c>
      <x:c r="E163" s="10" t="s">
        <x:v>671</x:v>
      </x:c>
    </x:row>
    <x:row r="164" ht="69">
      <x:c r="A164" s="2" t="s">
        <x:v>518</x:v>
      </x:c>
      <x:c r="B164" s="2" t="s">
        <x:v>643</x:v>
      </x:c>
      <x:c r="C164" s="2" t="s">
        <x:v>627</x:v>
      </x:c>
      <x:c r="D164" s="2" t="s">
        <x:v>628</x:v>
      </x:c>
      <x:c r="E164" s="10" t="s">
        <x:v>671</x:v>
      </x:c>
    </x:row>
    <x:row r="165" ht="69">
      <x:c r="A165" s="2" t="s">
        <x:v>518</x:v>
      </x:c>
      <x:c r="B165" s="2" t="s">
        <x:v>661</x:v>
      </x:c>
      <x:c r="C165" s="2" t="s">
        <x:v>627</x:v>
      </x:c>
      <x:c r="D165" s="2" t="s">
        <x:v>628</x:v>
      </x:c>
      <x:c r="E165" s="10" t="s">
        <x:v>671</x:v>
      </x:c>
    </x:row>
    <x:row r="166" ht="69">
      <x:c r="A166" s="2" t="s">
        <x:v>518</x:v>
      </x:c>
      <x:c r="B166" s="2" t="s">
        <x:v>670</x:v>
      </x:c>
      <x:c r="C166" s="2" t="s">
        <x:v>627</x:v>
      </x:c>
      <x:c r="D166" s="2" t="s">
        <x:v>628</x:v>
      </x:c>
      <x:c r="E166" s="10" t="s">
        <x:v>671</x:v>
      </x:c>
    </x:row>
    <x:row r="167" ht="69">
      <x:c r="A167" s="2" t="s">
        <x:v>521</x:v>
      </x:c>
      <x:c r="B167" s="2" t="s">
        <x:v>633</x:v>
      </x:c>
      <x:c r="C167" s="2" t="s">
        <x:v>627</x:v>
      </x:c>
      <x:c r="D167" s="2" t="s">
        <x:v>628</x:v>
      </x:c>
      <x:c r="E167" s="10" t="s">
        <x:v>672</x:v>
      </x:c>
    </x:row>
    <x:row r="168" ht="69">
      <x:c r="A168" s="2" t="s">
        <x:v>521</x:v>
      </x:c>
      <x:c r="B168" s="2" t="s">
        <x:v>642</x:v>
      </x:c>
      <x:c r="C168" s="2" t="s">
        <x:v>627</x:v>
      </x:c>
      <x:c r="D168" s="2" t="s">
        <x:v>628</x:v>
      </x:c>
      <x:c r="E168" s="10" t="s">
        <x:v>672</x:v>
      </x:c>
    </x:row>
    <x:row r="169" ht="69">
      <x:c r="A169" s="2" t="s">
        <x:v>521</x:v>
      </x:c>
      <x:c r="B169" s="2" t="s">
        <x:v>643</x:v>
      </x:c>
      <x:c r="C169" s="2" t="s">
        <x:v>627</x:v>
      </x:c>
      <x:c r="D169" s="2" t="s">
        <x:v>628</x:v>
      </x:c>
      <x:c r="E169" s="10" t="s">
        <x:v>672</x:v>
      </x:c>
    </x:row>
    <x:row r="170" ht="69">
      <x:c r="A170" s="2" t="s">
        <x:v>521</x:v>
      </x:c>
      <x:c r="B170" s="2" t="s">
        <x:v>661</x:v>
      </x:c>
      <x:c r="C170" s="2" t="s">
        <x:v>627</x:v>
      </x:c>
      <x:c r="D170" s="2" t="s">
        <x:v>628</x:v>
      </x:c>
      <x:c r="E170" s="10" t="s">
        <x:v>672</x:v>
      </x:c>
    </x:row>
    <x:row r="171" ht="69">
      <x:c r="A171" s="2" t="s">
        <x:v>521</x:v>
      </x:c>
      <x:c r="B171" s="2" t="s">
        <x:v>670</x:v>
      </x:c>
      <x:c r="C171" s="2" t="s">
        <x:v>627</x:v>
      </x:c>
      <x:c r="D171" s="2" t="s">
        <x:v>628</x:v>
      </x:c>
      <x:c r="E171" s="10" t="s">
        <x:v>672</x:v>
      </x:c>
    </x:row>
    <x:row r="172" ht="69">
      <x:c r="A172" s="2" t="s">
        <x:v>524</x:v>
      </x:c>
      <x:c r="B172" s="2" t="s">
        <x:v>633</x:v>
      </x:c>
      <x:c r="C172" s="2" t="s">
        <x:v>627</x:v>
      </x:c>
      <x:c r="D172" s="2" t="s">
        <x:v>628</x:v>
      </x:c>
      <x:c r="E172" s="10" t="s">
        <x:v>673</x:v>
      </x:c>
    </x:row>
    <x:row r="173" ht="69">
      <x:c r="A173" s="2" t="s">
        <x:v>524</x:v>
      </x:c>
      <x:c r="B173" s="2" t="s">
        <x:v>642</x:v>
      </x:c>
      <x:c r="C173" s="2" t="s">
        <x:v>627</x:v>
      </x:c>
      <x:c r="D173" s="2" t="s">
        <x:v>628</x:v>
      </x:c>
      <x:c r="E173" s="10" t="s">
        <x:v>673</x:v>
      </x:c>
    </x:row>
    <x:row r="174" ht="69">
      <x:c r="A174" s="2" t="s">
        <x:v>524</x:v>
      </x:c>
      <x:c r="B174" s="2" t="s">
        <x:v>643</x:v>
      </x:c>
      <x:c r="C174" s="2" t="s">
        <x:v>627</x:v>
      </x:c>
      <x:c r="D174" s="2" t="s">
        <x:v>628</x:v>
      </x:c>
      <x:c r="E174" s="10" t="s">
        <x:v>673</x:v>
      </x:c>
    </x:row>
    <x:row r="175" ht="69">
      <x:c r="A175" s="2" t="s">
        <x:v>524</x:v>
      </x:c>
      <x:c r="B175" s="2" t="s">
        <x:v>661</x:v>
      </x:c>
      <x:c r="C175" s="2" t="s">
        <x:v>627</x:v>
      </x:c>
      <x:c r="D175" s="2" t="s">
        <x:v>628</x:v>
      </x:c>
      <x:c r="E175" s="10" t="s">
        <x:v>673</x:v>
      </x:c>
    </x:row>
    <x:row r="176" ht="69">
      <x:c r="A176" s="2" t="s">
        <x:v>524</x:v>
      </x:c>
      <x:c r="B176" s="2" t="s">
        <x:v>670</x:v>
      </x:c>
      <x:c r="C176" s="2" t="s">
        <x:v>627</x:v>
      </x:c>
      <x:c r="D176" s="2" t="s">
        <x:v>628</x:v>
      </x:c>
      <x:c r="E176" s="10" t="s">
        <x:v>673</x:v>
      </x:c>
    </x:row>
    <x:row r="177" ht="69">
      <x:c r="A177" s="2" t="s">
        <x:v>527</x:v>
      </x:c>
      <x:c r="B177" s="2" t="s">
        <x:v>633</x:v>
      </x:c>
      <x:c r="C177" s="2" t="s">
        <x:v>627</x:v>
      </x:c>
      <x:c r="D177" s="2" t="s">
        <x:v>628</x:v>
      </x:c>
      <x:c r="E177" s="10" t="s">
        <x:v>674</x:v>
      </x:c>
    </x:row>
    <x:row r="178" ht="69">
      <x:c r="A178" s="2" t="s">
        <x:v>527</x:v>
      </x:c>
      <x:c r="B178" s="2" t="s">
        <x:v>642</x:v>
      </x:c>
      <x:c r="C178" s="2" t="s">
        <x:v>627</x:v>
      </x:c>
      <x:c r="D178" s="2" t="s">
        <x:v>628</x:v>
      </x:c>
      <x:c r="E178" s="10" t="s">
        <x:v>674</x:v>
      </x:c>
    </x:row>
    <x:row r="179" ht="69">
      <x:c r="A179" s="2" t="s">
        <x:v>527</x:v>
      </x:c>
      <x:c r="B179" s="2" t="s">
        <x:v>643</x:v>
      </x:c>
      <x:c r="C179" s="2" t="s">
        <x:v>627</x:v>
      </x:c>
      <x:c r="D179" s="2" t="s">
        <x:v>628</x:v>
      </x:c>
      <x:c r="E179" s="10" t="s">
        <x:v>674</x:v>
      </x:c>
    </x:row>
    <x:row r="180" ht="69">
      <x:c r="A180" s="2" t="s">
        <x:v>527</x:v>
      </x:c>
      <x:c r="B180" s="2" t="s">
        <x:v>661</x:v>
      </x:c>
      <x:c r="C180" s="2" t="s">
        <x:v>627</x:v>
      </x:c>
      <x:c r="D180" s="2" t="s">
        <x:v>628</x:v>
      </x:c>
      <x:c r="E180" s="10" t="s">
        <x:v>674</x:v>
      </x:c>
    </x:row>
    <x:row r="181" ht="69">
      <x:c r="A181" s="2" t="s">
        <x:v>527</x:v>
      </x:c>
      <x:c r="B181" s="2" t="s">
        <x:v>670</x:v>
      </x:c>
      <x:c r="C181" s="2" t="s">
        <x:v>627</x:v>
      </x:c>
      <x:c r="D181" s="2" t="s">
        <x:v>628</x:v>
      </x:c>
      <x:c r="E181" s="10" t="s">
        <x:v>674</x:v>
      </x:c>
    </x:row>
    <x:row r="182" ht="69">
      <x:c r="A182" s="2" t="s">
        <x:v>530</x:v>
      </x:c>
      <x:c r="B182" s="2" t="s">
        <x:v>633</x:v>
      </x:c>
      <x:c r="C182" s="2" t="s">
        <x:v>627</x:v>
      </x:c>
      <x:c r="D182" s="2" t="s">
        <x:v>628</x:v>
      </x:c>
      <x:c r="E182" s="10" t="s">
        <x:v>675</x:v>
      </x:c>
    </x:row>
    <x:row r="183" ht="69">
      <x:c r="A183" s="2" t="s">
        <x:v>530</x:v>
      </x:c>
      <x:c r="B183" s="2" t="s">
        <x:v>642</x:v>
      </x:c>
      <x:c r="C183" s="2" t="s">
        <x:v>627</x:v>
      </x:c>
      <x:c r="D183" s="2" t="s">
        <x:v>628</x:v>
      </x:c>
      <x:c r="E183" s="10" t="s">
        <x:v>675</x:v>
      </x:c>
    </x:row>
    <x:row r="184" ht="69">
      <x:c r="A184" s="2" t="s">
        <x:v>530</x:v>
      </x:c>
      <x:c r="B184" s="2" t="s">
        <x:v>643</x:v>
      </x:c>
      <x:c r="C184" s="2" t="s">
        <x:v>627</x:v>
      </x:c>
      <x:c r="D184" s="2" t="s">
        <x:v>628</x:v>
      </x:c>
      <x:c r="E184" s="10" t="s">
        <x:v>675</x:v>
      </x:c>
    </x:row>
    <x:row r="185" ht="69">
      <x:c r="A185" s="2" t="s">
        <x:v>530</x:v>
      </x:c>
      <x:c r="B185" s="2" t="s">
        <x:v>661</x:v>
      </x:c>
      <x:c r="C185" s="2" t="s">
        <x:v>627</x:v>
      </x:c>
      <x:c r="D185" s="2" t="s">
        <x:v>628</x:v>
      </x:c>
      <x:c r="E185" s="10" t="s">
        <x:v>675</x:v>
      </x:c>
    </x:row>
    <x:row r="186" ht="69">
      <x:c r="A186" s="2" t="s">
        <x:v>530</x:v>
      </x:c>
      <x:c r="B186" s="2" t="s">
        <x:v>670</x:v>
      </x:c>
      <x:c r="C186" s="2" t="s">
        <x:v>627</x:v>
      </x:c>
      <x:c r="D186" s="2" t="s">
        <x:v>628</x:v>
      </x:c>
      <x:c r="E186" s="10" t="s">
        <x:v>675</x:v>
      </x:c>
    </x:row>
    <x:row r="187" ht="69">
      <x:c r="A187" s="2" t="s">
        <x:v>533</x:v>
      </x:c>
      <x:c r="B187" s="2" t="s">
        <x:v>633</x:v>
      </x:c>
      <x:c r="C187" s="2" t="s">
        <x:v>627</x:v>
      </x:c>
      <x:c r="D187" s="2" t="s">
        <x:v>628</x:v>
      </x:c>
      <x:c r="E187" s="10" t="s">
        <x:v>676</x:v>
      </x:c>
    </x:row>
    <x:row r="188" ht="69">
      <x:c r="A188" s="2" t="s">
        <x:v>533</x:v>
      </x:c>
      <x:c r="B188" s="2" t="s">
        <x:v>642</x:v>
      </x:c>
      <x:c r="C188" s="2" t="s">
        <x:v>627</x:v>
      </x:c>
      <x:c r="D188" s="2" t="s">
        <x:v>628</x:v>
      </x:c>
      <x:c r="E188" s="10" t="s">
        <x:v>676</x:v>
      </x:c>
    </x:row>
    <x:row r="189" ht="69">
      <x:c r="A189" s="2" t="s">
        <x:v>533</x:v>
      </x:c>
      <x:c r="B189" s="2" t="s">
        <x:v>643</x:v>
      </x:c>
      <x:c r="C189" s="2" t="s">
        <x:v>627</x:v>
      </x:c>
      <x:c r="D189" s="2" t="s">
        <x:v>628</x:v>
      </x:c>
      <x:c r="E189" s="10" t="s">
        <x:v>676</x:v>
      </x:c>
    </x:row>
    <x:row r="190" ht="69">
      <x:c r="A190" s="2" t="s">
        <x:v>533</x:v>
      </x:c>
      <x:c r="B190" s="2" t="s">
        <x:v>661</x:v>
      </x:c>
      <x:c r="C190" s="2" t="s">
        <x:v>627</x:v>
      </x:c>
      <x:c r="D190" s="2" t="s">
        <x:v>628</x:v>
      </x:c>
      <x:c r="E190" s="10" t="s">
        <x:v>676</x:v>
      </x:c>
    </x:row>
    <x:row r="191" ht="69">
      <x:c r="A191" s="2" t="s">
        <x:v>533</x:v>
      </x:c>
      <x:c r="B191" s="2" t="s">
        <x:v>670</x:v>
      </x:c>
      <x:c r="C191" s="2" t="s">
        <x:v>627</x:v>
      </x:c>
      <x:c r="D191" s="2" t="s">
        <x:v>628</x:v>
      </x:c>
      <x:c r="E191" s="10" t="s">
        <x:v>676</x:v>
      </x:c>
    </x:row>
    <x:row r="192" ht="69">
      <x:c r="A192" s="2" t="s">
        <x:v>536</x:v>
      </x:c>
      <x:c r="B192" s="2" t="s">
        <x:v>633</x:v>
      </x:c>
      <x:c r="C192" s="2" t="s">
        <x:v>627</x:v>
      </x:c>
      <x:c r="D192" s="2" t="s">
        <x:v>628</x:v>
      </x:c>
      <x:c r="E192" s="10" t="s">
        <x:v>677</x:v>
      </x:c>
    </x:row>
    <x:row r="193" ht="69">
      <x:c r="A193" s="2" t="s">
        <x:v>536</x:v>
      </x:c>
      <x:c r="B193" s="2" t="s">
        <x:v>642</x:v>
      </x:c>
      <x:c r="C193" s="2" t="s">
        <x:v>627</x:v>
      </x:c>
      <x:c r="D193" s="2" t="s">
        <x:v>628</x:v>
      </x:c>
      <x:c r="E193" s="10" t="s">
        <x:v>677</x:v>
      </x:c>
    </x:row>
    <x:row r="194" ht="69">
      <x:c r="A194" s="2" t="s">
        <x:v>536</x:v>
      </x:c>
      <x:c r="B194" s="2" t="s">
        <x:v>643</x:v>
      </x:c>
      <x:c r="C194" s="2" t="s">
        <x:v>627</x:v>
      </x:c>
      <x:c r="D194" s="2" t="s">
        <x:v>628</x:v>
      </x:c>
      <x:c r="E194" s="10" t="s">
        <x:v>677</x:v>
      </x:c>
    </x:row>
    <x:row r="195" ht="69">
      <x:c r="A195" s="2" t="s">
        <x:v>536</x:v>
      </x:c>
      <x:c r="B195" s="2" t="s">
        <x:v>661</x:v>
      </x:c>
      <x:c r="C195" s="2" t="s">
        <x:v>627</x:v>
      </x:c>
      <x:c r="D195" s="2" t="s">
        <x:v>628</x:v>
      </x:c>
      <x:c r="E195" s="10" t="s">
        <x:v>677</x:v>
      </x:c>
    </x:row>
    <x:row r="196" ht="69">
      <x:c r="A196" s="2" t="s">
        <x:v>536</x:v>
      </x:c>
      <x:c r="B196" s="2" t="s">
        <x:v>670</x:v>
      </x:c>
      <x:c r="C196" s="2" t="s">
        <x:v>627</x:v>
      </x:c>
      <x:c r="D196" s="2" t="s">
        <x:v>628</x:v>
      </x:c>
      <x:c r="E196" s="10" t="s">
        <x:v>677</x:v>
      </x:c>
    </x:row>
    <x:row r="197" ht="69">
      <x:c r="A197" s="2" t="s">
        <x:v>539</x:v>
      </x:c>
      <x:c r="B197" s="2" t="s">
        <x:v>633</x:v>
      </x:c>
      <x:c r="C197" s="2" t="s">
        <x:v>627</x:v>
      </x:c>
      <x:c r="D197" s="2" t="s">
        <x:v>628</x:v>
      </x:c>
      <x:c r="E197" s="10" t="s">
        <x:v>678</x:v>
      </x:c>
    </x:row>
    <x:row r="198" ht="69">
      <x:c r="A198" s="2" t="s">
        <x:v>539</x:v>
      </x:c>
      <x:c r="B198" s="2" t="s">
        <x:v>643</x:v>
      </x:c>
      <x:c r="C198" s="2" t="s">
        <x:v>627</x:v>
      </x:c>
      <x:c r="D198" s="2" t="s">
        <x:v>628</x:v>
      </x:c>
      <x:c r="E198" s="10" t="s">
        <x:v>678</x:v>
      </x:c>
    </x:row>
    <x:row r="199" ht="69">
      <x:c r="A199" s="2" t="s">
        <x:v>539</x:v>
      </x:c>
      <x:c r="B199" s="2" t="s">
        <x:v>661</x:v>
      </x:c>
      <x:c r="C199" s="2" t="s">
        <x:v>627</x:v>
      </x:c>
      <x:c r="D199" s="2" t="s">
        <x:v>628</x:v>
      </x:c>
      <x:c r="E199" s="10" t="s">
        <x:v>678</x:v>
      </x:c>
    </x:row>
    <x:row r="200" ht="69">
      <x:c r="A200" s="2" t="s">
        <x:v>539</x:v>
      </x:c>
      <x:c r="B200" s="2" t="s">
        <x:v>670</x:v>
      </x:c>
      <x:c r="C200" s="2" t="s">
        <x:v>627</x:v>
      </x:c>
      <x:c r="D200" s="2" t="s">
        <x:v>628</x:v>
      </x:c>
      <x:c r="E200" s="10" t="s">
        <x:v>678</x:v>
      </x:c>
    </x:row>
    <x:row r="201" ht="69">
      <x:c r="A201" s="2" t="s">
        <x:v>539</x:v>
      </x:c>
      <x:c r="B201" s="2" t="s">
        <x:v>679</x:v>
      </x:c>
      <x:c r="C201" s="2" t="s">
        <x:v>627</x:v>
      </x:c>
      <x:c r="D201" s="2" t="s">
        <x:v>628</x:v>
      </x:c>
      <x:c r="E201" s="10" t="s">
        <x:v>678</x:v>
      </x:c>
    </x:row>
    <x:row r="202" ht="69">
      <x:c r="A202" s="2" t="s">
        <x:v>542</x:v>
      </x:c>
      <x:c r="B202" s="2" t="s">
        <x:v>633</x:v>
      </x:c>
      <x:c r="C202" s="2" t="s">
        <x:v>627</x:v>
      </x:c>
      <x:c r="D202" s="2" t="s">
        <x:v>628</x:v>
      </x:c>
      <x:c r="E202" s="10" t="s">
        <x:v>680</x:v>
      </x:c>
    </x:row>
    <x:row r="203" ht="69">
      <x:c r="A203" s="2" t="s">
        <x:v>542</x:v>
      </x:c>
      <x:c r="B203" s="2" t="s">
        <x:v>643</x:v>
      </x:c>
      <x:c r="C203" s="2" t="s">
        <x:v>627</x:v>
      </x:c>
      <x:c r="D203" s="2" t="s">
        <x:v>628</x:v>
      </x:c>
      <x:c r="E203" s="10" t="s">
        <x:v>680</x:v>
      </x:c>
    </x:row>
    <x:row r="204" ht="69">
      <x:c r="A204" s="2" t="s">
        <x:v>542</x:v>
      </x:c>
      <x:c r="B204" s="2" t="s">
        <x:v>661</x:v>
      </x:c>
      <x:c r="C204" s="2" t="s">
        <x:v>627</x:v>
      </x:c>
      <x:c r="D204" s="2" t="s">
        <x:v>628</x:v>
      </x:c>
      <x:c r="E204" s="10" t="s">
        <x:v>680</x:v>
      </x:c>
    </x:row>
    <x:row r="205" ht="69">
      <x:c r="A205" s="2" t="s">
        <x:v>542</x:v>
      </x:c>
      <x:c r="B205" s="2" t="s">
        <x:v>670</x:v>
      </x:c>
      <x:c r="C205" s="2" t="s">
        <x:v>627</x:v>
      </x:c>
      <x:c r="D205" s="2" t="s">
        <x:v>628</x:v>
      </x:c>
      <x:c r="E205" s="10" t="s">
        <x:v>680</x:v>
      </x:c>
    </x:row>
    <x:row r="206" ht="69">
      <x:c r="A206" s="2" t="s">
        <x:v>542</x:v>
      </x:c>
      <x:c r="B206" s="2" t="s">
        <x:v>679</x:v>
      </x:c>
      <x:c r="C206" s="2" t="s">
        <x:v>627</x:v>
      </x:c>
      <x:c r="D206" s="2" t="s">
        <x:v>628</x:v>
      </x:c>
      <x:c r="E206" s="10" t="s">
        <x:v>680</x:v>
      </x:c>
    </x:row>
    <x:row r="207" ht="69">
      <x:c r="A207" s="2" t="s">
        <x:v>545</x:v>
      </x:c>
      <x:c r="B207" s="2" t="s">
        <x:v>633</x:v>
      </x:c>
      <x:c r="C207" s="2" t="s">
        <x:v>627</x:v>
      </x:c>
      <x:c r="D207" s="2" t="s">
        <x:v>628</x:v>
      </x:c>
      <x:c r="E207" s="10" t="s">
        <x:v>681</x:v>
      </x:c>
    </x:row>
    <x:row r="208" ht="69">
      <x:c r="A208" s="2" t="s">
        <x:v>545</x:v>
      </x:c>
      <x:c r="B208" s="2" t="s">
        <x:v>643</x:v>
      </x:c>
      <x:c r="C208" s="2" t="s">
        <x:v>627</x:v>
      </x:c>
      <x:c r="D208" s="2" t="s">
        <x:v>628</x:v>
      </x:c>
      <x:c r="E208" s="10" t="s">
        <x:v>681</x:v>
      </x:c>
    </x:row>
    <x:row r="209" ht="69">
      <x:c r="A209" s="2" t="s">
        <x:v>545</x:v>
      </x:c>
      <x:c r="B209" s="2" t="s">
        <x:v>661</x:v>
      </x:c>
      <x:c r="C209" s="2" t="s">
        <x:v>627</x:v>
      </x:c>
      <x:c r="D209" s="2" t="s">
        <x:v>628</x:v>
      </x:c>
      <x:c r="E209" s="10" t="s">
        <x:v>681</x:v>
      </x:c>
    </x:row>
    <x:row r="210" ht="69">
      <x:c r="A210" s="2" t="s">
        <x:v>545</x:v>
      </x:c>
      <x:c r="B210" s="2" t="s">
        <x:v>670</x:v>
      </x:c>
      <x:c r="C210" s="2" t="s">
        <x:v>627</x:v>
      </x:c>
      <x:c r="D210" s="2" t="s">
        <x:v>628</x:v>
      </x:c>
      <x:c r="E210" s="10" t="s">
        <x:v>681</x:v>
      </x:c>
    </x:row>
    <x:row r="211" ht="69">
      <x:c r="A211" s="2" t="s">
        <x:v>545</x:v>
      </x:c>
      <x:c r="B211" s="2" t="s">
        <x:v>679</x:v>
      </x:c>
      <x:c r="C211" s="2" t="s">
        <x:v>627</x:v>
      </x:c>
      <x:c r="D211" s="2" t="s">
        <x:v>628</x:v>
      </x:c>
      <x:c r="E211" s="10" t="s">
        <x:v>681</x:v>
      </x:c>
    </x:row>
    <x:row r="212" ht="69">
      <x:c r="A212" s="2" t="s">
        <x:v>548</x:v>
      </x:c>
      <x:c r="B212" s="2" t="s">
        <x:v>633</x:v>
      </x:c>
      <x:c r="C212" s="2" t="s">
        <x:v>627</x:v>
      </x:c>
      <x:c r="D212" s="2" t="s">
        <x:v>628</x:v>
      </x:c>
      <x:c r="E212" s="10" t="s">
        <x:v>682</x:v>
      </x:c>
    </x:row>
    <x:row r="213" ht="69">
      <x:c r="A213" s="2" t="s">
        <x:v>548</x:v>
      </x:c>
      <x:c r="B213" s="2" t="s">
        <x:v>643</x:v>
      </x:c>
      <x:c r="C213" s="2" t="s">
        <x:v>627</x:v>
      </x:c>
      <x:c r="D213" s="2" t="s">
        <x:v>628</x:v>
      </x:c>
      <x:c r="E213" s="10" t="s">
        <x:v>682</x:v>
      </x:c>
    </x:row>
    <x:row r="214" ht="69">
      <x:c r="A214" s="2" t="s">
        <x:v>548</x:v>
      </x:c>
      <x:c r="B214" s="2" t="s">
        <x:v>661</x:v>
      </x:c>
      <x:c r="C214" s="2" t="s">
        <x:v>627</x:v>
      </x:c>
      <x:c r="D214" s="2" t="s">
        <x:v>628</x:v>
      </x:c>
      <x:c r="E214" s="10" t="s">
        <x:v>682</x:v>
      </x:c>
    </x:row>
    <x:row r="215" ht="69">
      <x:c r="A215" s="2" t="s">
        <x:v>548</x:v>
      </x:c>
      <x:c r="B215" s="2" t="s">
        <x:v>670</x:v>
      </x:c>
      <x:c r="C215" s="2" t="s">
        <x:v>627</x:v>
      </x:c>
      <x:c r="D215" s="2" t="s">
        <x:v>628</x:v>
      </x:c>
      <x:c r="E215" s="10" t="s">
        <x:v>682</x:v>
      </x:c>
    </x:row>
    <x:row r="216" ht="69">
      <x:c r="A216" s="2" t="s">
        <x:v>548</x:v>
      </x:c>
      <x:c r="B216" s="2" t="s">
        <x:v>679</x:v>
      </x:c>
      <x:c r="C216" s="2" t="s">
        <x:v>627</x:v>
      </x:c>
      <x:c r="D216" s="2" t="s">
        <x:v>628</x:v>
      </x:c>
      <x:c r="E216" s="10" t="s">
        <x:v>682</x:v>
      </x:c>
    </x:row>
    <x:row r="217" ht="69">
      <x:c r="A217" s="2" t="s">
        <x:v>551</x:v>
      </x:c>
      <x:c r="B217" s="2" t="s">
        <x:v>633</x:v>
      </x:c>
      <x:c r="C217" s="2" t="s">
        <x:v>627</x:v>
      </x:c>
      <x:c r="D217" s="2" t="s">
        <x:v>628</x:v>
      </x:c>
      <x:c r="E217" s="10" t="s">
        <x:v>683</x:v>
      </x:c>
    </x:row>
    <x:row r="218" ht="69">
      <x:c r="A218" s="2" t="s">
        <x:v>551</x:v>
      </x:c>
      <x:c r="B218" s="2" t="s">
        <x:v>643</x:v>
      </x:c>
      <x:c r="C218" s="2" t="s">
        <x:v>627</x:v>
      </x:c>
      <x:c r="D218" s="2" t="s">
        <x:v>628</x:v>
      </x:c>
      <x:c r="E218" s="10" t="s">
        <x:v>683</x:v>
      </x:c>
    </x:row>
    <x:row r="219" ht="69">
      <x:c r="A219" s="2" t="s">
        <x:v>551</x:v>
      </x:c>
      <x:c r="B219" s="2" t="s">
        <x:v>661</x:v>
      </x:c>
      <x:c r="C219" s="2" t="s">
        <x:v>627</x:v>
      </x:c>
      <x:c r="D219" s="2" t="s">
        <x:v>628</x:v>
      </x:c>
      <x:c r="E219" s="10" t="s">
        <x:v>683</x:v>
      </x:c>
    </x:row>
    <x:row r="220" ht="69">
      <x:c r="A220" s="2" t="s">
        <x:v>551</x:v>
      </x:c>
      <x:c r="B220" s="2" t="s">
        <x:v>670</x:v>
      </x:c>
      <x:c r="C220" s="2" t="s">
        <x:v>627</x:v>
      </x:c>
      <x:c r="D220" s="2" t="s">
        <x:v>628</x:v>
      </x:c>
      <x:c r="E220" s="10" t="s">
        <x:v>683</x:v>
      </x:c>
    </x:row>
    <x:row r="221" ht="69">
      <x:c r="A221" s="2" t="s">
        <x:v>551</x:v>
      </x:c>
      <x:c r="B221" s="2" t="s">
        <x:v>679</x:v>
      </x:c>
      <x:c r="C221" s="2" t="s">
        <x:v>627</x:v>
      </x:c>
      <x:c r="D221" s="2" t="s">
        <x:v>628</x:v>
      </x:c>
      <x:c r="E221" s="10" t="s">
        <x:v>683</x:v>
      </x:c>
    </x:row>
    <x:row r="222" ht="69">
      <x:c r="A222" s="2" t="s">
        <x:v>554</x:v>
      </x:c>
      <x:c r="B222" s="2" t="s">
        <x:v>633</x:v>
      </x:c>
      <x:c r="C222" s="2" t="s">
        <x:v>627</x:v>
      </x:c>
      <x:c r="D222" s="2" t="s">
        <x:v>628</x:v>
      </x:c>
      <x:c r="E222" s="10" t="s">
        <x:v>684</x:v>
      </x:c>
    </x:row>
    <x:row r="223" ht="69">
      <x:c r="A223" s="2" t="s">
        <x:v>554</x:v>
      </x:c>
      <x:c r="B223" s="2" t="s">
        <x:v>643</x:v>
      </x:c>
      <x:c r="C223" s="2" t="s">
        <x:v>627</x:v>
      </x:c>
      <x:c r="D223" s="2" t="s">
        <x:v>628</x:v>
      </x:c>
      <x:c r="E223" s="10" t="s">
        <x:v>684</x:v>
      </x:c>
    </x:row>
    <x:row r="224" ht="69">
      <x:c r="A224" s="2" t="s">
        <x:v>554</x:v>
      </x:c>
      <x:c r="B224" s="2" t="s">
        <x:v>661</x:v>
      </x:c>
      <x:c r="C224" s="2" t="s">
        <x:v>627</x:v>
      </x:c>
      <x:c r="D224" s="2" t="s">
        <x:v>628</x:v>
      </x:c>
      <x:c r="E224" s="10" t="s">
        <x:v>684</x:v>
      </x:c>
    </x:row>
    <x:row r="225" ht="69">
      <x:c r="A225" s="2" t="s">
        <x:v>554</x:v>
      </x:c>
      <x:c r="B225" s="2" t="s">
        <x:v>670</x:v>
      </x:c>
      <x:c r="C225" s="2" t="s">
        <x:v>627</x:v>
      </x:c>
      <x:c r="D225" s="2" t="s">
        <x:v>628</x:v>
      </x:c>
      <x:c r="E225" s="10" t="s">
        <x:v>684</x:v>
      </x:c>
    </x:row>
    <x:row r="226" ht="69">
      <x:c r="A226" s="2" t="s">
        <x:v>554</x:v>
      </x:c>
      <x:c r="B226" s="2" t="s">
        <x:v>679</x:v>
      </x:c>
      <x:c r="C226" s="2" t="s">
        <x:v>627</x:v>
      </x:c>
      <x:c r="D226" s="2" t="s">
        <x:v>628</x:v>
      </x:c>
      <x:c r="E226" s="10" t="s">
        <x:v>684</x:v>
      </x:c>
    </x:row>
    <x:row r="227" ht="69">
      <x:c r="A227" s="2" t="s">
        <x:v>557</x:v>
      </x:c>
      <x:c r="B227" s="2" t="s">
        <x:v>633</x:v>
      </x:c>
      <x:c r="C227" s="2" t="s">
        <x:v>627</x:v>
      </x:c>
      <x:c r="D227" s="2" t="s">
        <x:v>628</x:v>
      </x:c>
      <x:c r="E227" s="10" t="s">
        <x:v>685</x:v>
      </x:c>
    </x:row>
    <x:row r="228" ht="69">
      <x:c r="A228" s="2" t="s">
        <x:v>557</x:v>
      </x:c>
      <x:c r="B228" s="2" t="s">
        <x:v>643</x:v>
      </x:c>
      <x:c r="C228" s="2" t="s">
        <x:v>627</x:v>
      </x:c>
      <x:c r="D228" s="2" t="s">
        <x:v>628</x:v>
      </x:c>
      <x:c r="E228" s="10" t="s">
        <x:v>685</x:v>
      </x:c>
    </x:row>
    <x:row r="229" ht="69">
      <x:c r="A229" s="2" t="s">
        <x:v>557</x:v>
      </x:c>
      <x:c r="B229" s="2" t="s">
        <x:v>661</x:v>
      </x:c>
      <x:c r="C229" s="2" t="s">
        <x:v>627</x:v>
      </x:c>
      <x:c r="D229" s="2" t="s">
        <x:v>628</x:v>
      </x:c>
      <x:c r="E229" s="10" t="s">
        <x:v>685</x:v>
      </x:c>
    </x:row>
    <x:row r="230" ht="69">
      <x:c r="A230" s="2" t="s">
        <x:v>557</x:v>
      </x:c>
      <x:c r="B230" s="2" t="s">
        <x:v>670</x:v>
      </x:c>
      <x:c r="C230" s="2" t="s">
        <x:v>627</x:v>
      </x:c>
      <x:c r="D230" s="2" t="s">
        <x:v>628</x:v>
      </x:c>
      <x:c r="E230" s="10" t="s">
        <x:v>685</x:v>
      </x:c>
    </x:row>
    <x:row r="231" ht="69">
      <x:c r="A231" s="2" t="s">
        <x:v>557</x:v>
      </x:c>
      <x:c r="B231" s="2" t="s">
        <x:v>679</x:v>
      </x:c>
      <x:c r="C231" s="2" t="s">
        <x:v>627</x:v>
      </x:c>
      <x:c r="D231" s="2" t="s">
        <x:v>628</x:v>
      </x:c>
      <x:c r="E231" s="10" t="s">
        <x:v>685</x:v>
      </x:c>
    </x:row>
    <x:row r="232" ht="69">
      <x:c r="A232" s="2" t="s">
        <x:v>560</x:v>
      </x:c>
      <x:c r="B232" s="2" t="s">
        <x:v>633</x:v>
      </x:c>
      <x:c r="C232" s="2" t="s">
        <x:v>627</x:v>
      </x:c>
      <x:c r="D232" s="2" t="s">
        <x:v>628</x:v>
      </x:c>
      <x:c r="E232" s="10" t="s">
        <x:v>686</x:v>
      </x:c>
    </x:row>
    <x:row r="233" ht="69">
      <x:c r="A233" s="2" t="s">
        <x:v>560</x:v>
      </x:c>
      <x:c r="B233" s="2" t="s">
        <x:v>643</x:v>
      </x:c>
      <x:c r="C233" s="2" t="s">
        <x:v>627</x:v>
      </x:c>
      <x:c r="D233" s="2" t="s">
        <x:v>628</x:v>
      </x:c>
      <x:c r="E233" s="10" t="s">
        <x:v>686</x:v>
      </x:c>
    </x:row>
    <x:row r="234" ht="69">
      <x:c r="A234" s="2" t="s">
        <x:v>560</x:v>
      </x:c>
      <x:c r="B234" s="2" t="s">
        <x:v>661</x:v>
      </x:c>
      <x:c r="C234" s="2" t="s">
        <x:v>627</x:v>
      </x:c>
      <x:c r="D234" s="2" t="s">
        <x:v>628</x:v>
      </x:c>
      <x:c r="E234" s="10" t="s">
        <x:v>686</x:v>
      </x:c>
    </x:row>
    <x:row r="235" ht="69">
      <x:c r="A235" s="2" t="s">
        <x:v>560</x:v>
      </x:c>
      <x:c r="B235" s="2" t="s">
        <x:v>670</x:v>
      </x:c>
      <x:c r="C235" s="2" t="s">
        <x:v>627</x:v>
      </x:c>
      <x:c r="D235" s="2" t="s">
        <x:v>628</x:v>
      </x:c>
      <x:c r="E235" s="10" t="s">
        <x:v>686</x:v>
      </x:c>
    </x:row>
    <x:row r="236" ht="69">
      <x:c r="A236" s="2" t="s">
        <x:v>560</x:v>
      </x:c>
      <x:c r="B236" s="2" t="s">
        <x:v>679</x:v>
      </x:c>
      <x:c r="C236" s="2" t="s">
        <x:v>627</x:v>
      </x:c>
      <x:c r="D236" s="2" t="s">
        <x:v>628</x:v>
      </x:c>
      <x:c r="E236" s="10" t="s">
        <x:v>686</x:v>
      </x:c>
    </x:row>
    <x:row r="237" ht="69">
      <x:c r="A237" s="2" t="s">
        <x:v>563</x:v>
      </x:c>
      <x:c r="B237" s="2" t="s">
        <x:v>633</x:v>
      </x:c>
      <x:c r="C237" s="2" t="s">
        <x:v>627</x:v>
      </x:c>
      <x:c r="D237" s="2" t="s">
        <x:v>628</x:v>
      </x:c>
      <x:c r="E237" s="10" t="s">
        <x:v>687</x:v>
      </x:c>
    </x:row>
    <x:row r="238" ht="69">
      <x:c r="A238" s="2" t="s">
        <x:v>563</x:v>
      </x:c>
      <x:c r="B238" s="2" t="s">
        <x:v>643</x:v>
      </x:c>
      <x:c r="C238" s="2" t="s">
        <x:v>627</x:v>
      </x:c>
      <x:c r="D238" s="2" t="s">
        <x:v>628</x:v>
      </x:c>
      <x:c r="E238" s="10" t="s">
        <x:v>687</x:v>
      </x:c>
    </x:row>
    <x:row r="239" ht="69">
      <x:c r="A239" s="2" t="s">
        <x:v>563</x:v>
      </x:c>
      <x:c r="B239" s="2" t="s">
        <x:v>661</x:v>
      </x:c>
      <x:c r="C239" s="2" t="s">
        <x:v>627</x:v>
      </x:c>
      <x:c r="D239" s="2" t="s">
        <x:v>628</x:v>
      </x:c>
      <x:c r="E239" s="10" t="s">
        <x:v>687</x:v>
      </x:c>
    </x:row>
    <x:row r="240" ht="69">
      <x:c r="A240" s="2" t="s">
        <x:v>563</x:v>
      </x:c>
      <x:c r="B240" s="2" t="s">
        <x:v>670</x:v>
      </x:c>
      <x:c r="C240" s="2" t="s">
        <x:v>627</x:v>
      </x:c>
      <x:c r="D240" s="2" t="s">
        <x:v>628</x:v>
      </x:c>
      <x:c r="E240" s="10" t="s">
        <x:v>687</x:v>
      </x:c>
    </x:row>
    <x:row r="241" ht="69">
      <x:c r="A241" s="2" t="s">
        <x:v>563</x:v>
      </x:c>
      <x:c r="B241" s="2" t="s">
        <x:v>679</x:v>
      </x:c>
      <x:c r="C241" s="2" t="s">
        <x:v>627</x:v>
      </x:c>
      <x:c r="D241" s="2" t="s">
        <x:v>628</x:v>
      </x:c>
      <x:c r="E241" s="10" t="s">
        <x:v>687</x:v>
      </x:c>
    </x:row>
    <x:row r="242" ht="69">
      <x:c r="A242" s="2" t="s">
        <x:v>566</x:v>
      </x:c>
      <x:c r="B242" s="2" t="s">
        <x:v>633</x:v>
      </x:c>
      <x:c r="C242" s="2" t="s">
        <x:v>627</x:v>
      </x:c>
      <x:c r="D242" s="2" t="s">
        <x:v>628</x:v>
      </x:c>
      <x:c r="E242" s="10" t="s">
        <x:v>688</x:v>
      </x:c>
    </x:row>
    <x:row r="243" ht="69">
      <x:c r="A243" s="2" t="s">
        <x:v>566</x:v>
      </x:c>
      <x:c r="B243" s="2" t="s">
        <x:v>643</x:v>
      </x:c>
      <x:c r="C243" s="2" t="s">
        <x:v>627</x:v>
      </x:c>
      <x:c r="D243" s="2" t="s">
        <x:v>628</x:v>
      </x:c>
      <x:c r="E243" s="10" t="s">
        <x:v>688</x:v>
      </x:c>
    </x:row>
    <x:row r="244" ht="69">
      <x:c r="A244" s="2" t="s">
        <x:v>566</x:v>
      </x:c>
      <x:c r="B244" s="2" t="s">
        <x:v>661</x:v>
      </x:c>
      <x:c r="C244" s="2" t="s">
        <x:v>627</x:v>
      </x:c>
      <x:c r="D244" s="2" t="s">
        <x:v>628</x:v>
      </x:c>
      <x:c r="E244" s="10" t="s">
        <x:v>688</x:v>
      </x:c>
    </x:row>
    <x:row r="245" ht="69">
      <x:c r="A245" s="2" t="s">
        <x:v>566</x:v>
      </x:c>
      <x:c r="B245" s="2" t="s">
        <x:v>670</x:v>
      </x:c>
      <x:c r="C245" s="2" t="s">
        <x:v>627</x:v>
      </x:c>
      <x:c r="D245" s="2" t="s">
        <x:v>628</x:v>
      </x:c>
      <x:c r="E245" s="10" t="s">
        <x:v>688</x:v>
      </x:c>
    </x:row>
    <x:row r="246" ht="69">
      <x:c r="A246" s="2" t="s">
        <x:v>566</x:v>
      </x:c>
      <x:c r="B246" s="2" t="s">
        <x:v>679</x:v>
      </x:c>
      <x:c r="C246" s="2" t="s">
        <x:v>627</x:v>
      </x:c>
      <x:c r="D246" s="2" t="s">
        <x:v>628</x:v>
      </x:c>
      <x:c r="E246" s="10" t="s">
        <x:v>688</x:v>
      </x:c>
    </x:row>
    <x:row r="247" ht="69">
      <x:c r="A247" s="2" t="s">
        <x:v>569</x:v>
      </x:c>
      <x:c r="B247" s="2" t="s">
        <x:v>633</x:v>
      </x:c>
      <x:c r="C247" s="2" t="s">
        <x:v>627</x:v>
      </x:c>
      <x:c r="D247" s="2" t="s">
        <x:v>628</x:v>
      </x:c>
      <x:c r="E247" s="10" t="s">
        <x:v>689</x:v>
      </x:c>
    </x:row>
    <x:row r="248" ht="69">
      <x:c r="A248" s="2" t="s">
        <x:v>569</x:v>
      </x:c>
      <x:c r="B248" s="2" t="s">
        <x:v>643</x:v>
      </x:c>
      <x:c r="C248" s="2" t="s">
        <x:v>627</x:v>
      </x:c>
      <x:c r="D248" s="2" t="s">
        <x:v>628</x:v>
      </x:c>
      <x:c r="E248" s="10" t="s">
        <x:v>689</x:v>
      </x:c>
    </x:row>
    <x:row r="249" ht="69">
      <x:c r="A249" s="2" t="s">
        <x:v>569</x:v>
      </x:c>
      <x:c r="B249" s="2" t="s">
        <x:v>661</x:v>
      </x:c>
      <x:c r="C249" s="2" t="s">
        <x:v>627</x:v>
      </x:c>
      <x:c r="D249" s="2" t="s">
        <x:v>628</x:v>
      </x:c>
      <x:c r="E249" s="10" t="s">
        <x:v>689</x:v>
      </x:c>
    </x:row>
    <x:row r="250" ht="69">
      <x:c r="A250" s="2" t="s">
        <x:v>569</x:v>
      </x:c>
      <x:c r="B250" s="2" t="s">
        <x:v>670</x:v>
      </x:c>
      <x:c r="C250" s="2" t="s">
        <x:v>627</x:v>
      </x:c>
      <x:c r="D250" s="2" t="s">
        <x:v>628</x:v>
      </x:c>
      <x:c r="E250" s="10" t="s">
        <x:v>689</x:v>
      </x:c>
    </x:row>
    <x:row r="251" ht="69">
      <x:c r="A251" s="2" t="s">
        <x:v>569</x:v>
      </x:c>
      <x:c r="B251" s="2" t="s">
        <x:v>679</x:v>
      </x:c>
      <x:c r="C251" s="2" t="s">
        <x:v>627</x:v>
      </x:c>
      <x:c r="D251" s="2" t="s">
        <x:v>628</x:v>
      </x:c>
      <x:c r="E251" s="10" t="s">
        <x:v>689</x:v>
      </x:c>
    </x:row>
    <x:row r="252" ht="69">
      <x:c r="A252" s="2" t="s">
        <x:v>572</x:v>
      </x:c>
      <x:c r="B252" s="2" t="s">
        <x:v>633</x:v>
      </x:c>
      <x:c r="C252" s="2" t="s">
        <x:v>627</x:v>
      </x:c>
      <x:c r="D252" s="2" t="s">
        <x:v>628</x:v>
      </x:c>
      <x:c r="E252" s="10" t="s">
        <x:v>690</x:v>
      </x:c>
    </x:row>
    <x:row r="253" ht="69">
      <x:c r="A253" s="2" t="s">
        <x:v>572</x:v>
      </x:c>
      <x:c r="B253" s="2" t="s">
        <x:v>643</x:v>
      </x:c>
      <x:c r="C253" s="2" t="s">
        <x:v>627</x:v>
      </x:c>
      <x:c r="D253" s="2" t="s">
        <x:v>628</x:v>
      </x:c>
      <x:c r="E253" s="10" t="s">
        <x:v>690</x:v>
      </x:c>
    </x:row>
    <x:row r="254" ht="69">
      <x:c r="A254" s="2" t="s">
        <x:v>572</x:v>
      </x:c>
      <x:c r="B254" s="2" t="s">
        <x:v>661</x:v>
      </x:c>
      <x:c r="C254" s="2" t="s">
        <x:v>627</x:v>
      </x:c>
      <x:c r="D254" s="2" t="s">
        <x:v>628</x:v>
      </x:c>
      <x:c r="E254" s="10" t="s">
        <x:v>690</x:v>
      </x:c>
    </x:row>
    <x:row r="255" ht="69">
      <x:c r="A255" s="2" t="s">
        <x:v>572</x:v>
      </x:c>
      <x:c r="B255" s="2" t="s">
        <x:v>670</x:v>
      </x:c>
      <x:c r="C255" s="2" t="s">
        <x:v>627</x:v>
      </x:c>
      <x:c r="D255" s="2" t="s">
        <x:v>628</x:v>
      </x:c>
      <x:c r="E255" s="10" t="s">
        <x:v>690</x:v>
      </x:c>
    </x:row>
    <x:row r="256" ht="69">
      <x:c r="A256" s="2" t="s">
        <x:v>572</x:v>
      </x:c>
      <x:c r="B256" s="2" t="s">
        <x:v>679</x:v>
      </x:c>
      <x:c r="C256" s="2" t="s">
        <x:v>627</x:v>
      </x:c>
      <x:c r="D256" s="2" t="s">
        <x:v>628</x:v>
      </x:c>
      <x:c r="E256" s="10" t="s">
        <x:v>690</x:v>
      </x:c>
    </x:row>
    <x:row r="257" ht="69">
      <x:c r="A257" s="2" t="s">
        <x:v>575</x:v>
      </x:c>
      <x:c r="B257" s="2" t="s">
        <x:v>633</x:v>
      </x:c>
      <x:c r="C257" s="2" t="s">
        <x:v>627</x:v>
      </x:c>
      <x:c r="D257" s="2" t="s">
        <x:v>628</x:v>
      </x:c>
      <x:c r="E257" s="10" t="s">
        <x:v>691</x:v>
      </x:c>
    </x:row>
    <x:row r="258" ht="69">
      <x:c r="A258" s="2" t="s">
        <x:v>575</x:v>
      </x:c>
      <x:c r="B258" s="2" t="s">
        <x:v>643</x:v>
      </x:c>
      <x:c r="C258" s="2" t="s">
        <x:v>627</x:v>
      </x:c>
      <x:c r="D258" s="2" t="s">
        <x:v>628</x:v>
      </x:c>
      <x:c r="E258" s="10" t="s">
        <x:v>691</x:v>
      </x:c>
    </x:row>
    <x:row r="259" ht="69">
      <x:c r="A259" s="2" t="s">
        <x:v>575</x:v>
      </x:c>
      <x:c r="B259" s="2" t="s">
        <x:v>661</x:v>
      </x:c>
      <x:c r="C259" s="2" t="s">
        <x:v>627</x:v>
      </x:c>
      <x:c r="D259" s="2" t="s">
        <x:v>628</x:v>
      </x:c>
      <x:c r="E259" s="10" t="s">
        <x:v>691</x:v>
      </x:c>
    </x:row>
    <x:row r="260" ht="69">
      <x:c r="A260" s="2" t="s">
        <x:v>575</x:v>
      </x:c>
      <x:c r="B260" s="2" t="s">
        <x:v>670</x:v>
      </x:c>
      <x:c r="C260" s="2" t="s">
        <x:v>627</x:v>
      </x:c>
      <x:c r="D260" s="2" t="s">
        <x:v>628</x:v>
      </x:c>
      <x:c r="E260" s="10" t="s">
        <x:v>691</x:v>
      </x:c>
    </x:row>
    <x:row r="261" ht="69">
      <x:c r="A261" s="2" t="s">
        <x:v>575</x:v>
      </x:c>
      <x:c r="B261" s="2" t="s">
        <x:v>679</x:v>
      </x:c>
      <x:c r="C261" s="2" t="s">
        <x:v>627</x:v>
      </x:c>
      <x:c r="D261" s="2" t="s">
        <x:v>628</x:v>
      </x:c>
      <x:c r="E261" s="10" t="s">
        <x:v>691</x:v>
      </x:c>
    </x:row>
    <x:row r="262" ht="69">
      <x:c r="A262" s="2" t="s">
        <x:v>578</x:v>
      </x:c>
      <x:c r="B262" s="2" t="s">
        <x:v>633</x:v>
      </x:c>
      <x:c r="C262" s="2" t="s">
        <x:v>627</x:v>
      </x:c>
      <x:c r="D262" s="2" t="s">
        <x:v>628</x:v>
      </x:c>
      <x:c r="E262" s="10" t="s">
        <x:v>692</x:v>
      </x:c>
    </x:row>
    <x:row r="263" ht="69">
      <x:c r="A263" s="2" t="s">
        <x:v>578</x:v>
      </x:c>
      <x:c r="B263" s="2" t="s">
        <x:v>643</x:v>
      </x:c>
      <x:c r="C263" s="2" t="s">
        <x:v>627</x:v>
      </x:c>
      <x:c r="D263" s="2" t="s">
        <x:v>628</x:v>
      </x:c>
      <x:c r="E263" s="10" t="s">
        <x:v>692</x:v>
      </x:c>
    </x:row>
    <x:row r="264" ht="69">
      <x:c r="A264" s="2" t="s">
        <x:v>578</x:v>
      </x:c>
      <x:c r="B264" s="2" t="s">
        <x:v>661</x:v>
      </x:c>
      <x:c r="C264" s="2" t="s">
        <x:v>627</x:v>
      </x:c>
      <x:c r="D264" s="2" t="s">
        <x:v>628</x:v>
      </x:c>
      <x:c r="E264" s="10" t="s">
        <x:v>692</x:v>
      </x:c>
    </x:row>
    <x:row r="265" ht="69">
      <x:c r="A265" s="2" t="s">
        <x:v>578</x:v>
      </x:c>
      <x:c r="B265" s="2" t="s">
        <x:v>670</x:v>
      </x:c>
      <x:c r="C265" s="2" t="s">
        <x:v>627</x:v>
      </x:c>
      <x:c r="D265" s="2" t="s">
        <x:v>628</x:v>
      </x:c>
      <x:c r="E265" s="10" t="s">
        <x:v>692</x:v>
      </x:c>
    </x:row>
    <x:row r="266" ht="69">
      <x:c r="A266" s="2" t="s">
        <x:v>578</x:v>
      </x:c>
      <x:c r="B266" s="2" t="s">
        <x:v>679</x:v>
      </x:c>
      <x:c r="C266" s="2" t="s">
        <x:v>627</x:v>
      </x:c>
      <x:c r="D266" s="2" t="s">
        <x:v>628</x:v>
      </x:c>
      <x:c r="E266" s="10" t="s">
        <x:v>692</x:v>
      </x:c>
    </x:row>
    <x:row r="267" ht="69">
      <x:c r="A267" s="2" t="s">
        <x:v>581</x:v>
      </x:c>
      <x:c r="B267" s="2" t="s">
        <x:v>633</x:v>
      </x:c>
      <x:c r="C267" s="2" t="s">
        <x:v>627</x:v>
      </x:c>
      <x:c r="D267" s="2" t="s">
        <x:v>628</x:v>
      </x:c>
      <x:c r="E267" s="10" t="s">
        <x:v>693</x:v>
      </x:c>
    </x:row>
    <x:row r="268" ht="69">
      <x:c r="A268" s="2" t="s">
        <x:v>581</x:v>
      </x:c>
      <x:c r="B268" s="2" t="s">
        <x:v>643</x:v>
      </x:c>
      <x:c r="C268" s="2" t="s">
        <x:v>627</x:v>
      </x:c>
      <x:c r="D268" s="2" t="s">
        <x:v>628</x:v>
      </x:c>
      <x:c r="E268" s="10" t="s">
        <x:v>693</x:v>
      </x:c>
    </x:row>
    <x:row r="269" ht="69">
      <x:c r="A269" s="2" t="s">
        <x:v>581</x:v>
      </x:c>
      <x:c r="B269" s="2" t="s">
        <x:v>661</x:v>
      </x:c>
      <x:c r="C269" s="2" t="s">
        <x:v>627</x:v>
      </x:c>
      <x:c r="D269" s="2" t="s">
        <x:v>628</x:v>
      </x:c>
      <x:c r="E269" s="10" t="s">
        <x:v>693</x:v>
      </x:c>
    </x:row>
    <x:row r="270" ht="69">
      <x:c r="A270" s="2" t="s">
        <x:v>581</x:v>
      </x:c>
      <x:c r="B270" s="2" t="s">
        <x:v>670</x:v>
      </x:c>
      <x:c r="C270" s="2" t="s">
        <x:v>627</x:v>
      </x:c>
      <x:c r="D270" s="2" t="s">
        <x:v>628</x:v>
      </x:c>
      <x:c r="E270" s="10" t="s">
        <x:v>693</x:v>
      </x:c>
    </x:row>
    <x:row r="271" ht="69">
      <x:c r="A271" s="2" t="s">
        <x:v>581</x:v>
      </x:c>
      <x:c r="B271" s="2" t="s">
        <x:v>679</x:v>
      </x:c>
      <x:c r="C271" s="2" t="s">
        <x:v>627</x:v>
      </x:c>
      <x:c r="D271" s="2" t="s">
        <x:v>628</x:v>
      </x:c>
      <x:c r="E271" s="10" t="s">
        <x:v>693</x:v>
      </x:c>
    </x:row>
    <x:row r="272" ht="69">
      <x:c r="A272" s="2" t="s">
        <x:v>584</x:v>
      </x:c>
      <x:c r="B272" s="2" t="s">
        <x:v>633</x:v>
      </x:c>
      <x:c r="C272" s="2" t="s">
        <x:v>627</x:v>
      </x:c>
      <x:c r="D272" s="2" t="s">
        <x:v>628</x:v>
      </x:c>
      <x:c r="E272" s="10" t="s">
        <x:v>694</x:v>
      </x:c>
    </x:row>
    <x:row r="273" ht="69">
      <x:c r="A273" s="2" t="s">
        <x:v>584</x:v>
      </x:c>
      <x:c r="B273" s="2" t="s">
        <x:v>643</x:v>
      </x:c>
      <x:c r="C273" s="2" t="s">
        <x:v>627</x:v>
      </x:c>
      <x:c r="D273" s="2" t="s">
        <x:v>628</x:v>
      </x:c>
      <x:c r="E273" s="10" t="s">
        <x:v>694</x:v>
      </x:c>
    </x:row>
    <x:row r="274" ht="69">
      <x:c r="A274" s="2" t="s">
        <x:v>584</x:v>
      </x:c>
      <x:c r="B274" s="2" t="s">
        <x:v>661</x:v>
      </x:c>
      <x:c r="C274" s="2" t="s">
        <x:v>627</x:v>
      </x:c>
      <x:c r="D274" s="2" t="s">
        <x:v>628</x:v>
      </x:c>
      <x:c r="E274" s="10" t="s">
        <x:v>694</x:v>
      </x:c>
    </x:row>
    <x:row r="275" ht="69">
      <x:c r="A275" s="2" t="s">
        <x:v>584</x:v>
      </x:c>
      <x:c r="B275" s="2" t="s">
        <x:v>670</x:v>
      </x:c>
      <x:c r="C275" s="2" t="s">
        <x:v>627</x:v>
      </x:c>
      <x:c r="D275" s="2" t="s">
        <x:v>628</x:v>
      </x:c>
      <x:c r="E275" s="10" t="s">
        <x:v>694</x:v>
      </x:c>
    </x:row>
    <x:row r="276" ht="69">
      <x:c r="A276" s="2" t="s">
        <x:v>584</x:v>
      </x:c>
      <x:c r="B276" s="2" t="s">
        <x:v>679</x:v>
      </x:c>
      <x:c r="C276" s="2" t="s">
        <x:v>627</x:v>
      </x:c>
      <x:c r="D276" s="2" t="s">
        <x:v>628</x:v>
      </x:c>
      <x:c r="E276" s="10" t="s">
        <x:v>694</x:v>
      </x:c>
    </x:row>
    <x:row r="277" ht="69">
      <x:c r="A277" s="2" t="s">
        <x:v>587</x:v>
      </x:c>
      <x:c r="B277" s="2" t="s">
        <x:v>643</x:v>
      </x:c>
      <x:c r="C277" s="2" t="s">
        <x:v>627</x:v>
      </x:c>
      <x:c r="D277" s="2" t="s">
        <x:v>628</x:v>
      </x:c>
      <x:c r="E277" s="10" t="s">
        <x:v>695</x:v>
      </x:c>
    </x:row>
    <x:row r="278" ht="69">
      <x:c r="A278" s="2" t="s">
        <x:v>587</x:v>
      </x:c>
      <x:c r="B278" s="2" t="s">
        <x:v>661</x:v>
      </x:c>
      <x:c r="C278" s="2" t="s">
        <x:v>627</x:v>
      </x:c>
      <x:c r="D278" s="2" t="s">
        <x:v>628</x:v>
      </x:c>
      <x:c r="E278" s="10" t="s">
        <x:v>695</x:v>
      </x:c>
    </x:row>
    <x:row r="279" ht="69">
      <x:c r="A279" s="2" t="s">
        <x:v>587</x:v>
      </x:c>
      <x:c r="B279" s="2" t="s">
        <x:v>670</x:v>
      </x:c>
      <x:c r="C279" s="2" t="s">
        <x:v>627</x:v>
      </x:c>
      <x:c r="D279" s="2" t="s">
        <x:v>628</x:v>
      </x:c>
      <x:c r="E279" s="10" t="s">
        <x:v>695</x:v>
      </x:c>
    </x:row>
    <x:row r="280" ht="69">
      <x:c r="A280" s="2" t="s">
        <x:v>587</x:v>
      </x:c>
      <x:c r="B280" s="2" t="s">
        <x:v>679</x:v>
      </x:c>
      <x:c r="C280" s="2" t="s">
        <x:v>627</x:v>
      </x:c>
      <x:c r="D280" s="2" t="s">
        <x:v>628</x:v>
      </x:c>
      <x:c r="E280" s="10" t="s">
        <x:v>695</x:v>
      </x:c>
    </x:row>
    <x:row r="281" ht="69">
      <x:c r="A281" s="2" t="s">
        <x:v>587</x:v>
      </x:c>
      <x:c r="B281" s="2" t="s">
        <x:v>696</x:v>
      </x:c>
      <x:c r="C281" s="2" t="s">
        <x:v>627</x:v>
      </x:c>
      <x:c r="D281" s="2" t="s">
        <x:v>628</x:v>
      </x:c>
      <x:c r="E281" s="10" t="s">
        <x:v>695</x:v>
      </x:c>
    </x:row>
    <x:row r="282" ht="69">
      <x:c r="A282" s="2" t="s">
        <x:v>590</x:v>
      </x:c>
      <x:c r="B282" s="2" t="s">
        <x:v>643</x:v>
      </x:c>
      <x:c r="C282" s="2" t="s">
        <x:v>627</x:v>
      </x:c>
      <x:c r="D282" s="2" t="s">
        <x:v>628</x:v>
      </x:c>
      <x:c r="E282" s="10" t="s">
        <x:v>697</x:v>
      </x:c>
    </x:row>
    <x:row r="283" ht="69">
      <x:c r="A283" s="2" t="s">
        <x:v>590</x:v>
      </x:c>
      <x:c r="B283" s="2" t="s">
        <x:v>661</x:v>
      </x:c>
      <x:c r="C283" s="2" t="s">
        <x:v>627</x:v>
      </x:c>
      <x:c r="D283" s="2" t="s">
        <x:v>628</x:v>
      </x:c>
      <x:c r="E283" s="10" t="s">
        <x:v>697</x:v>
      </x:c>
    </x:row>
    <x:row r="284" ht="69">
      <x:c r="A284" s="2" t="s">
        <x:v>590</x:v>
      </x:c>
      <x:c r="B284" s="2" t="s">
        <x:v>670</x:v>
      </x:c>
      <x:c r="C284" s="2" t="s">
        <x:v>627</x:v>
      </x:c>
      <x:c r="D284" s="2" t="s">
        <x:v>628</x:v>
      </x:c>
      <x:c r="E284" s="10" t="s">
        <x:v>697</x:v>
      </x:c>
    </x:row>
    <x:row r="285" ht="69">
      <x:c r="A285" s="2" t="s">
        <x:v>590</x:v>
      </x:c>
      <x:c r="B285" s="2" t="s">
        <x:v>679</x:v>
      </x:c>
      <x:c r="C285" s="2" t="s">
        <x:v>627</x:v>
      </x:c>
      <x:c r="D285" s="2" t="s">
        <x:v>628</x:v>
      </x:c>
      <x:c r="E285" s="10" t="s">
        <x:v>697</x:v>
      </x:c>
    </x:row>
    <x:row r="286" ht="69">
      <x:c r="A286" s="2" t="s">
        <x:v>590</x:v>
      </x:c>
      <x:c r="B286" s="2" t="s">
        <x:v>696</x:v>
      </x:c>
      <x:c r="C286" s="2" t="s">
        <x:v>627</x:v>
      </x:c>
      <x:c r="D286" s="2" t="s">
        <x:v>628</x:v>
      </x:c>
      <x:c r="E286" s="10" t="s">
        <x:v>697</x:v>
      </x:c>
    </x:row>
    <x:row r="287" ht="69">
      <x:c r="A287" s="2" t="s">
        <x:v>593</x:v>
      </x:c>
      <x:c r="B287" s="2" t="s">
        <x:v>643</x:v>
      </x:c>
      <x:c r="C287" s="2" t="s">
        <x:v>627</x:v>
      </x:c>
      <x:c r="D287" s="2" t="s">
        <x:v>628</x:v>
      </x:c>
      <x:c r="E287" s="10" t="s">
        <x:v>698</x:v>
      </x:c>
    </x:row>
    <x:row r="288" ht="69">
      <x:c r="A288" s="2" t="s">
        <x:v>593</x:v>
      </x:c>
      <x:c r="B288" s="2" t="s">
        <x:v>661</x:v>
      </x:c>
      <x:c r="C288" s="2" t="s">
        <x:v>627</x:v>
      </x:c>
      <x:c r="D288" s="2" t="s">
        <x:v>628</x:v>
      </x:c>
      <x:c r="E288" s="10" t="s">
        <x:v>698</x:v>
      </x:c>
    </x:row>
    <x:row r="289" ht="69">
      <x:c r="A289" s="2" t="s">
        <x:v>593</x:v>
      </x:c>
      <x:c r="B289" s="2" t="s">
        <x:v>670</x:v>
      </x:c>
      <x:c r="C289" s="2" t="s">
        <x:v>627</x:v>
      </x:c>
      <x:c r="D289" s="2" t="s">
        <x:v>628</x:v>
      </x:c>
      <x:c r="E289" s="10" t="s">
        <x:v>698</x:v>
      </x:c>
    </x:row>
    <x:row r="290" ht="69">
      <x:c r="A290" s="2" t="s">
        <x:v>593</x:v>
      </x:c>
      <x:c r="B290" s="2" t="s">
        <x:v>679</x:v>
      </x:c>
      <x:c r="C290" s="2" t="s">
        <x:v>627</x:v>
      </x:c>
      <x:c r="D290" s="2" t="s">
        <x:v>628</x:v>
      </x:c>
      <x:c r="E290" s="10" t="s">
        <x:v>698</x:v>
      </x:c>
    </x:row>
    <x:row r="291" ht="69">
      <x:c r="A291" s="2" t="s">
        <x:v>593</x:v>
      </x:c>
      <x:c r="B291" s="2" t="s">
        <x:v>696</x:v>
      </x:c>
      <x:c r="C291" s="2" t="s">
        <x:v>627</x:v>
      </x:c>
      <x:c r="D291" s="2" t="s">
        <x:v>628</x:v>
      </x:c>
      <x:c r="E291" s="10" t="s">
        <x:v>698</x:v>
      </x:c>
    </x:row>
    <x:row r="292" ht="69">
      <x:c r="A292" s="2" t="s">
        <x:v>596</x:v>
      </x:c>
      <x:c r="B292" s="2" t="s">
        <x:v>643</x:v>
      </x:c>
      <x:c r="C292" s="2" t="s">
        <x:v>627</x:v>
      </x:c>
      <x:c r="D292" s="2" t="s">
        <x:v>628</x:v>
      </x:c>
      <x:c r="E292" s="10" t="s">
        <x:v>699</x:v>
      </x:c>
    </x:row>
    <x:row r="293" ht="69">
      <x:c r="A293" s="2" t="s">
        <x:v>596</x:v>
      </x:c>
      <x:c r="B293" s="2" t="s">
        <x:v>661</x:v>
      </x:c>
      <x:c r="C293" s="2" t="s">
        <x:v>627</x:v>
      </x:c>
      <x:c r="D293" s="2" t="s">
        <x:v>628</x:v>
      </x:c>
      <x:c r="E293" s="10" t="s">
        <x:v>699</x:v>
      </x:c>
    </x:row>
    <x:row r="294" ht="69">
      <x:c r="A294" s="2" t="s">
        <x:v>596</x:v>
      </x:c>
      <x:c r="B294" s="2" t="s">
        <x:v>670</x:v>
      </x:c>
      <x:c r="C294" s="2" t="s">
        <x:v>627</x:v>
      </x:c>
      <x:c r="D294" s="2" t="s">
        <x:v>628</x:v>
      </x:c>
      <x:c r="E294" s="10" t="s">
        <x:v>699</x:v>
      </x:c>
    </x:row>
    <x:row r="295" ht="69">
      <x:c r="A295" s="2" t="s">
        <x:v>596</x:v>
      </x:c>
      <x:c r="B295" s="2" t="s">
        <x:v>679</x:v>
      </x:c>
      <x:c r="C295" s="2" t="s">
        <x:v>627</x:v>
      </x:c>
      <x:c r="D295" s="2" t="s">
        <x:v>628</x:v>
      </x:c>
      <x:c r="E295" s="10" t="s">
        <x:v>699</x:v>
      </x:c>
    </x:row>
    <x:row r="296" ht="69">
      <x:c r="A296" s="2" t="s">
        <x:v>596</x:v>
      </x:c>
      <x:c r="B296" s="2" t="s">
        <x:v>696</x:v>
      </x:c>
      <x:c r="C296" s="2" t="s">
        <x:v>627</x:v>
      </x:c>
      <x:c r="D296" s="2" t="s">
        <x:v>628</x:v>
      </x:c>
      <x:c r="E296" s="10" t="s">
        <x:v>699</x:v>
      </x:c>
    </x:row>
    <x:row r="297" ht="69">
      <x:c r="A297" s="2" t="s">
        <x:v>599</x:v>
      </x:c>
      <x:c r="B297" s="2" t="s">
        <x:v>643</x:v>
      </x:c>
      <x:c r="C297" s="2" t="s">
        <x:v>627</x:v>
      </x:c>
      <x:c r="D297" s="2" t="s">
        <x:v>628</x:v>
      </x:c>
      <x:c r="E297" s="10" t="s">
        <x:v>700</x:v>
      </x:c>
    </x:row>
    <x:row r="298" ht="69">
      <x:c r="A298" s="2" t="s">
        <x:v>599</x:v>
      </x:c>
      <x:c r="B298" s="2" t="s">
        <x:v>661</x:v>
      </x:c>
      <x:c r="C298" s="2" t="s">
        <x:v>627</x:v>
      </x:c>
      <x:c r="D298" s="2" t="s">
        <x:v>628</x:v>
      </x:c>
      <x:c r="E298" s="10" t="s">
        <x:v>700</x:v>
      </x:c>
    </x:row>
    <x:row r="299" ht="69">
      <x:c r="A299" s="2" t="s">
        <x:v>599</x:v>
      </x:c>
      <x:c r="B299" s="2" t="s">
        <x:v>670</x:v>
      </x:c>
      <x:c r="C299" s="2" t="s">
        <x:v>627</x:v>
      </x:c>
      <x:c r="D299" s="2" t="s">
        <x:v>628</x:v>
      </x:c>
      <x:c r="E299" s="10" t="s">
        <x:v>700</x:v>
      </x:c>
    </x:row>
    <x:row r="300" ht="69">
      <x:c r="A300" s="2" t="s">
        <x:v>599</x:v>
      </x:c>
      <x:c r="B300" s="2" t="s">
        <x:v>679</x:v>
      </x:c>
      <x:c r="C300" s="2" t="s">
        <x:v>627</x:v>
      </x:c>
      <x:c r="D300" s="2" t="s">
        <x:v>628</x:v>
      </x:c>
      <x:c r="E300" s="10" t="s">
        <x:v>700</x:v>
      </x:c>
    </x:row>
    <x:row r="301" ht="69">
      <x:c r="A301" s="2" t="s">
        <x:v>599</x:v>
      </x:c>
      <x:c r="B301" s="2" t="s">
        <x:v>696</x:v>
      </x:c>
      <x:c r="C301" s="2" t="s">
        <x:v>627</x:v>
      </x:c>
      <x:c r="D301" s="2" t="s">
        <x:v>628</x:v>
      </x:c>
      <x:c r="E301" s="10" t="s">
        <x:v>700</x:v>
      </x:c>
    </x:row>
    <x:row r="302" ht="69">
      <x:c r="A302" s="2" t="s">
        <x:v>602</x:v>
      </x:c>
      <x:c r="B302" s="2" t="s">
        <x:v>643</x:v>
      </x:c>
      <x:c r="C302" s="2" t="s">
        <x:v>627</x:v>
      </x:c>
      <x:c r="D302" s="2" t="s">
        <x:v>628</x:v>
      </x:c>
      <x:c r="E302" s="10" t="s">
        <x:v>701</x:v>
      </x:c>
    </x:row>
    <x:row r="303" ht="69">
      <x:c r="A303" s="2" t="s">
        <x:v>602</x:v>
      </x:c>
      <x:c r="B303" s="2" t="s">
        <x:v>661</x:v>
      </x:c>
      <x:c r="C303" s="2" t="s">
        <x:v>627</x:v>
      </x:c>
      <x:c r="D303" s="2" t="s">
        <x:v>628</x:v>
      </x:c>
      <x:c r="E303" s="10" t="s">
        <x:v>701</x:v>
      </x:c>
    </x:row>
    <x:row r="304" ht="69">
      <x:c r="A304" s="2" t="s">
        <x:v>602</x:v>
      </x:c>
      <x:c r="B304" s="2" t="s">
        <x:v>670</x:v>
      </x:c>
      <x:c r="C304" s="2" t="s">
        <x:v>627</x:v>
      </x:c>
      <x:c r="D304" s="2" t="s">
        <x:v>628</x:v>
      </x:c>
      <x:c r="E304" s="10" t="s">
        <x:v>701</x:v>
      </x:c>
    </x:row>
    <x:row r="305" ht="69">
      <x:c r="A305" s="2" t="s">
        <x:v>602</x:v>
      </x:c>
      <x:c r="B305" s="2" t="s">
        <x:v>679</x:v>
      </x:c>
      <x:c r="C305" s="2" t="s">
        <x:v>627</x:v>
      </x:c>
      <x:c r="D305" s="2" t="s">
        <x:v>628</x:v>
      </x:c>
      <x:c r="E305" s="10" t="s">
        <x:v>701</x:v>
      </x:c>
    </x:row>
    <x:row r="306" ht="69">
      <x:c r="A306" s="2" t="s">
        <x:v>602</x:v>
      </x:c>
      <x:c r="B306" s="2" t="s">
        <x:v>696</x:v>
      </x:c>
      <x:c r="C306" s="2" t="s">
        <x:v>627</x:v>
      </x:c>
      <x:c r="D306" s="2" t="s">
        <x:v>628</x:v>
      </x:c>
      <x:c r="E306" s="10" t="s">
        <x:v>701</x:v>
      </x:c>
    </x:row>
    <x:row r="307" ht="69">
      <x:c r="A307" s="2" t="s">
        <x:v>605</x:v>
      </x:c>
      <x:c r="B307" s="2" t="s">
        <x:v>643</x:v>
      </x:c>
      <x:c r="C307" s="2" t="s">
        <x:v>627</x:v>
      </x:c>
      <x:c r="D307" s="2" t="s">
        <x:v>628</x:v>
      </x:c>
      <x:c r="E307" s="10" t="s">
        <x:v>702</x:v>
      </x:c>
    </x:row>
    <x:row r="308" ht="69">
      <x:c r="A308" s="2" t="s">
        <x:v>605</x:v>
      </x:c>
      <x:c r="B308" s="2" t="s">
        <x:v>661</x:v>
      </x:c>
      <x:c r="C308" s="2" t="s">
        <x:v>627</x:v>
      </x:c>
      <x:c r="D308" s="2" t="s">
        <x:v>628</x:v>
      </x:c>
      <x:c r="E308" s="10" t="s">
        <x:v>702</x:v>
      </x:c>
    </x:row>
    <x:row r="309" ht="69">
      <x:c r="A309" s="2" t="s">
        <x:v>605</x:v>
      </x:c>
      <x:c r="B309" s="2" t="s">
        <x:v>670</x:v>
      </x:c>
      <x:c r="C309" s="2" t="s">
        <x:v>627</x:v>
      </x:c>
      <x:c r="D309" s="2" t="s">
        <x:v>628</x:v>
      </x:c>
      <x:c r="E309" s="10" t="s">
        <x:v>702</x:v>
      </x:c>
    </x:row>
    <x:row r="310" ht="69">
      <x:c r="A310" s="2" t="s">
        <x:v>605</x:v>
      </x:c>
      <x:c r="B310" s="2" t="s">
        <x:v>679</x:v>
      </x:c>
      <x:c r="C310" s="2" t="s">
        <x:v>627</x:v>
      </x:c>
      <x:c r="D310" s="2" t="s">
        <x:v>628</x:v>
      </x:c>
      <x:c r="E310" s="10" t="s">
        <x:v>702</x:v>
      </x:c>
    </x:row>
    <x:row r="311" ht="69">
      <x:c r="A311" s="2" t="s">
        <x:v>605</x:v>
      </x:c>
      <x:c r="B311" s="2" t="s">
        <x:v>696</x:v>
      </x:c>
      <x:c r="C311" s="2" t="s">
        <x:v>627</x:v>
      </x:c>
      <x:c r="D311" s="2" t="s">
        <x:v>628</x:v>
      </x:c>
      <x:c r="E311" s="10" t="s">
        <x:v>702</x:v>
      </x:c>
    </x:row>
    <x:row r="312" ht="69">
      <x:c r="A312" s="2" t="s">
        <x:v>608</x:v>
      </x:c>
      <x:c r="B312" s="2" t="s">
        <x:v>643</x:v>
      </x:c>
      <x:c r="C312" s="2" t="s">
        <x:v>627</x:v>
      </x:c>
      <x:c r="D312" s="2" t="s">
        <x:v>628</x:v>
      </x:c>
      <x:c r="E312" s="10" t="s">
        <x:v>703</x:v>
      </x:c>
    </x:row>
    <x:row r="313" ht="69">
      <x:c r="A313" s="2" t="s">
        <x:v>608</x:v>
      </x:c>
      <x:c r="B313" s="2" t="s">
        <x:v>661</x:v>
      </x:c>
      <x:c r="C313" s="2" t="s">
        <x:v>627</x:v>
      </x:c>
      <x:c r="D313" s="2" t="s">
        <x:v>628</x:v>
      </x:c>
      <x:c r="E313" s="10" t="s">
        <x:v>703</x:v>
      </x:c>
    </x:row>
    <x:row r="314" ht="69">
      <x:c r="A314" s="2" t="s">
        <x:v>608</x:v>
      </x:c>
      <x:c r="B314" s="2" t="s">
        <x:v>670</x:v>
      </x:c>
      <x:c r="C314" s="2" t="s">
        <x:v>627</x:v>
      </x:c>
      <x:c r="D314" s="2" t="s">
        <x:v>628</x:v>
      </x:c>
      <x:c r="E314" s="10" t="s">
        <x:v>703</x:v>
      </x:c>
    </x:row>
    <x:row r="315" ht="69">
      <x:c r="A315" s="2" t="s">
        <x:v>608</x:v>
      </x:c>
      <x:c r="B315" s="2" t="s">
        <x:v>679</x:v>
      </x:c>
      <x:c r="C315" s="2" t="s">
        <x:v>627</x:v>
      </x:c>
      <x:c r="D315" s="2" t="s">
        <x:v>628</x:v>
      </x:c>
      <x:c r="E315" s="10" t="s">
        <x:v>703</x:v>
      </x:c>
    </x:row>
    <x:row r="316" ht="69">
      <x:c r="A316" s="2" t="s">
        <x:v>608</x:v>
      </x:c>
      <x:c r="B316" s="2" t="s">
        <x:v>696</x:v>
      </x:c>
      <x:c r="C316" s="2" t="s">
        <x:v>627</x:v>
      </x:c>
      <x:c r="D316" s="2" t="s">
        <x:v>628</x:v>
      </x:c>
      <x:c r="E316" s="10" t="s">
        <x:v>703</x:v>
      </x:c>
    </x:row>
    <x:row r="317" ht="69">
      <x:c r="A317" s="2" t="s">
        <x:v>611</x:v>
      </x:c>
      <x:c r="B317" s="2" t="s">
        <x:v>643</x:v>
      </x:c>
      <x:c r="C317" s="2" t="s">
        <x:v>627</x:v>
      </x:c>
      <x:c r="D317" s="2" t="s">
        <x:v>628</x:v>
      </x:c>
      <x:c r="E317" s="10" t="s">
        <x:v>704</x:v>
      </x:c>
    </x:row>
    <x:row r="318" ht="69">
      <x:c r="A318" s="2" t="s">
        <x:v>611</x:v>
      </x:c>
      <x:c r="B318" s="2" t="s">
        <x:v>661</x:v>
      </x:c>
      <x:c r="C318" s="2" t="s">
        <x:v>627</x:v>
      </x:c>
      <x:c r="D318" s="2" t="s">
        <x:v>628</x:v>
      </x:c>
      <x:c r="E318" s="10" t="s">
        <x:v>704</x:v>
      </x:c>
    </x:row>
    <x:row r="319" ht="69">
      <x:c r="A319" s="2" t="s">
        <x:v>611</x:v>
      </x:c>
      <x:c r="B319" s="2" t="s">
        <x:v>670</x:v>
      </x:c>
      <x:c r="C319" s="2" t="s">
        <x:v>627</x:v>
      </x:c>
      <x:c r="D319" s="2" t="s">
        <x:v>628</x:v>
      </x:c>
      <x:c r="E319" s="10" t="s">
        <x:v>704</x:v>
      </x:c>
    </x:row>
    <x:row r="320" ht="69">
      <x:c r="A320" s="2" t="s">
        <x:v>611</x:v>
      </x:c>
      <x:c r="B320" s="2" t="s">
        <x:v>679</x:v>
      </x:c>
      <x:c r="C320" s="2" t="s">
        <x:v>627</x:v>
      </x:c>
      <x:c r="D320" s="2" t="s">
        <x:v>628</x:v>
      </x:c>
      <x:c r="E320" s="10" t="s">
        <x:v>704</x:v>
      </x:c>
    </x:row>
    <x:row r="321" ht="69">
      <x:c r="A321" s="2" t="s">
        <x:v>611</x:v>
      </x:c>
      <x:c r="B321" s="2" t="s">
        <x:v>696</x:v>
      </x:c>
      <x:c r="C321" s="2" t="s">
        <x:v>627</x:v>
      </x:c>
      <x:c r="D321" s="2" t="s">
        <x:v>628</x:v>
      </x:c>
      <x:c r="E321" s="10" t="s">
        <x:v>704</x:v>
      </x:c>
    </x:row>
    <x:row r="322" ht="69">
      <x:c r="A322" s="2" t="s">
        <x:v>614</x:v>
      </x:c>
      <x:c r="B322" s="2" t="s">
        <x:v>643</x:v>
      </x:c>
      <x:c r="C322" s="2" t="s">
        <x:v>627</x:v>
      </x:c>
      <x:c r="D322" s="2" t="s">
        <x:v>628</x:v>
      </x:c>
      <x:c r="E322" s="10" t="s">
        <x:v>705</x:v>
      </x:c>
    </x:row>
    <x:row r="323" ht="69">
      <x:c r="A323" s="2" t="s">
        <x:v>614</x:v>
      </x:c>
      <x:c r="B323" s="2" t="s">
        <x:v>661</x:v>
      </x:c>
      <x:c r="C323" s="2" t="s">
        <x:v>627</x:v>
      </x:c>
      <x:c r="D323" s="2" t="s">
        <x:v>628</x:v>
      </x:c>
      <x:c r="E323" s="10" t="s">
        <x:v>705</x:v>
      </x:c>
    </x:row>
    <x:row r="324" ht="69">
      <x:c r="A324" s="2" t="s">
        <x:v>614</x:v>
      </x:c>
      <x:c r="B324" s="2" t="s">
        <x:v>670</x:v>
      </x:c>
      <x:c r="C324" s="2" t="s">
        <x:v>627</x:v>
      </x:c>
      <x:c r="D324" s="2" t="s">
        <x:v>628</x:v>
      </x:c>
      <x:c r="E324" s="10" t="s">
        <x:v>705</x:v>
      </x:c>
    </x:row>
    <x:row r="325" ht="69">
      <x:c r="A325" s="2" t="s">
        <x:v>614</x:v>
      </x:c>
      <x:c r="B325" s="2" t="s">
        <x:v>679</x:v>
      </x:c>
      <x:c r="C325" s="2" t="s">
        <x:v>627</x:v>
      </x:c>
      <x:c r="D325" s="2" t="s">
        <x:v>628</x:v>
      </x:c>
      <x:c r="E325" s="10" t="s">
        <x:v>705</x:v>
      </x:c>
    </x:row>
    <x:row r="326" ht="69">
      <x:c r="A326" s="2" t="s">
        <x:v>614</x:v>
      </x:c>
      <x:c r="B326" s="2" t="s">
        <x:v>696</x:v>
      </x:c>
      <x:c r="C326" s="2" t="s">
        <x:v>627</x:v>
      </x:c>
      <x:c r="D326" s="2" t="s">
        <x:v>628</x:v>
      </x:c>
      <x:c r="E326" s="10" t="s">
        <x:v>705</x:v>
      </x:c>
    </x:row>
    <x:row r="327" ht="69">
      <x:c r="A327" s="2" t="s">
        <x:v>617</x:v>
      </x:c>
      <x:c r="B327" s="2" t="s">
        <x:v>643</x:v>
      </x:c>
      <x:c r="C327" s="2" t="s">
        <x:v>627</x:v>
      </x:c>
      <x:c r="D327" s="2" t="s">
        <x:v>628</x:v>
      </x:c>
      <x:c r="E327" s="10" t="s">
        <x:v>706</x:v>
      </x:c>
    </x:row>
    <x:row r="328" ht="69">
      <x:c r="A328" s="2" t="s">
        <x:v>617</x:v>
      </x:c>
      <x:c r="B328" s="2" t="s">
        <x:v>661</x:v>
      </x:c>
      <x:c r="C328" s="2" t="s">
        <x:v>627</x:v>
      </x:c>
      <x:c r="D328" s="2" t="s">
        <x:v>628</x:v>
      </x:c>
      <x:c r="E328" s="10" t="s">
        <x:v>706</x:v>
      </x:c>
    </x:row>
    <x:row r="329" ht="69">
      <x:c r="A329" s="2" t="s">
        <x:v>617</x:v>
      </x:c>
      <x:c r="B329" s="2" t="s">
        <x:v>670</x:v>
      </x:c>
      <x:c r="C329" s="2" t="s">
        <x:v>627</x:v>
      </x:c>
      <x:c r="D329" s="2" t="s">
        <x:v>628</x:v>
      </x:c>
      <x:c r="E329" s="10" t="s">
        <x:v>706</x:v>
      </x:c>
    </x:row>
    <x:row r="330" ht="69">
      <x:c r="A330" s="2" t="s">
        <x:v>617</x:v>
      </x:c>
      <x:c r="B330" s="2" t="s">
        <x:v>679</x:v>
      </x:c>
      <x:c r="C330" s="2" t="s">
        <x:v>627</x:v>
      </x:c>
      <x:c r="D330" s="2" t="s">
        <x:v>628</x:v>
      </x:c>
      <x:c r="E330" s="10" t="s">
        <x:v>706</x:v>
      </x:c>
    </x:row>
    <x:row r="331" ht="69">
      <x:c r="A331" s="2" t="s">
        <x:v>617</x:v>
      </x:c>
      <x:c r="B331" s="2" t="s">
        <x:v>696</x:v>
      </x:c>
      <x:c r="C331" s="2" t="s">
        <x:v>627</x:v>
      </x:c>
      <x:c r="D331" s="2" t="s">
        <x:v>628</x:v>
      </x:c>
      <x:c r="E331" s="10" t="s">
        <x:v>706</x:v>
      </x:c>
    </x:row>
    <x:row r="332" ht="69">
      <x:c r="A332" s="2" t="s">
        <x:v>620</x:v>
      </x:c>
      <x:c r="B332" s="2" t="s">
        <x:v>643</x:v>
      </x:c>
      <x:c r="C332" s="2" t="s">
        <x:v>627</x:v>
      </x:c>
      <x:c r="D332" s="2" t="s">
        <x:v>628</x:v>
      </x:c>
      <x:c r="E332" s="10" t="s">
        <x:v>707</x:v>
      </x:c>
    </x:row>
    <x:row r="333" ht="69">
      <x:c r="A333" s="2" t="s">
        <x:v>620</x:v>
      </x:c>
      <x:c r="B333" s="2" t="s">
        <x:v>661</x:v>
      </x:c>
      <x:c r="C333" s="2" t="s">
        <x:v>627</x:v>
      </x:c>
      <x:c r="D333" s="2" t="s">
        <x:v>628</x:v>
      </x:c>
      <x:c r="E333" s="10" t="s">
        <x:v>707</x:v>
      </x:c>
    </x:row>
    <x:row r="334" ht="69">
      <x:c r="A334" s="2" t="s">
        <x:v>620</x:v>
      </x:c>
      <x:c r="B334" s="2" t="s">
        <x:v>670</x:v>
      </x:c>
      <x:c r="C334" s="2" t="s">
        <x:v>627</x:v>
      </x:c>
      <x:c r="D334" s="2" t="s">
        <x:v>628</x:v>
      </x:c>
      <x:c r="E334" s="10" t="s">
        <x:v>707</x:v>
      </x:c>
    </x:row>
    <x:row r="335" ht="69">
      <x:c r="A335" s="2" t="s">
        <x:v>620</x:v>
      </x:c>
      <x:c r="B335" s="2" t="s">
        <x:v>679</x:v>
      </x:c>
      <x:c r="C335" s="2" t="s">
        <x:v>627</x:v>
      </x:c>
      <x:c r="D335" s="2" t="s">
        <x:v>628</x:v>
      </x:c>
      <x:c r="E335" s="10" t="s">
        <x:v>707</x:v>
      </x:c>
    </x:row>
    <x:row r="336" ht="69">
      <x:c r="A336" s="55" t="s">
        <x:v>620</x:v>
      </x:c>
      <x:c r="B336" s="55" t="s">
        <x:v>696</x:v>
      </x:c>
      <x:c r="C336" s="55" t="s">
        <x:v>627</x:v>
      </x:c>
      <x:c r="D336" s="55" t="s">
        <x:v>628</x:v>
      </x:c>
      <x:c r="E336" s="57" t="s">
        <x:v>707</x:v>
      </x:c>
    </x:row>
    <x:row r="337">
      <x:c r="A337" t="str">
        <x:v>D20260806</x:v>
      </x:c>
      <x:c r="B337" t="str">
        <x:v>P017</x:v>
      </x:c>
      <x:c r="C337" t="str">
        <x:v>Integrante de la Junta de Gobierno</x:v>
      </x:c>
      <x:c r="D337" t="str">
        <x:v>Presente</x:v>
      </x:c>
      <x:c r="E337" t="str">
        <x:v>Comunicado oficial: https://www.banxico.org.mx/publicaciones-y-prensa/anuncios-de-las-decisiones-de-politica-monetaria/{8DA3F519-341F-480E-1D4E-1AEE71DD08DA}.pdf. El comunicado declara presencia de todos los miembros y decisión unánime.</x:v>
      </x:c>
    </x:row>
    <x:row r="338">
      <x:c r="A338" t="str">
        <x:v>D20260806</x:v>
      </x:c>
      <x:c r="B338" t="str">
        <x:v>P018</x:v>
      </x:c>
      <x:c r="C338" t="str">
        <x:v>Integrante de la Junta de Gobierno</x:v>
      </x:c>
      <x:c r="D338" t="str">
        <x:v>Presente</x:v>
      </x:c>
      <x:c r="E338" t="str">
        <x:v>Comunicado oficial: https://www.banxico.org.mx/publicaciones-y-prensa/anuncios-de-las-decisiones-de-politica-monetaria/{8DA3F519-341F-480E-1D4E-1AEE71DD08DA}.pdf. El comunicado declara presencia de todos los miembros y decisión unánime.</x:v>
      </x:c>
    </x:row>
    <x:row r="339">
      <x:c r="A339" t="str">
        <x:v>D20260806</x:v>
      </x:c>
      <x:c r="B339" t="str">
        <x:v>P019</x:v>
      </x:c>
      <x:c r="C339" t="str">
        <x:v>Integrante de la Junta de Gobierno</x:v>
      </x:c>
      <x:c r="D339" t="str">
        <x:v>Presente</x:v>
      </x:c>
      <x:c r="E339" t="str">
        <x:v>Comunicado oficial: https://www.banxico.org.mx/publicaciones-y-prensa/anuncios-de-las-decisiones-de-politica-monetaria/{8DA3F519-341F-480E-1D4E-1AEE71DD08DA}.pdf. El comunicado declara presencia de todos los miembros y decisión unánime.</x:v>
      </x:c>
    </x:row>
    <x:row r="340">
      <x:c r="A340" t="str">
        <x:v>D20260806</x:v>
      </x:c>
      <x:c r="B340" t="str">
        <x:v>P020</x:v>
      </x:c>
      <x:c r="C340" t="str">
        <x:v>Integrante de la Junta de Gobierno</x:v>
      </x:c>
      <x:c r="D340" t="str">
        <x:v>Presente</x:v>
      </x:c>
      <x:c r="E340" t="str">
        <x:v>Comunicado oficial: https://www.banxico.org.mx/publicaciones-y-prensa/anuncios-de-las-decisiones-de-politica-monetaria/{8DA3F519-341F-480E-1D4E-1AEE71DD08DA}.pdf. El comunicado declara presencia de todos los miembros y decisión unánime.</x:v>
      </x:c>
    </x:row>
    <x:row r="341">
      <x:c r="A341" t="str">
        <x:v>D20260806</x:v>
      </x:c>
      <x:c r="B341" t="str">
        <x:v>P021</x:v>
      </x:c>
      <x:c r="C341" t="str">
        <x:v>Integrante de la Junta de Gobierno</x:v>
      </x:c>
      <x:c r="D341" t="str">
        <x:v>Presente</x:v>
      </x:c>
      <x:c r="E341" t="str">
        <x:v>Comunicado oficial: https://www.banxico.org.mx/publicaciones-y-prensa/anuncios-de-las-decisiones-de-politica-monetaria/{8DA3F519-341F-480E-1D4E-1AEE71DD08DA}.pdf. El comunicado declara presencia de todos los miembros y decisión unánime.</x:v>
      </x:c>
    </x:row>
  </x:sheetData>
  <x:pageMargins left="0.7" right="0.7" top="0.75" bottom="0.75" header="0.3" footer="0.3"/>
  <x:tableParts count="1">
    <x:tablePart xmlns:r="http://schemas.openxmlformats.org/officeDocument/2006/relationships" r:id="R6fcf602c5e144a0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5" customWidth="1"/>
    <x:col min="2" max="2" width="13" customWidth="1"/>
    <x:col min="3" max="3" width="16" customWidth="1"/>
    <x:col min="4" max="4" width="25" customWidth="1"/>
    <x:col min="5" max="5" width="22" customWidth="1"/>
    <x:col min="6" max="6" width="76" customWidth="1"/>
  </x:cols>
  <x:sheetData>
    <x:row r="1" ht="31.950000762939453" customHeight="1">
      <x:c r="A1" s="58" t="s">
        <x:v>0</x:v>
      </x:c>
      <x:c r="B1" s="58" t="s">
        <x:v>623</x:v>
      </x:c>
      <x:c r="C1" s="58" t="s">
        <x:v>708</x:v>
      </x:c>
      <x:c r="D1" s="58" t="s">
        <x:v>709</x:v>
      </x:c>
      <x:c r="E1" s="58" t="s">
        <x:v>710</x:v>
      </x:c>
      <x:c r="F1" s="58" t="s">
        <x:v>13</x:v>
      </x:c>
    </x:row>
    <x:row r="2" ht="14.399999618530273">
      <x:c r="A2" s="54" t="s">
        <x:v>307</x:v>
      </x:c>
      <x:c r="B2" s="54"/>
      <x:c r="C2" s="54" t="s">
        <x:v>17</x:v>
      </x:c>
      <x:c r="D2" s="54" t="s">
        <x:v>711</x:v>
      </x:c>
      <x:c r="E2" s="54" t="s">
        <x:v>712</x:v>
      </x:c>
      <x:c r="F2" s="56" t="s">
        <x:v>713</x:v>
      </x:c>
    </x:row>
    <x:row r="3" ht="41.400001525878906">
      <x:c r="A3" s="2" t="s">
        <x:v>422</x:v>
      </x:c>
      <x:c r="B3" s="2" t="s">
        <x:v>626</x:v>
      </x:c>
      <x:c r="C3" s="2" t="s">
        <x:v>714</x:v>
      </x:c>
      <x:c r="D3" s="2" t="s">
        <x:v>715</x:v>
      </x:c>
      <x:c r="E3" s="2" t="s">
        <x:v>716</x:v>
      </x:c>
      <x:c r="F3" s="10" t="s">
        <x:v>717</x:v>
      </x:c>
    </x:row>
    <x:row r="4" ht="41.400001525878906">
      <x:c r="A4" s="2" t="s">
        <x:v>422</x:v>
      </x:c>
      <x:c r="B4" s="2" t="s">
        <x:v>630</x:v>
      </x:c>
      <x:c r="C4" s="2" t="s">
        <x:v>714</x:v>
      </x:c>
      <x:c r="D4" s="2" t="s">
        <x:v>715</x:v>
      </x:c>
      <x:c r="E4" s="2" t="s">
        <x:v>716</x:v>
      </x:c>
      <x:c r="F4" s="10" t="s">
        <x:v>717</x:v>
      </x:c>
    </x:row>
    <x:row r="5" ht="41.400001525878906">
      <x:c r="A5" s="2" t="s">
        <x:v>422</x:v>
      </x:c>
      <x:c r="B5" s="2" t="s">
        <x:v>631</x:v>
      </x:c>
      <x:c r="C5" s="2" t="s">
        <x:v>714</x:v>
      </x:c>
      <x:c r="D5" s="2" t="s">
        <x:v>715</x:v>
      </x:c>
      <x:c r="E5" s="2" t="s">
        <x:v>716</x:v>
      </x:c>
      <x:c r="F5" s="10" t="s">
        <x:v>717</x:v>
      </x:c>
    </x:row>
    <x:row r="6" ht="41.400001525878906">
      <x:c r="A6" s="2" t="s">
        <x:v>422</x:v>
      </x:c>
      <x:c r="B6" s="2" t="s">
        <x:v>632</x:v>
      </x:c>
      <x:c r="C6" s="2" t="s">
        <x:v>714</x:v>
      </x:c>
      <x:c r="D6" s="2" t="s">
        <x:v>715</x:v>
      </x:c>
      <x:c r="E6" s="2" t="s">
        <x:v>716</x:v>
      </x:c>
      <x:c r="F6" s="10" t="s">
        <x:v>717</x:v>
      </x:c>
    </x:row>
    <x:row r="7" ht="41.400001525878906">
      <x:c r="A7" s="2" t="s">
        <x:v>422</x:v>
      </x:c>
      <x:c r="B7" s="2" t="s">
        <x:v>633</x:v>
      </x:c>
      <x:c r="C7" s="2" t="s">
        <x:v>714</x:v>
      </x:c>
      <x:c r="D7" s="2" t="s">
        <x:v>715</x:v>
      </x:c>
      <x:c r="E7" s="2" t="s">
        <x:v>716</x:v>
      </x:c>
      <x:c r="F7" s="10" t="s">
        <x:v>717</x:v>
      </x:c>
    </x:row>
    <x:row r="8" ht="41.400001525878906">
      <x:c r="A8" s="2" t="s">
        <x:v>425</x:v>
      </x:c>
      <x:c r="B8" s="2" t="s">
        <x:v>626</x:v>
      </x:c>
      <x:c r="C8" s="2" t="s">
        <x:v>718</x:v>
      </x:c>
      <x:c r="D8" s="2" t="s">
        <x:v>715</x:v>
      </x:c>
      <x:c r="E8" s="2" t="s">
        <x:v>716</x:v>
      </x:c>
      <x:c r="F8" s="10" t="s">
        <x:v>719</x:v>
      </x:c>
    </x:row>
    <x:row r="9" ht="41.400001525878906">
      <x:c r="A9" s="2" t="s">
        <x:v>425</x:v>
      </x:c>
      <x:c r="B9" s="2" t="s">
        <x:v>630</x:v>
      </x:c>
      <x:c r="C9" s="2" t="s">
        <x:v>718</x:v>
      </x:c>
      <x:c r="D9" s="2" t="s">
        <x:v>715</x:v>
      </x:c>
      <x:c r="E9" s="2" t="s">
        <x:v>716</x:v>
      </x:c>
      <x:c r="F9" s="10" t="s">
        <x:v>719</x:v>
      </x:c>
    </x:row>
    <x:row r="10" ht="41.400001525878906">
      <x:c r="A10" s="2" t="s">
        <x:v>425</x:v>
      </x:c>
      <x:c r="B10" s="2" t="s">
        <x:v>631</x:v>
      </x:c>
      <x:c r="C10" s="2" t="s">
        <x:v>718</x:v>
      </x:c>
      <x:c r="D10" s="2" t="s">
        <x:v>715</x:v>
      </x:c>
      <x:c r="E10" s="2" t="s">
        <x:v>716</x:v>
      </x:c>
      <x:c r="F10" s="10" t="s">
        <x:v>719</x:v>
      </x:c>
    </x:row>
    <x:row r="11" ht="41.400001525878906">
      <x:c r="A11" s="2" t="s">
        <x:v>425</x:v>
      </x:c>
      <x:c r="B11" s="2" t="s">
        <x:v>632</x:v>
      </x:c>
      <x:c r="C11" s="2" t="s">
        <x:v>718</x:v>
      </x:c>
      <x:c r="D11" s="2" t="s">
        <x:v>715</x:v>
      </x:c>
      <x:c r="E11" s="2" t="s">
        <x:v>716</x:v>
      </x:c>
      <x:c r="F11" s="10" t="s">
        <x:v>719</x:v>
      </x:c>
    </x:row>
    <x:row r="12" ht="41.400001525878906">
      <x:c r="A12" s="2" t="s">
        <x:v>425</x:v>
      </x:c>
      <x:c r="B12" s="2" t="s">
        <x:v>633</x:v>
      </x:c>
      <x:c r="C12" s="2" t="s">
        <x:v>718</x:v>
      </x:c>
      <x:c r="D12" s="2" t="s">
        <x:v>715</x:v>
      </x:c>
      <x:c r="E12" s="2" t="s">
        <x:v>716</x:v>
      </x:c>
      <x:c r="F12" s="10" t="s">
        <x:v>719</x:v>
      </x:c>
    </x:row>
    <x:row r="13" ht="41.400001525878906">
      <x:c r="A13" s="2" t="s">
        <x:v>428</x:v>
      </x:c>
      <x:c r="B13" s="2" t="s">
        <x:v>626</x:v>
      </x:c>
      <x:c r="C13" s="2" t="s">
        <x:v>714</x:v>
      </x:c>
      <x:c r="D13" s="2" t="s">
        <x:v>715</x:v>
      </x:c>
      <x:c r="E13" s="2" t="s">
        <x:v>716</x:v>
      </x:c>
      <x:c r="F13" s="10" t="s">
        <x:v>720</x:v>
      </x:c>
    </x:row>
    <x:row r="14" ht="41.400001525878906">
      <x:c r="A14" s="2" t="s">
        <x:v>428</x:v>
      </x:c>
      <x:c r="B14" s="2" t="s">
        <x:v>630</x:v>
      </x:c>
      <x:c r="C14" s="2" t="s">
        <x:v>714</x:v>
      </x:c>
      <x:c r="D14" s="2" t="s">
        <x:v>715</x:v>
      </x:c>
      <x:c r="E14" s="2" t="s">
        <x:v>716</x:v>
      </x:c>
      <x:c r="F14" s="10" t="s">
        <x:v>720</x:v>
      </x:c>
    </x:row>
    <x:row r="15" ht="41.400001525878906">
      <x:c r="A15" s="2" t="s">
        <x:v>428</x:v>
      </x:c>
      <x:c r="B15" s="2" t="s">
        <x:v>631</x:v>
      </x:c>
      <x:c r="C15" s="2" t="s">
        <x:v>714</x:v>
      </x:c>
      <x:c r="D15" s="2" t="s">
        <x:v>715</x:v>
      </x:c>
      <x:c r="E15" s="2" t="s">
        <x:v>716</x:v>
      </x:c>
      <x:c r="F15" s="10" t="s">
        <x:v>720</x:v>
      </x:c>
    </x:row>
    <x:row r="16" ht="41.400001525878906">
      <x:c r="A16" s="2" t="s">
        <x:v>428</x:v>
      </x:c>
      <x:c r="B16" s="2" t="s">
        <x:v>632</x:v>
      </x:c>
      <x:c r="C16" s="2" t="s">
        <x:v>714</x:v>
      </x:c>
      <x:c r="D16" s="2" t="s">
        <x:v>715</x:v>
      </x:c>
      <x:c r="E16" s="2" t="s">
        <x:v>716</x:v>
      </x:c>
      <x:c r="F16" s="10" t="s">
        <x:v>720</x:v>
      </x:c>
    </x:row>
    <x:row r="17" ht="41.400001525878906">
      <x:c r="A17" s="2" t="s">
        <x:v>428</x:v>
      </x:c>
      <x:c r="B17" s="2" t="s">
        <x:v>633</x:v>
      </x:c>
      <x:c r="C17" s="2" t="s">
        <x:v>714</x:v>
      </x:c>
      <x:c r="D17" s="2" t="s">
        <x:v>715</x:v>
      </x:c>
      <x:c r="E17" s="2" t="s">
        <x:v>716</x:v>
      </x:c>
      <x:c r="F17" s="10" t="s">
        <x:v>720</x:v>
      </x:c>
    </x:row>
    <x:row r="18" ht="41.400001525878906">
      <x:c r="A18" s="2" t="s">
        <x:v>431</x:v>
      </x:c>
      <x:c r="B18" s="2" t="s">
        <x:v>626</x:v>
      </x:c>
      <x:c r="C18" s="2" t="s">
        <x:v>714</x:v>
      </x:c>
      <x:c r="D18" s="2" t="s">
        <x:v>715</x:v>
      </x:c>
      <x:c r="E18" s="2" t="s">
        <x:v>716</x:v>
      </x:c>
      <x:c r="F18" s="10" t="s">
        <x:v>721</x:v>
      </x:c>
    </x:row>
    <x:row r="19" ht="41.400001525878906">
      <x:c r="A19" s="2" t="s">
        <x:v>431</x:v>
      </x:c>
      <x:c r="B19" s="2" t="s">
        <x:v>630</x:v>
      </x:c>
      <x:c r="C19" s="2" t="s">
        <x:v>718</x:v>
      </x:c>
      <x:c r="D19" s="2" t="s">
        <x:v>722</x:v>
      </x:c>
      <x:c r="E19" s="2" t="s">
        <x:v>716</x:v>
      </x:c>
      <x:c r="F19" s="10" t="s">
        <x:v>721</x:v>
      </x:c>
    </x:row>
    <x:row r="20" ht="41.400001525878906">
      <x:c r="A20" s="2" t="s">
        <x:v>431</x:v>
      </x:c>
      <x:c r="B20" s="2" t="s">
        <x:v>631</x:v>
      </x:c>
      <x:c r="C20" s="2" t="s">
        <x:v>714</x:v>
      </x:c>
      <x:c r="D20" s="2" t="s">
        <x:v>715</x:v>
      </x:c>
      <x:c r="E20" s="2" t="s">
        <x:v>716</x:v>
      </x:c>
      <x:c r="F20" s="10" t="s">
        <x:v>721</x:v>
      </x:c>
    </x:row>
    <x:row r="21" ht="41.400001525878906">
      <x:c r="A21" s="2" t="s">
        <x:v>431</x:v>
      </x:c>
      <x:c r="B21" s="2" t="s">
        <x:v>632</x:v>
      </x:c>
      <x:c r="C21" s="2" t="s">
        <x:v>714</x:v>
      </x:c>
      <x:c r="D21" s="2" t="s">
        <x:v>715</x:v>
      </x:c>
      <x:c r="E21" s="2" t="s">
        <x:v>716</x:v>
      </x:c>
      <x:c r="F21" s="10" t="s">
        <x:v>721</x:v>
      </x:c>
    </x:row>
    <x:row r="22" ht="41.400001525878906">
      <x:c r="A22" s="2" t="s">
        <x:v>431</x:v>
      </x:c>
      <x:c r="B22" s="2" t="s">
        <x:v>633</x:v>
      </x:c>
      <x:c r="C22" s="2" t="s">
        <x:v>714</x:v>
      </x:c>
      <x:c r="D22" s="2" t="s">
        <x:v>715</x:v>
      </x:c>
      <x:c r="E22" s="2" t="s">
        <x:v>716</x:v>
      </x:c>
      <x:c r="F22" s="10" t="s">
        <x:v>721</x:v>
      </x:c>
    </x:row>
    <x:row r="23" ht="41.400001525878906">
      <x:c r="A23" s="2" t="s">
        <x:v>434</x:v>
      </x:c>
      <x:c r="B23" s="2" t="s">
        <x:v>626</x:v>
      </x:c>
      <x:c r="C23" s="2" t="s">
        <x:v>718</x:v>
      </x:c>
      <x:c r="D23" s="2" t="s">
        <x:v>715</x:v>
      </x:c>
      <x:c r="E23" s="2" t="s">
        <x:v>716</x:v>
      </x:c>
      <x:c r="F23" s="10" t="s">
        <x:v>723</x:v>
      </x:c>
    </x:row>
    <x:row r="24" ht="41.400001525878906">
      <x:c r="A24" s="2" t="s">
        <x:v>434</x:v>
      </x:c>
      <x:c r="B24" s="2" t="s">
        <x:v>630</x:v>
      </x:c>
      <x:c r="C24" s="2" t="s">
        <x:v>718</x:v>
      </x:c>
      <x:c r="D24" s="2" t="s">
        <x:v>715</x:v>
      </x:c>
      <x:c r="E24" s="2" t="s">
        <x:v>716</x:v>
      </x:c>
      <x:c r="F24" s="10" t="s">
        <x:v>723</x:v>
      </x:c>
    </x:row>
    <x:row r="25" ht="41.400001525878906">
      <x:c r="A25" s="2" t="s">
        <x:v>434</x:v>
      </x:c>
      <x:c r="B25" s="2" t="s">
        <x:v>631</x:v>
      </x:c>
      <x:c r="C25" s="2" t="s">
        <x:v>718</x:v>
      </x:c>
      <x:c r="D25" s="2" t="s">
        <x:v>715</x:v>
      </x:c>
      <x:c r="E25" s="2" t="s">
        <x:v>716</x:v>
      </x:c>
      <x:c r="F25" s="10" t="s">
        <x:v>723</x:v>
      </x:c>
    </x:row>
    <x:row r="26" ht="41.400001525878906">
      <x:c r="A26" s="2" t="s">
        <x:v>434</x:v>
      </x:c>
      <x:c r="B26" s="2" t="s">
        <x:v>632</x:v>
      </x:c>
      <x:c r="C26" s="2" t="s">
        <x:v>718</x:v>
      </x:c>
      <x:c r="D26" s="2" t="s">
        <x:v>715</x:v>
      </x:c>
      <x:c r="E26" s="2" t="s">
        <x:v>716</x:v>
      </x:c>
      <x:c r="F26" s="10" t="s">
        <x:v>723</x:v>
      </x:c>
    </x:row>
    <x:row r="27" ht="41.400001525878906">
      <x:c r="A27" s="2" t="s">
        <x:v>434</x:v>
      </x:c>
      <x:c r="B27" s="2" t="s">
        <x:v>633</x:v>
      </x:c>
      <x:c r="C27" s="2" t="s">
        <x:v>718</x:v>
      </x:c>
      <x:c r="D27" s="2" t="s">
        <x:v>722</x:v>
      </x:c>
      <x:c r="E27" s="2" t="s">
        <x:v>716</x:v>
      </x:c>
      <x:c r="F27" s="10" t="s">
        <x:v>723</x:v>
      </x:c>
    </x:row>
    <x:row r="28" ht="41.400001525878906">
      <x:c r="A28" s="2" t="s">
        <x:v>437</x:v>
      </x:c>
      <x:c r="B28" s="2" t="s">
        <x:v>630</x:v>
      </x:c>
      <x:c r="C28" s="2" t="s">
        <x:v>718</x:v>
      </x:c>
      <x:c r="D28" s="2" t="s">
        <x:v>715</x:v>
      </x:c>
      <x:c r="E28" s="2" t="s">
        <x:v>716</x:v>
      </x:c>
      <x:c r="F28" s="10" t="s">
        <x:v>724</x:v>
      </x:c>
    </x:row>
    <x:row r="29" ht="41.400001525878906">
      <x:c r="A29" s="2" t="s">
        <x:v>437</x:v>
      </x:c>
      <x:c r="B29" s="2" t="s">
        <x:v>631</x:v>
      </x:c>
      <x:c r="C29" s="2" t="s">
        <x:v>718</x:v>
      </x:c>
      <x:c r="D29" s="2" t="s">
        <x:v>715</x:v>
      </x:c>
      <x:c r="E29" s="2" t="s">
        <x:v>716</x:v>
      </x:c>
      <x:c r="F29" s="10" t="s">
        <x:v>724</x:v>
      </x:c>
    </x:row>
    <x:row r="30" ht="41.400001525878906">
      <x:c r="A30" s="2" t="s">
        <x:v>437</x:v>
      </x:c>
      <x:c r="B30" s="2" t="s">
        <x:v>632</x:v>
      </x:c>
      <x:c r="C30" s="2" t="s">
        <x:v>718</x:v>
      </x:c>
      <x:c r="D30" s="2" t="s">
        <x:v>715</x:v>
      </x:c>
      <x:c r="E30" s="2" t="s">
        <x:v>716</x:v>
      </x:c>
      <x:c r="F30" s="10" t="s">
        <x:v>724</x:v>
      </x:c>
    </x:row>
    <x:row r="31" ht="41.400001525878906">
      <x:c r="A31" s="2" t="s">
        <x:v>437</x:v>
      </x:c>
      <x:c r="B31" s="2" t="s">
        <x:v>633</x:v>
      </x:c>
      <x:c r="C31" s="2" t="s">
        <x:v>718</x:v>
      </x:c>
      <x:c r="D31" s="2" t="s">
        <x:v>715</x:v>
      </x:c>
      <x:c r="E31" s="2" t="s">
        <x:v>716</x:v>
      </x:c>
      <x:c r="F31" s="10" t="s">
        <x:v>724</x:v>
      </x:c>
    </x:row>
    <x:row r="32" ht="41.400001525878906">
      <x:c r="A32" s="2" t="s">
        <x:v>440</x:v>
      </x:c>
      <x:c r="B32" s="2" t="s">
        <x:v>631</x:v>
      </x:c>
      <x:c r="C32" s="2" t="s">
        <x:v>714</x:v>
      </x:c>
      <x:c r="D32" s="2" t="s">
        <x:v>715</x:v>
      </x:c>
      <x:c r="E32" s="2" t="s">
        <x:v>716</x:v>
      </x:c>
      <x:c r="F32" s="10" t="s">
        <x:v>725</x:v>
      </x:c>
    </x:row>
    <x:row r="33" ht="41.400001525878906">
      <x:c r="A33" s="2" t="s">
        <x:v>440</x:v>
      </x:c>
      <x:c r="B33" s="2" t="s">
        <x:v>632</x:v>
      </x:c>
      <x:c r="C33" s="2" t="s">
        <x:v>714</x:v>
      </x:c>
      <x:c r="D33" s="2" t="s">
        <x:v>715</x:v>
      </x:c>
      <x:c r="E33" s="2" t="s">
        <x:v>716</x:v>
      </x:c>
      <x:c r="F33" s="10" t="s">
        <x:v>725</x:v>
      </x:c>
    </x:row>
    <x:row r="34" ht="41.400001525878906">
      <x:c r="A34" s="2" t="s">
        <x:v>440</x:v>
      </x:c>
      <x:c r="B34" s="2" t="s">
        <x:v>633</x:v>
      </x:c>
      <x:c r="C34" s="2" t="s">
        <x:v>714</x:v>
      </x:c>
      <x:c r="D34" s="2" t="s">
        <x:v>715</x:v>
      </x:c>
      <x:c r="E34" s="2" t="s">
        <x:v>716</x:v>
      </x:c>
      <x:c r="F34" s="10" t="s">
        <x:v>725</x:v>
      </x:c>
    </x:row>
    <x:row r="35" ht="41.400001525878906">
      <x:c r="A35" s="2" t="s">
        <x:v>440</x:v>
      </x:c>
      <x:c r="B35" s="2" t="s">
        <x:v>642</x:v>
      </x:c>
      <x:c r="C35" s="2" t="s">
        <x:v>714</x:v>
      </x:c>
      <x:c r="D35" s="2" t="s">
        <x:v>715</x:v>
      </x:c>
      <x:c r="E35" s="2" t="s">
        <x:v>716</x:v>
      </x:c>
      <x:c r="F35" s="10" t="s">
        <x:v>725</x:v>
      </x:c>
    </x:row>
    <x:row r="36" ht="41.400001525878906">
      <x:c r="A36" s="2" t="s">
        <x:v>440</x:v>
      </x:c>
      <x:c r="B36" s="2" t="s">
        <x:v>643</x:v>
      </x:c>
      <x:c r="C36" s="2" t="s">
        <x:v>714</x:v>
      </x:c>
      <x:c r="D36" s="2" t="s">
        <x:v>715</x:v>
      </x:c>
      <x:c r="E36" s="2" t="s">
        <x:v>716</x:v>
      </x:c>
      <x:c r="F36" s="10" t="s">
        <x:v>725</x:v>
      </x:c>
    </x:row>
    <x:row r="37" ht="41.400001525878906">
      <x:c r="A37" s="2" t="s">
        <x:v>443</x:v>
      </x:c>
      <x:c r="B37" s="2" t="s">
        <x:v>631</x:v>
      </x:c>
      <x:c r="C37" s="2" t="s">
        <x:v>714</x:v>
      </x:c>
      <x:c r="D37" s="2" t="s">
        <x:v>715</x:v>
      </x:c>
      <x:c r="E37" s="2" t="s">
        <x:v>716</x:v>
      </x:c>
      <x:c r="F37" s="10" t="s">
        <x:v>726</x:v>
      </x:c>
    </x:row>
    <x:row r="38" ht="41.400001525878906">
      <x:c r="A38" s="2" t="s">
        <x:v>443</x:v>
      </x:c>
      <x:c r="B38" s="2" t="s">
        <x:v>632</x:v>
      </x:c>
      <x:c r="C38" s="2" t="s">
        <x:v>714</x:v>
      </x:c>
      <x:c r="D38" s="2" t="s">
        <x:v>715</x:v>
      </x:c>
      <x:c r="E38" s="2" t="s">
        <x:v>716</x:v>
      </x:c>
      <x:c r="F38" s="10" t="s">
        <x:v>726</x:v>
      </x:c>
    </x:row>
    <x:row r="39" ht="41.400001525878906">
      <x:c r="A39" s="2" t="s">
        <x:v>443</x:v>
      </x:c>
      <x:c r="B39" s="2" t="s">
        <x:v>633</x:v>
      </x:c>
      <x:c r="C39" s="2" t="s">
        <x:v>714</x:v>
      </x:c>
      <x:c r="D39" s="2" t="s">
        <x:v>715</x:v>
      </x:c>
      <x:c r="E39" s="2" t="s">
        <x:v>716</x:v>
      </x:c>
      <x:c r="F39" s="10" t="s">
        <x:v>726</x:v>
      </x:c>
    </x:row>
    <x:row r="40" ht="41.400001525878906">
      <x:c r="A40" s="2" t="s">
        <x:v>443</x:v>
      </x:c>
      <x:c r="B40" s="2" t="s">
        <x:v>642</x:v>
      </x:c>
      <x:c r="C40" s="2" t="s">
        <x:v>714</x:v>
      </x:c>
      <x:c r="D40" s="2" t="s">
        <x:v>715</x:v>
      </x:c>
      <x:c r="E40" s="2" t="s">
        <x:v>716</x:v>
      </x:c>
      <x:c r="F40" s="10" t="s">
        <x:v>726</x:v>
      </x:c>
    </x:row>
    <x:row r="41" ht="41.400001525878906">
      <x:c r="A41" s="2" t="s">
        <x:v>443</x:v>
      </x:c>
      <x:c r="B41" s="2" t="s">
        <x:v>643</x:v>
      </x:c>
      <x:c r="C41" s="2" t="s">
        <x:v>714</x:v>
      </x:c>
      <x:c r="D41" s="2" t="s">
        <x:v>715</x:v>
      </x:c>
      <x:c r="E41" s="2" t="s">
        <x:v>716</x:v>
      </x:c>
      <x:c r="F41" s="10" t="s">
        <x:v>726</x:v>
      </x:c>
    </x:row>
    <x:row r="42" ht="41.400001525878906">
      <x:c r="A42" s="2" t="s">
        <x:v>446</x:v>
      </x:c>
      <x:c r="B42" s="2" t="s">
        <x:v>631</x:v>
      </x:c>
      <x:c r="C42" s="2" t="s">
        <x:v>714</x:v>
      </x:c>
      <x:c r="D42" s="2" t="s">
        <x:v>715</x:v>
      </x:c>
      <x:c r="E42" s="2" t="s">
        <x:v>716</x:v>
      </x:c>
      <x:c r="F42" s="10" t="s">
        <x:v>727</x:v>
      </x:c>
    </x:row>
    <x:row r="43" ht="41.400001525878906">
      <x:c r="A43" s="2" t="s">
        <x:v>446</x:v>
      </x:c>
      <x:c r="B43" s="2" t="s">
        <x:v>632</x:v>
      </x:c>
      <x:c r="C43" s="2" t="s">
        <x:v>714</x:v>
      </x:c>
      <x:c r="D43" s="2" t="s">
        <x:v>715</x:v>
      </x:c>
      <x:c r="E43" s="2" t="s">
        <x:v>716</x:v>
      </x:c>
      <x:c r="F43" s="10" t="s">
        <x:v>727</x:v>
      </x:c>
    </x:row>
    <x:row r="44" ht="41.400001525878906">
      <x:c r="A44" s="2" t="s">
        <x:v>446</x:v>
      </x:c>
      <x:c r="B44" s="2" t="s">
        <x:v>633</x:v>
      </x:c>
      <x:c r="C44" s="2" t="s">
        <x:v>714</x:v>
      </x:c>
      <x:c r="D44" s="2" t="s">
        <x:v>715</x:v>
      </x:c>
      <x:c r="E44" s="2" t="s">
        <x:v>716</x:v>
      </x:c>
      <x:c r="F44" s="10" t="s">
        <x:v>727</x:v>
      </x:c>
    </x:row>
    <x:row r="45" ht="41.400001525878906">
      <x:c r="A45" s="2" t="s">
        <x:v>446</x:v>
      </x:c>
      <x:c r="B45" s="2" t="s">
        <x:v>642</x:v>
      </x:c>
      <x:c r="C45" s="2" t="s">
        <x:v>714</x:v>
      </x:c>
      <x:c r="D45" s="2" t="s">
        <x:v>715</x:v>
      </x:c>
      <x:c r="E45" s="2" t="s">
        <x:v>716</x:v>
      </x:c>
      <x:c r="F45" s="10" t="s">
        <x:v>727</x:v>
      </x:c>
    </x:row>
    <x:row r="46" ht="41.400001525878906">
      <x:c r="A46" s="2" t="s">
        <x:v>446</x:v>
      </x:c>
      <x:c r="B46" s="2" t="s">
        <x:v>643</x:v>
      </x:c>
      <x:c r="C46" s="2" t="s">
        <x:v>714</x:v>
      </x:c>
      <x:c r="D46" s="2" t="s">
        <x:v>715</x:v>
      </x:c>
      <x:c r="E46" s="2" t="s">
        <x:v>716</x:v>
      </x:c>
      <x:c r="F46" s="10" t="s">
        <x:v>727</x:v>
      </x:c>
    </x:row>
    <x:row r="47" ht="41.400001525878906">
      <x:c r="A47" s="2" t="s">
        <x:v>449</x:v>
      </x:c>
      <x:c r="B47" s="2" t="s">
        <x:v>631</x:v>
      </x:c>
      <x:c r="C47" s="2" t="s">
        <x:v>714</x:v>
      </x:c>
      <x:c r="D47" s="2" t="s">
        <x:v>715</x:v>
      </x:c>
      <x:c r="E47" s="2" t="s">
        <x:v>716</x:v>
      </x:c>
      <x:c r="F47" s="10" t="s">
        <x:v>728</x:v>
      </x:c>
    </x:row>
    <x:row r="48" ht="41.400001525878906">
      <x:c r="A48" s="2" t="s">
        <x:v>449</x:v>
      </x:c>
      <x:c r="B48" s="2" t="s">
        <x:v>632</x:v>
      </x:c>
      <x:c r="C48" s="2" t="s">
        <x:v>714</x:v>
      </x:c>
      <x:c r="D48" s="2" t="s">
        <x:v>715</x:v>
      </x:c>
      <x:c r="E48" s="2" t="s">
        <x:v>716</x:v>
      </x:c>
      <x:c r="F48" s="10" t="s">
        <x:v>728</x:v>
      </x:c>
    </x:row>
    <x:row r="49" ht="41.400001525878906">
      <x:c r="A49" s="2" t="s">
        <x:v>449</x:v>
      </x:c>
      <x:c r="B49" s="2" t="s">
        <x:v>633</x:v>
      </x:c>
      <x:c r="C49" s="2" t="s">
        <x:v>714</x:v>
      </x:c>
      <x:c r="D49" s="2" t="s">
        <x:v>715</x:v>
      </x:c>
      <x:c r="E49" s="2" t="s">
        <x:v>716</x:v>
      </x:c>
      <x:c r="F49" s="10" t="s">
        <x:v>728</x:v>
      </x:c>
    </x:row>
    <x:row r="50" ht="41.400001525878906">
      <x:c r="A50" s="2" t="s">
        <x:v>449</x:v>
      </x:c>
      <x:c r="B50" s="2" t="s">
        <x:v>642</x:v>
      </x:c>
      <x:c r="C50" s="2" t="s">
        <x:v>729</x:v>
      </x:c>
      <x:c r="D50" s="2" t="s">
        <x:v>730</x:v>
      </x:c>
      <x:c r="E50" s="2" t="s">
        <x:v>716</x:v>
      </x:c>
      <x:c r="F50" s="10" t="s">
        <x:v>728</x:v>
      </x:c>
    </x:row>
    <x:row r="51" ht="41.400001525878906">
      <x:c r="A51" s="2" t="s">
        <x:v>449</x:v>
      </x:c>
      <x:c r="B51" s="2" t="s">
        <x:v>643</x:v>
      </x:c>
      <x:c r="C51" s="2" t="s">
        <x:v>714</x:v>
      </x:c>
      <x:c r="D51" s="2" t="s">
        <x:v>715</x:v>
      </x:c>
      <x:c r="E51" s="2" t="s">
        <x:v>716</x:v>
      </x:c>
      <x:c r="F51" s="10" t="s">
        <x:v>728</x:v>
      </x:c>
    </x:row>
    <x:row r="52" ht="41.400001525878906">
      <x:c r="A52" s="2" t="s">
        <x:v>452</x:v>
      </x:c>
      <x:c r="B52" s="2" t="s">
        <x:v>631</x:v>
      </x:c>
      <x:c r="C52" s="2" t="s">
        <x:v>714</x:v>
      </x:c>
      <x:c r="D52" s="2" t="s">
        <x:v>722</x:v>
      </x:c>
      <x:c r="E52" s="2" t="s">
        <x:v>716</x:v>
      </x:c>
      <x:c r="F52" s="10" t="s">
        <x:v>731</x:v>
      </x:c>
    </x:row>
    <x:row r="53" ht="41.400001525878906">
      <x:c r="A53" s="2" t="s">
        <x:v>452</x:v>
      </x:c>
      <x:c r="B53" s="2" t="s">
        <x:v>632</x:v>
      </x:c>
      <x:c r="C53" s="2" t="s">
        <x:v>729</x:v>
      </x:c>
      <x:c r="D53" s="2" t="s">
        <x:v>715</x:v>
      </x:c>
      <x:c r="E53" s="2" t="s">
        <x:v>716</x:v>
      </x:c>
      <x:c r="F53" s="10" t="s">
        <x:v>731</x:v>
      </x:c>
    </x:row>
    <x:row r="54" ht="41.400001525878906">
      <x:c r="A54" s="2" t="s">
        <x:v>452</x:v>
      </x:c>
      <x:c r="B54" s="2" t="s">
        <x:v>633</x:v>
      </x:c>
      <x:c r="C54" s="2" t="s">
        <x:v>729</x:v>
      </x:c>
      <x:c r="D54" s="2" t="s">
        <x:v>715</x:v>
      </x:c>
      <x:c r="E54" s="2" t="s">
        <x:v>716</x:v>
      </x:c>
      <x:c r="F54" s="10" t="s">
        <x:v>731</x:v>
      </x:c>
    </x:row>
    <x:row r="55" ht="41.400001525878906">
      <x:c r="A55" s="2" t="s">
        <x:v>452</x:v>
      </x:c>
      <x:c r="B55" s="2" t="s">
        <x:v>642</x:v>
      </x:c>
      <x:c r="C55" s="2" t="s">
        <x:v>729</x:v>
      </x:c>
      <x:c r="D55" s="2" t="s">
        <x:v>715</x:v>
      </x:c>
      <x:c r="E55" s="2" t="s">
        <x:v>716</x:v>
      </x:c>
      <x:c r="F55" s="10" t="s">
        <x:v>731</x:v>
      </x:c>
    </x:row>
    <x:row r="56" ht="41.400001525878906">
      <x:c r="A56" s="2" t="s">
        <x:v>452</x:v>
      </x:c>
      <x:c r="B56" s="2" t="s">
        <x:v>643</x:v>
      </x:c>
      <x:c r="C56" s="2" t="s">
        <x:v>729</x:v>
      </x:c>
      <x:c r="D56" s="2" t="s">
        <x:v>715</x:v>
      </x:c>
      <x:c r="E56" s="2" t="s">
        <x:v>716</x:v>
      </x:c>
      <x:c r="F56" s="10" t="s">
        <x:v>731</x:v>
      </x:c>
    </x:row>
    <x:row r="57" ht="41.400001525878906">
      <x:c r="A57" s="2" t="s">
        <x:v>455</x:v>
      </x:c>
      <x:c r="B57" s="2" t="s">
        <x:v>631</x:v>
      </x:c>
      <x:c r="C57" s="2" t="s">
        <x:v>729</x:v>
      </x:c>
      <x:c r="D57" s="2" t="s">
        <x:v>715</x:v>
      </x:c>
      <x:c r="E57" s="2" t="s">
        <x:v>716</x:v>
      </x:c>
      <x:c r="F57" s="10" t="s">
        <x:v>732</x:v>
      </x:c>
    </x:row>
    <x:row r="58" ht="41.400001525878906">
      <x:c r="A58" s="2" t="s">
        <x:v>455</x:v>
      </x:c>
      <x:c r="B58" s="2" t="s">
        <x:v>632</x:v>
      </x:c>
      <x:c r="C58" s="2" t="s">
        <x:v>729</x:v>
      </x:c>
      <x:c r="D58" s="2" t="s">
        <x:v>715</x:v>
      </x:c>
      <x:c r="E58" s="2" t="s">
        <x:v>716</x:v>
      </x:c>
      <x:c r="F58" s="10" t="s">
        <x:v>732</x:v>
      </x:c>
    </x:row>
    <x:row r="59" ht="41.400001525878906">
      <x:c r="A59" s="2" t="s">
        <x:v>455</x:v>
      </x:c>
      <x:c r="B59" s="2" t="s">
        <x:v>633</x:v>
      </x:c>
      <x:c r="C59" s="2" t="s">
        <x:v>729</x:v>
      </x:c>
      <x:c r="D59" s="2" t="s">
        <x:v>715</x:v>
      </x:c>
      <x:c r="E59" s="2" t="s">
        <x:v>716</x:v>
      </x:c>
      <x:c r="F59" s="10" t="s">
        <x:v>732</x:v>
      </x:c>
    </x:row>
    <x:row r="60" ht="41.400001525878906">
      <x:c r="A60" s="2" t="s">
        <x:v>455</x:v>
      </x:c>
      <x:c r="B60" s="2" t="s">
        <x:v>642</x:v>
      </x:c>
      <x:c r="C60" s="2" t="s">
        <x:v>729</x:v>
      </x:c>
      <x:c r="D60" s="2" t="s">
        <x:v>730</x:v>
      </x:c>
      <x:c r="E60" s="2" t="s">
        <x:v>716</x:v>
      </x:c>
      <x:c r="F60" s="10" t="s">
        <x:v>732</x:v>
      </x:c>
    </x:row>
    <x:row r="61" ht="41.400001525878906">
      <x:c r="A61" s="2" t="s">
        <x:v>455</x:v>
      </x:c>
      <x:c r="B61" s="2" t="s">
        <x:v>643</x:v>
      </x:c>
      <x:c r="C61" s="2" t="s">
        <x:v>729</x:v>
      </x:c>
      <x:c r="D61" s="2" t="s">
        <x:v>730</x:v>
      </x:c>
      <x:c r="E61" s="2" t="s">
        <x:v>716</x:v>
      </x:c>
      <x:c r="F61" s="10" t="s">
        <x:v>732</x:v>
      </x:c>
    </x:row>
    <x:row r="62" ht="41.400001525878906">
      <x:c r="A62" s="2" t="s">
        <x:v>458</x:v>
      </x:c>
      <x:c r="B62" s="2" t="s">
        <x:v>631</x:v>
      </x:c>
      <x:c r="C62" s="2" t="s">
        <x:v>729</x:v>
      </x:c>
      <x:c r="D62" s="2" t="s">
        <x:v>715</x:v>
      </x:c>
      <x:c r="E62" s="2" t="s">
        <x:v>716</x:v>
      </x:c>
      <x:c r="F62" s="10" t="s">
        <x:v>733</x:v>
      </x:c>
    </x:row>
    <x:row r="63" ht="41.400001525878906">
      <x:c r="A63" s="2" t="s">
        <x:v>458</x:v>
      </x:c>
      <x:c r="B63" s="2" t="s">
        <x:v>632</x:v>
      </x:c>
      <x:c r="C63" s="2" t="s">
        <x:v>729</x:v>
      </x:c>
      <x:c r="D63" s="2" t="s">
        <x:v>715</x:v>
      </x:c>
      <x:c r="E63" s="2" t="s">
        <x:v>716</x:v>
      </x:c>
      <x:c r="F63" s="10" t="s">
        <x:v>733</x:v>
      </x:c>
    </x:row>
    <x:row r="64" ht="41.400001525878906">
      <x:c r="A64" s="2" t="s">
        <x:v>458</x:v>
      </x:c>
      <x:c r="B64" s="2" t="s">
        <x:v>633</x:v>
      </x:c>
      <x:c r="C64" s="2" t="s">
        <x:v>729</x:v>
      </x:c>
      <x:c r="D64" s="2" t="s">
        <x:v>715</x:v>
      </x:c>
      <x:c r="E64" s="2" t="s">
        <x:v>716</x:v>
      </x:c>
      <x:c r="F64" s="10" t="s">
        <x:v>733</x:v>
      </x:c>
    </x:row>
    <x:row r="65" ht="41.400001525878906">
      <x:c r="A65" s="2" t="s">
        <x:v>458</x:v>
      </x:c>
      <x:c r="B65" s="2" t="s">
        <x:v>642</x:v>
      </x:c>
      <x:c r="C65" s="2" t="s">
        <x:v>729</x:v>
      </x:c>
      <x:c r="D65" s="2" t="s">
        <x:v>730</x:v>
      </x:c>
      <x:c r="E65" s="2" t="s">
        <x:v>716</x:v>
      </x:c>
      <x:c r="F65" s="10" t="s">
        <x:v>733</x:v>
      </x:c>
    </x:row>
    <x:row r="66" ht="41.400001525878906">
      <x:c r="A66" s="2" t="s">
        <x:v>458</x:v>
      </x:c>
      <x:c r="B66" s="2" t="s">
        <x:v>643</x:v>
      </x:c>
      <x:c r="C66" s="2" t="s">
        <x:v>729</x:v>
      </x:c>
      <x:c r="D66" s="2" t="s">
        <x:v>730</x:v>
      </x:c>
      <x:c r="E66" s="2" t="s">
        <x:v>716</x:v>
      </x:c>
      <x:c r="F66" s="10" t="s">
        <x:v>733</x:v>
      </x:c>
    </x:row>
    <x:row r="67" ht="41.400001525878906">
      <x:c r="A67" s="2" t="s">
        <x:v>461</x:v>
      </x:c>
      <x:c r="B67" s="2" t="s">
        <x:v>631</x:v>
      </x:c>
      <x:c r="C67" s="2" t="s">
        <x:v>729</x:v>
      </x:c>
      <x:c r="D67" s="2" t="s">
        <x:v>715</x:v>
      </x:c>
      <x:c r="E67" s="2" t="s">
        <x:v>716</x:v>
      </x:c>
      <x:c r="F67" s="10" t="s">
        <x:v>734</x:v>
      </x:c>
    </x:row>
    <x:row r="68" ht="41.400001525878906">
      <x:c r="A68" s="2" t="s">
        <x:v>461</x:v>
      </x:c>
      <x:c r="B68" s="2" t="s">
        <x:v>632</x:v>
      </x:c>
      <x:c r="C68" s="2" t="s">
        <x:v>729</x:v>
      </x:c>
      <x:c r="D68" s="2" t="s">
        <x:v>715</x:v>
      </x:c>
      <x:c r="E68" s="2" t="s">
        <x:v>716</x:v>
      </x:c>
      <x:c r="F68" s="10" t="s">
        <x:v>734</x:v>
      </x:c>
    </x:row>
    <x:row r="69" ht="41.400001525878906">
      <x:c r="A69" s="2" t="s">
        <x:v>461</x:v>
      </x:c>
      <x:c r="B69" s="2" t="s">
        <x:v>633</x:v>
      </x:c>
      <x:c r="C69" s="2" t="s">
        <x:v>729</x:v>
      </x:c>
      <x:c r="D69" s="2" t="s">
        <x:v>715</x:v>
      </x:c>
      <x:c r="E69" s="2" t="s">
        <x:v>716</x:v>
      </x:c>
      <x:c r="F69" s="10" t="s">
        <x:v>734</x:v>
      </x:c>
    </x:row>
    <x:row r="70" ht="41.400001525878906">
      <x:c r="A70" s="2" t="s">
        <x:v>461</x:v>
      </x:c>
      <x:c r="B70" s="2" t="s">
        <x:v>642</x:v>
      </x:c>
      <x:c r="C70" s="2" t="s">
        <x:v>729</x:v>
      </x:c>
      <x:c r="D70" s="2" t="s">
        <x:v>730</x:v>
      </x:c>
      <x:c r="E70" s="2" t="s">
        <x:v>716</x:v>
      </x:c>
      <x:c r="F70" s="10" t="s">
        <x:v>734</x:v>
      </x:c>
    </x:row>
    <x:row r="71" ht="41.400001525878906">
      <x:c r="A71" s="2" t="s">
        <x:v>461</x:v>
      </x:c>
      <x:c r="B71" s="2" t="s">
        <x:v>643</x:v>
      </x:c>
      <x:c r="C71" s="2" t="s">
        <x:v>729</x:v>
      </x:c>
      <x:c r="D71" s="2" t="s">
        <x:v>715</x:v>
      </x:c>
      <x:c r="E71" s="2" t="s">
        <x:v>716</x:v>
      </x:c>
      <x:c r="F71" s="10" t="s">
        <x:v>734</x:v>
      </x:c>
    </x:row>
    <x:row r="72" ht="41.400001525878906">
      <x:c r="A72" s="2" t="s">
        <x:v>464</x:v>
      </x:c>
      <x:c r="B72" s="2" t="s">
        <x:v>631</x:v>
      </x:c>
      <x:c r="C72" s="2" t="s">
        <x:v>729</x:v>
      </x:c>
      <x:c r="D72" s="2" t="s">
        <x:v>715</x:v>
      </x:c>
      <x:c r="E72" s="2" t="s">
        <x:v>716</x:v>
      </x:c>
      <x:c r="F72" s="10" t="s">
        <x:v>735</x:v>
      </x:c>
    </x:row>
    <x:row r="73" ht="41.400001525878906">
      <x:c r="A73" s="2" t="s">
        <x:v>464</x:v>
      </x:c>
      <x:c r="B73" s="2" t="s">
        <x:v>632</x:v>
      </x:c>
      <x:c r="C73" s="2" t="s">
        <x:v>729</x:v>
      </x:c>
      <x:c r="D73" s="2" t="s">
        <x:v>715</x:v>
      </x:c>
      <x:c r="E73" s="2" t="s">
        <x:v>716</x:v>
      </x:c>
      <x:c r="F73" s="10" t="s">
        <x:v>735</x:v>
      </x:c>
    </x:row>
    <x:row r="74" ht="41.400001525878906">
      <x:c r="A74" s="2" t="s">
        <x:v>464</x:v>
      </x:c>
      <x:c r="B74" s="2" t="s">
        <x:v>633</x:v>
      </x:c>
      <x:c r="C74" s="2" t="s">
        <x:v>729</x:v>
      </x:c>
      <x:c r="D74" s="2" t="s">
        <x:v>715</x:v>
      </x:c>
      <x:c r="E74" s="2" t="s">
        <x:v>716</x:v>
      </x:c>
      <x:c r="F74" s="10" t="s">
        <x:v>735</x:v>
      </x:c>
    </x:row>
    <x:row r="75" ht="41.400001525878906">
      <x:c r="A75" s="2" t="s">
        <x:v>464</x:v>
      </x:c>
      <x:c r="B75" s="2" t="s">
        <x:v>642</x:v>
      </x:c>
      <x:c r="C75" s="2" t="s">
        <x:v>729</x:v>
      </x:c>
      <x:c r="D75" s="2" t="s">
        <x:v>715</x:v>
      </x:c>
      <x:c r="E75" s="2" t="s">
        <x:v>716</x:v>
      </x:c>
      <x:c r="F75" s="10" t="s">
        <x:v>735</x:v>
      </x:c>
    </x:row>
    <x:row r="76" ht="41.400001525878906">
      <x:c r="A76" s="2" t="s">
        <x:v>464</x:v>
      </x:c>
      <x:c r="B76" s="2" t="s">
        <x:v>643</x:v>
      </x:c>
      <x:c r="C76" s="2" t="s">
        <x:v>729</x:v>
      </x:c>
      <x:c r="D76" s="2" t="s">
        <x:v>715</x:v>
      </x:c>
      <x:c r="E76" s="2" t="s">
        <x:v>716</x:v>
      </x:c>
      <x:c r="F76" s="10" t="s">
        <x:v>735</x:v>
      </x:c>
    </x:row>
    <x:row r="77" ht="41.400001525878906">
      <x:c r="A77" s="2" t="s">
        <x:v>467</x:v>
      </x:c>
      <x:c r="B77" s="2" t="s">
        <x:v>631</x:v>
      </x:c>
      <x:c r="C77" s="2" t="s">
        <x:v>729</x:v>
      </x:c>
      <x:c r="D77" s="2" t="s">
        <x:v>722</x:v>
      </x:c>
      <x:c r="E77" s="2" t="s">
        <x:v>716</x:v>
      </x:c>
      <x:c r="F77" s="10" t="s">
        <x:v>736</x:v>
      </x:c>
    </x:row>
    <x:row r="78" ht="41.400001525878906">
      <x:c r="A78" s="2" t="s">
        <x:v>467</x:v>
      </x:c>
      <x:c r="B78" s="2" t="s">
        <x:v>632</x:v>
      </x:c>
      <x:c r="C78" s="2" t="s">
        <x:v>729</x:v>
      </x:c>
      <x:c r="D78" s="2" t="s">
        <x:v>715</x:v>
      </x:c>
      <x:c r="E78" s="2" t="s">
        <x:v>716</x:v>
      </x:c>
      <x:c r="F78" s="10" t="s">
        <x:v>736</x:v>
      </x:c>
    </x:row>
    <x:row r="79" ht="41.400001525878906">
      <x:c r="A79" s="2" t="s">
        <x:v>467</x:v>
      </x:c>
      <x:c r="B79" s="2" t="s">
        <x:v>633</x:v>
      </x:c>
      <x:c r="C79" s="2" t="s">
        <x:v>729</x:v>
      </x:c>
      <x:c r="D79" s="2" t="s">
        <x:v>715</x:v>
      </x:c>
      <x:c r="E79" s="2" t="s">
        <x:v>716</x:v>
      </x:c>
      <x:c r="F79" s="10" t="s">
        <x:v>736</x:v>
      </x:c>
    </x:row>
    <x:row r="80" ht="41.400001525878906">
      <x:c r="A80" s="2" t="s">
        <x:v>467</x:v>
      </x:c>
      <x:c r="B80" s="2" t="s">
        <x:v>642</x:v>
      </x:c>
      <x:c r="C80" s="2" t="s">
        <x:v>729</x:v>
      </x:c>
      <x:c r="D80" s="2" t="s">
        <x:v>715</x:v>
      </x:c>
      <x:c r="E80" s="2" t="s">
        <x:v>716</x:v>
      </x:c>
      <x:c r="F80" s="10" t="s">
        <x:v>736</x:v>
      </x:c>
    </x:row>
    <x:row r="81" ht="41.400001525878906">
      <x:c r="A81" s="2" t="s">
        <x:v>467</x:v>
      </x:c>
      <x:c r="B81" s="2" t="s">
        <x:v>643</x:v>
      </x:c>
      <x:c r="C81" s="2" t="s">
        <x:v>729</x:v>
      </x:c>
      <x:c r="D81" s="2" t="s">
        <x:v>715</x:v>
      </x:c>
      <x:c r="E81" s="2" t="s">
        <x:v>716</x:v>
      </x:c>
      <x:c r="F81" s="10" t="s">
        <x:v>736</x:v>
      </x:c>
    </x:row>
    <x:row r="82" ht="41.400001525878906">
      <x:c r="A82" s="2" t="s">
        <x:v>470</x:v>
      </x:c>
      <x:c r="B82" s="2" t="s">
        <x:v>631</x:v>
      </x:c>
      <x:c r="C82" s="2" t="s">
        <x:v>729</x:v>
      </x:c>
      <x:c r="D82" s="2" t="s">
        <x:v>715</x:v>
      </x:c>
      <x:c r="E82" s="2" t="s">
        <x:v>716</x:v>
      </x:c>
      <x:c r="F82" s="10" t="s">
        <x:v>737</x:v>
      </x:c>
    </x:row>
    <x:row r="83" ht="41.400001525878906">
      <x:c r="A83" s="2" t="s">
        <x:v>470</x:v>
      </x:c>
      <x:c r="B83" s="2" t="s">
        <x:v>632</x:v>
      </x:c>
      <x:c r="C83" s="2" t="s">
        <x:v>729</x:v>
      </x:c>
      <x:c r="D83" s="2" t="s">
        <x:v>715</x:v>
      </x:c>
      <x:c r="E83" s="2" t="s">
        <x:v>716</x:v>
      </x:c>
      <x:c r="F83" s="10" t="s">
        <x:v>737</x:v>
      </x:c>
    </x:row>
    <x:row r="84" ht="41.400001525878906">
      <x:c r="A84" s="2" t="s">
        <x:v>470</x:v>
      </x:c>
      <x:c r="B84" s="2" t="s">
        <x:v>633</x:v>
      </x:c>
      <x:c r="C84" s="2" t="s">
        <x:v>729</x:v>
      </x:c>
      <x:c r="D84" s="2" t="s">
        <x:v>715</x:v>
      </x:c>
      <x:c r="E84" s="2" t="s">
        <x:v>716</x:v>
      </x:c>
      <x:c r="F84" s="10" t="s">
        <x:v>737</x:v>
      </x:c>
    </x:row>
    <x:row r="85" ht="41.400001525878906">
      <x:c r="A85" s="2" t="s">
        <x:v>470</x:v>
      </x:c>
      <x:c r="B85" s="2" t="s">
        <x:v>642</x:v>
      </x:c>
      <x:c r="C85" s="2" t="s">
        <x:v>729</x:v>
      </x:c>
      <x:c r="D85" s="2" t="s">
        <x:v>715</x:v>
      </x:c>
      <x:c r="E85" s="2" t="s">
        <x:v>716</x:v>
      </x:c>
      <x:c r="F85" s="10" t="s">
        <x:v>737</x:v>
      </x:c>
    </x:row>
    <x:row r="86" ht="41.400001525878906">
      <x:c r="A86" s="2" t="s">
        <x:v>470</x:v>
      </x:c>
      <x:c r="B86" s="2" t="s">
        <x:v>643</x:v>
      </x:c>
      <x:c r="C86" s="2" t="s">
        <x:v>729</x:v>
      </x:c>
      <x:c r="D86" s="2" t="s">
        <x:v>715</x:v>
      </x:c>
      <x:c r="E86" s="2" t="s">
        <x:v>716</x:v>
      </x:c>
      <x:c r="F86" s="10" t="s">
        <x:v>737</x:v>
      </x:c>
    </x:row>
    <x:row r="87" ht="41.400001525878906">
      <x:c r="A87" s="2" t="s">
        <x:v>473</x:v>
      </x:c>
      <x:c r="B87" s="2" t="s">
        <x:v>631</x:v>
      </x:c>
      <x:c r="C87" s="2" t="s">
        <x:v>729</x:v>
      </x:c>
      <x:c r="D87" s="2" t="s">
        <x:v>715</x:v>
      </x:c>
      <x:c r="E87" s="2" t="s">
        <x:v>716</x:v>
      </x:c>
      <x:c r="F87" s="10" t="s">
        <x:v>738</x:v>
      </x:c>
    </x:row>
    <x:row r="88" ht="41.400001525878906">
      <x:c r="A88" s="2" t="s">
        <x:v>473</x:v>
      </x:c>
      <x:c r="B88" s="2" t="s">
        <x:v>632</x:v>
      </x:c>
      <x:c r="C88" s="2" t="s">
        <x:v>729</x:v>
      </x:c>
      <x:c r="D88" s="2" t="s">
        <x:v>715</x:v>
      </x:c>
      <x:c r="E88" s="2" t="s">
        <x:v>716</x:v>
      </x:c>
      <x:c r="F88" s="10" t="s">
        <x:v>738</x:v>
      </x:c>
    </x:row>
    <x:row r="89" ht="41.400001525878906">
      <x:c r="A89" s="2" t="s">
        <x:v>473</x:v>
      </x:c>
      <x:c r="B89" s="2" t="s">
        <x:v>633</x:v>
      </x:c>
      <x:c r="C89" s="2" t="s">
        <x:v>729</x:v>
      </x:c>
      <x:c r="D89" s="2" t="s">
        <x:v>715</x:v>
      </x:c>
      <x:c r="E89" s="2" t="s">
        <x:v>716</x:v>
      </x:c>
      <x:c r="F89" s="10" t="s">
        <x:v>738</x:v>
      </x:c>
    </x:row>
    <x:row r="90" ht="41.400001525878906">
      <x:c r="A90" s="2" t="s">
        <x:v>473</x:v>
      </x:c>
      <x:c r="B90" s="2" t="s">
        <x:v>642</x:v>
      </x:c>
      <x:c r="C90" s="2" t="s">
        <x:v>729</x:v>
      </x:c>
      <x:c r="D90" s="2" t="s">
        <x:v>715</x:v>
      </x:c>
      <x:c r="E90" s="2" t="s">
        <x:v>716</x:v>
      </x:c>
      <x:c r="F90" s="10" t="s">
        <x:v>738</x:v>
      </x:c>
    </x:row>
    <x:row r="91" ht="41.400001525878906">
      <x:c r="A91" s="2" t="s">
        <x:v>473</x:v>
      </x:c>
      <x:c r="B91" s="2" t="s">
        <x:v>643</x:v>
      </x:c>
      <x:c r="C91" s="2" t="s">
        <x:v>729</x:v>
      </x:c>
      <x:c r="D91" s="2" t="s">
        <x:v>715</x:v>
      </x:c>
      <x:c r="E91" s="2" t="s">
        <x:v>716</x:v>
      </x:c>
      <x:c r="F91" s="10" t="s">
        <x:v>738</x:v>
      </x:c>
    </x:row>
    <x:row r="92" ht="41.400001525878906">
      <x:c r="A92" s="2" t="s">
        <x:v>476</x:v>
      </x:c>
      <x:c r="B92" s="2" t="s">
        <x:v>631</x:v>
      </x:c>
      <x:c r="C92" s="2" t="s">
        <x:v>729</x:v>
      </x:c>
      <x:c r="D92" s="2" t="s">
        <x:v>715</x:v>
      </x:c>
      <x:c r="E92" s="2" t="s">
        <x:v>716</x:v>
      </x:c>
      <x:c r="F92" s="10" t="s">
        <x:v>739</x:v>
      </x:c>
    </x:row>
    <x:row r="93" ht="41.400001525878906">
      <x:c r="A93" s="2" t="s">
        <x:v>476</x:v>
      </x:c>
      <x:c r="B93" s="2" t="s">
        <x:v>632</x:v>
      </x:c>
      <x:c r="C93" s="2" t="s">
        <x:v>729</x:v>
      </x:c>
      <x:c r="D93" s="2" t="s">
        <x:v>715</x:v>
      </x:c>
      <x:c r="E93" s="2" t="s">
        <x:v>716</x:v>
      </x:c>
      <x:c r="F93" s="10" t="s">
        <x:v>739</x:v>
      </x:c>
    </x:row>
    <x:row r="94" ht="41.400001525878906">
      <x:c r="A94" s="2" t="s">
        <x:v>476</x:v>
      </x:c>
      <x:c r="B94" s="2" t="s">
        <x:v>633</x:v>
      </x:c>
      <x:c r="C94" s="2" t="s">
        <x:v>729</x:v>
      </x:c>
      <x:c r="D94" s="2" t="s">
        <x:v>715</x:v>
      </x:c>
      <x:c r="E94" s="2" t="s">
        <x:v>716</x:v>
      </x:c>
      <x:c r="F94" s="10" t="s">
        <x:v>739</x:v>
      </x:c>
    </x:row>
    <x:row r="95" ht="41.400001525878906">
      <x:c r="A95" s="2" t="s">
        <x:v>476</x:v>
      </x:c>
      <x:c r="B95" s="2" t="s">
        <x:v>642</x:v>
      </x:c>
      <x:c r="C95" s="2" t="s">
        <x:v>729</x:v>
      </x:c>
      <x:c r="D95" s="2" t="s">
        <x:v>715</x:v>
      </x:c>
      <x:c r="E95" s="2" t="s">
        <x:v>716</x:v>
      </x:c>
      <x:c r="F95" s="10" t="s">
        <x:v>739</x:v>
      </x:c>
    </x:row>
    <x:row r="96" ht="41.400001525878906">
      <x:c r="A96" s="2" t="s">
        <x:v>476</x:v>
      </x:c>
      <x:c r="B96" s="2" t="s">
        <x:v>643</x:v>
      </x:c>
      <x:c r="C96" s="2" t="s">
        <x:v>729</x:v>
      </x:c>
      <x:c r="D96" s="2" t="s">
        <x:v>715</x:v>
      </x:c>
      <x:c r="E96" s="2" t="s">
        <x:v>716</x:v>
      </x:c>
      <x:c r="F96" s="10" t="s">
        <x:v>739</x:v>
      </x:c>
    </x:row>
    <x:row r="97" ht="41.400001525878906">
      <x:c r="A97" s="2" t="s">
        <x:v>479</x:v>
      </x:c>
      <x:c r="B97" s="2" t="s">
        <x:v>631</x:v>
      </x:c>
      <x:c r="C97" s="2" t="s">
        <x:v>729</x:v>
      </x:c>
      <x:c r="D97" s="2" t="s">
        <x:v>715</x:v>
      </x:c>
      <x:c r="E97" s="2" t="s">
        <x:v>716</x:v>
      </x:c>
      <x:c r="F97" s="10" t="s">
        <x:v>740</x:v>
      </x:c>
    </x:row>
    <x:row r="98" ht="41.400001525878906">
      <x:c r="A98" s="2" t="s">
        <x:v>479</x:v>
      </x:c>
      <x:c r="B98" s="2" t="s">
        <x:v>632</x:v>
      </x:c>
      <x:c r="C98" s="2" t="s">
        <x:v>729</x:v>
      </x:c>
      <x:c r="D98" s="2" t="s">
        <x:v>715</x:v>
      </x:c>
      <x:c r="E98" s="2" t="s">
        <x:v>716</x:v>
      </x:c>
      <x:c r="F98" s="10" t="s">
        <x:v>740</x:v>
      </x:c>
    </x:row>
    <x:row r="99" ht="41.400001525878906">
      <x:c r="A99" s="2" t="s">
        <x:v>479</x:v>
      </x:c>
      <x:c r="B99" s="2" t="s">
        <x:v>633</x:v>
      </x:c>
      <x:c r="C99" s="2" t="s">
        <x:v>729</x:v>
      </x:c>
      <x:c r="D99" s="2" t="s">
        <x:v>722</x:v>
      </x:c>
      <x:c r="E99" s="2" t="s">
        <x:v>716</x:v>
      </x:c>
      <x:c r="F99" s="10" t="s">
        <x:v>740</x:v>
      </x:c>
    </x:row>
    <x:row r="100" ht="41.400001525878906">
      <x:c r="A100" s="2" t="s">
        <x:v>479</x:v>
      </x:c>
      <x:c r="B100" s="2" t="s">
        <x:v>642</x:v>
      </x:c>
      <x:c r="C100" s="2" t="s">
        <x:v>729</x:v>
      </x:c>
      <x:c r="D100" s="2" t="s">
        <x:v>715</x:v>
      </x:c>
      <x:c r="E100" s="2" t="s">
        <x:v>716</x:v>
      </x:c>
      <x:c r="F100" s="10" t="s">
        <x:v>740</x:v>
      </x:c>
    </x:row>
    <x:row r="101" ht="41.400001525878906">
      <x:c r="A101" s="2" t="s">
        <x:v>479</x:v>
      </x:c>
      <x:c r="B101" s="2" t="s">
        <x:v>643</x:v>
      </x:c>
      <x:c r="C101" s="2" t="s">
        <x:v>729</x:v>
      </x:c>
      <x:c r="D101" s="2" t="s">
        <x:v>715</x:v>
      </x:c>
      <x:c r="E101" s="2" t="s">
        <x:v>716</x:v>
      </x:c>
      <x:c r="F101" s="10" t="s">
        <x:v>740</x:v>
      </x:c>
    </x:row>
    <x:row r="102" ht="41.400001525878906">
      <x:c r="A102" s="2" t="s">
        <x:v>482</x:v>
      </x:c>
      <x:c r="B102" s="2" t="s">
        <x:v>631</x:v>
      </x:c>
      <x:c r="C102" s="2" t="s">
        <x:v>729</x:v>
      </x:c>
      <x:c r="D102" s="2" t="s">
        <x:v>715</x:v>
      </x:c>
      <x:c r="E102" s="2" t="s">
        <x:v>716</x:v>
      </x:c>
      <x:c r="F102" s="10" t="s">
        <x:v>741</x:v>
      </x:c>
    </x:row>
    <x:row r="103" ht="41.400001525878906">
      <x:c r="A103" s="2" t="s">
        <x:v>482</x:v>
      </x:c>
      <x:c r="B103" s="2" t="s">
        <x:v>632</x:v>
      </x:c>
      <x:c r="C103" s="2" t="s">
        <x:v>729</x:v>
      </x:c>
      <x:c r="D103" s="2" t="s">
        <x:v>715</x:v>
      </x:c>
      <x:c r="E103" s="2" t="s">
        <x:v>716</x:v>
      </x:c>
      <x:c r="F103" s="10" t="s">
        <x:v>741</x:v>
      </x:c>
    </x:row>
    <x:row r="104" ht="41.400001525878906">
      <x:c r="A104" s="2" t="s">
        <x:v>482</x:v>
      </x:c>
      <x:c r="B104" s="2" t="s">
        <x:v>633</x:v>
      </x:c>
      <x:c r="C104" s="2" t="s">
        <x:v>729</x:v>
      </x:c>
      <x:c r="D104" s="2" t="s">
        <x:v>715</x:v>
      </x:c>
      <x:c r="E104" s="2" t="s">
        <x:v>716</x:v>
      </x:c>
      <x:c r="F104" s="10" t="s">
        <x:v>741</x:v>
      </x:c>
    </x:row>
    <x:row r="105" ht="41.400001525878906">
      <x:c r="A105" s="2" t="s">
        <x:v>482</x:v>
      </x:c>
      <x:c r="B105" s="2" t="s">
        <x:v>642</x:v>
      </x:c>
      <x:c r="C105" s="2" t="s">
        <x:v>729</x:v>
      </x:c>
      <x:c r="D105" s="2" t="s">
        <x:v>715</x:v>
      </x:c>
      <x:c r="E105" s="2" t="s">
        <x:v>716</x:v>
      </x:c>
      <x:c r="F105" s="10" t="s">
        <x:v>741</x:v>
      </x:c>
    </x:row>
    <x:row r="106" ht="41.400001525878906">
      <x:c r="A106" s="2" t="s">
        <x:v>482</x:v>
      </x:c>
      <x:c r="B106" s="2" t="s">
        <x:v>643</x:v>
      </x:c>
      <x:c r="C106" s="2" t="s">
        <x:v>729</x:v>
      </x:c>
      <x:c r="D106" s="2" t="s">
        <x:v>715</x:v>
      </x:c>
      <x:c r="E106" s="2" t="s">
        <x:v>716</x:v>
      </x:c>
      <x:c r="F106" s="10" t="s">
        <x:v>741</x:v>
      </x:c>
    </x:row>
    <x:row r="107" ht="41.400001525878906">
      <x:c r="A107" s="2" t="s">
        <x:v>485</x:v>
      </x:c>
      <x:c r="B107" s="2" t="s">
        <x:v>631</x:v>
      </x:c>
      <x:c r="C107" s="2" t="s">
        <x:v>714</x:v>
      </x:c>
      <x:c r="D107" s="2" t="s">
        <x:v>715</x:v>
      </x:c>
      <x:c r="E107" s="2" t="s">
        <x:v>716</x:v>
      </x:c>
      <x:c r="F107" s="10" t="s">
        <x:v>742</x:v>
      </x:c>
    </x:row>
    <x:row r="108" ht="41.400001525878906">
      <x:c r="A108" s="2" t="s">
        <x:v>485</x:v>
      </x:c>
      <x:c r="B108" s="2" t="s">
        <x:v>632</x:v>
      </x:c>
      <x:c r="C108" s="2" t="s">
        <x:v>714</x:v>
      </x:c>
      <x:c r="D108" s="2" t="s">
        <x:v>715</x:v>
      </x:c>
      <x:c r="E108" s="2" t="s">
        <x:v>716</x:v>
      </x:c>
      <x:c r="F108" s="10" t="s">
        <x:v>742</x:v>
      </x:c>
    </x:row>
    <x:row r="109" ht="41.400001525878906">
      <x:c r="A109" s="2" t="s">
        <x:v>485</x:v>
      </x:c>
      <x:c r="B109" s="2" t="s">
        <x:v>633</x:v>
      </x:c>
      <x:c r="C109" s="2" t="s">
        <x:v>714</x:v>
      </x:c>
      <x:c r="D109" s="2" t="s">
        <x:v>715</x:v>
      </x:c>
      <x:c r="E109" s="2" t="s">
        <x:v>716</x:v>
      </x:c>
      <x:c r="F109" s="10" t="s">
        <x:v>742</x:v>
      </x:c>
    </x:row>
    <x:row r="110" ht="41.400001525878906">
      <x:c r="A110" s="2" t="s">
        <x:v>485</x:v>
      </x:c>
      <x:c r="B110" s="2" t="s">
        <x:v>642</x:v>
      </x:c>
      <x:c r="C110" s="2" t="s">
        <x:v>714</x:v>
      </x:c>
      <x:c r="D110" s="2" t="s">
        <x:v>715</x:v>
      </x:c>
      <x:c r="E110" s="2" t="s">
        <x:v>716</x:v>
      </x:c>
      <x:c r="F110" s="10" t="s">
        <x:v>742</x:v>
      </x:c>
    </x:row>
    <x:row r="111" ht="41.400001525878906">
      <x:c r="A111" s="2" t="s">
        <x:v>485</x:v>
      </x:c>
      <x:c r="B111" s="2" t="s">
        <x:v>643</x:v>
      </x:c>
      <x:c r="C111" s="2" t="s">
        <x:v>729</x:v>
      </x:c>
      <x:c r="D111" s="2" t="s">
        <x:v>730</x:v>
      </x:c>
      <x:c r="E111" s="2" t="s">
        <x:v>716</x:v>
      </x:c>
      <x:c r="F111" s="10" t="s">
        <x:v>742</x:v>
      </x:c>
    </x:row>
    <x:row r="112" ht="41.400001525878906">
      <x:c r="A112" s="2" t="s">
        <x:v>488</x:v>
      </x:c>
      <x:c r="B112" s="2" t="s">
        <x:v>631</x:v>
      </x:c>
      <x:c r="C112" s="2" t="s">
        <x:v>714</x:v>
      </x:c>
      <x:c r="D112" s="2" t="s">
        <x:v>715</x:v>
      </x:c>
      <x:c r="E112" s="2" t="s">
        <x:v>716</x:v>
      </x:c>
      <x:c r="F112" s="10" t="s">
        <x:v>743</x:v>
      </x:c>
    </x:row>
    <x:row r="113" ht="41.400001525878906">
      <x:c r="A113" s="2" t="s">
        <x:v>488</x:v>
      </x:c>
      <x:c r="B113" s="2" t="s">
        <x:v>632</x:v>
      </x:c>
      <x:c r="C113" s="2" t="s">
        <x:v>714</x:v>
      </x:c>
      <x:c r="D113" s="2" t="s">
        <x:v>715</x:v>
      </x:c>
      <x:c r="E113" s="2" t="s">
        <x:v>716</x:v>
      </x:c>
      <x:c r="F113" s="10" t="s">
        <x:v>743</x:v>
      </x:c>
    </x:row>
    <x:row r="114" ht="41.400001525878906">
      <x:c r="A114" s="2" t="s">
        <x:v>488</x:v>
      </x:c>
      <x:c r="B114" s="2" t="s">
        <x:v>633</x:v>
      </x:c>
      <x:c r="C114" s="2" t="s">
        <x:v>714</x:v>
      </x:c>
      <x:c r="D114" s="2" t="s">
        <x:v>715</x:v>
      </x:c>
      <x:c r="E114" s="2" t="s">
        <x:v>716</x:v>
      </x:c>
      <x:c r="F114" s="10" t="s">
        <x:v>743</x:v>
      </x:c>
    </x:row>
    <x:row r="115" ht="41.400001525878906">
      <x:c r="A115" s="2" t="s">
        <x:v>488</x:v>
      </x:c>
      <x:c r="B115" s="2" t="s">
        <x:v>642</x:v>
      </x:c>
      <x:c r="C115" s="2" t="s">
        <x:v>729</x:v>
      </x:c>
      <x:c r="D115" s="2" t="s">
        <x:v>730</x:v>
      </x:c>
      <x:c r="E115" s="2" t="s">
        <x:v>716</x:v>
      </x:c>
      <x:c r="F115" s="10" t="s">
        <x:v>743</x:v>
      </x:c>
    </x:row>
    <x:row r="116" ht="41.400001525878906">
      <x:c r="A116" s="2" t="s">
        <x:v>488</x:v>
      </x:c>
      <x:c r="B116" s="2" t="s">
        <x:v>643</x:v>
      </x:c>
      <x:c r="C116" s="2" t="s">
        <x:v>729</x:v>
      </x:c>
      <x:c r="D116" s="2" t="s">
        <x:v>730</x:v>
      </x:c>
      <x:c r="E116" s="2" t="s">
        <x:v>716</x:v>
      </x:c>
      <x:c r="F116" s="10" t="s">
        <x:v>743</x:v>
      </x:c>
    </x:row>
    <x:row r="117" ht="41.400001525878906">
      <x:c r="A117" s="2" t="s">
        <x:v>491</x:v>
      </x:c>
      <x:c r="B117" s="2" t="s">
        <x:v>632</x:v>
      </x:c>
      <x:c r="C117" s="2" t="s">
        <x:v>729</x:v>
      </x:c>
      <x:c r="D117" s="2" t="s">
        <x:v>715</x:v>
      </x:c>
      <x:c r="E117" s="2" t="s">
        <x:v>716</x:v>
      </x:c>
      <x:c r="F117" s="10" t="s">
        <x:v>744</x:v>
      </x:c>
    </x:row>
    <x:row r="118" ht="41.400001525878906">
      <x:c r="A118" s="2" t="s">
        <x:v>491</x:v>
      </x:c>
      <x:c r="B118" s="2" t="s">
        <x:v>633</x:v>
      </x:c>
      <x:c r="C118" s="2" t="s">
        <x:v>729</x:v>
      </x:c>
      <x:c r="D118" s="2" t="s">
        <x:v>715</x:v>
      </x:c>
      <x:c r="E118" s="2" t="s">
        <x:v>716</x:v>
      </x:c>
      <x:c r="F118" s="10" t="s">
        <x:v>744</x:v>
      </x:c>
    </x:row>
    <x:row r="119" ht="41.400001525878906">
      <x:c r="A119" s="2" t="s">
        <x:v>491</x:v>
      </x:c>
      <x:c r="B119" s="2" t="s">
        <x:v>642</x:v>
      </x:c>
      <x:c r="C119" s="2" t="s">
        <x:v>729</x:v>
      </x:c>
      <x:c r="D119" s="2" t="s">
        <x:v>715</x:v>
      </x:c>
      <x:c r="E119" s="2" t="s">
        <x:v>716</x:v>
      </x:c>
      <x:c r="F119" s="10" t="s">
        <x:v>744</x:v>
      </x:c>
    </x:row>
    <x:row r="120" ht="41.400001525878906">
      <x:c r="A120" s="2" t="s">
        <x:v>491</x:v>
      </x:c>
      <x:c r="B120" s="2" t="s">
        <x:v>643</x:v>
      </x:c>
      <x:c r="C120" s="2" t="s">
        <x:v>729</x:v>
      </x:c>
      <x:c r="D120" s="2" t="s">
        <x:v>715</x:v>
      </x:c>
      <x:c r="E120" s="2" t="s">
        <x:v>716</x:v>
      </x:c>
      <x:c r="F120" s="10" t="s">
        <x:v>744</x:v>
      </x:c>
    </x:row>
    <x:row r="121" ht="41.400001525878906">
      <x:c r="A121" s="2" t="s">
        <x:v>491</x:v>
      </x:c>
      <x:c r="B121" s="2" t="s">
        <x:v>661</x:v>
      </x:c>
      <x:c r="C121" s="2" t="s">
        <x:v>729</x:v>
      </x:c>
      <x:c r="D121" s="2" t="s">
        <x:v>715</x:v>
      </x:c>
      <x:c r="E121" s="2" t="s">
        <x:v>716</x:v>
      </x:c>
      <x:c r="F121" s="10" t="s">
        <x:v>744</x:v>
      </x:c>
    </x:row>
    <x:row r="122" ht="41.400001525878906">
      <x:c r="A122" s="2" t="s">
        <x:v>494</x:v>
      </x:c>
      <x:c r="B122" s="2" t="s">
        <x:v>632</x:v>
      </x:c>
      <x:c r="C122" s="2" t="s">
        <x:v>714</x:v>
      </x:c>
      <x:c r="D122" s="2" t="s">
        <x:v>715</x:v>
      </x:c>
      <x:c r="E122" s="2" t="s">
        <x:v>716</x:v>
      </x:c>
      <x:c r="F122" s="10" t="s">
        <x:v>745</x:v>
      </x:c>
    </x:row>
    <x:row r="123" ht="41.400001525878906">
      <x:c r="A123" s="2" t="s">
        <x:v>494</x:v>
      </x:c>
      <x:c r="B123" s="2" t="s">
        <x:v>633</x:v>
      </x:c>
      <x:c r="C123" s="2" t="s">
        <x:v>714</x:v>
      </x:c>
      <x:c r="D123" s="2" t="s">
        <x:v>715</x:v>
      </x:c>
      <x:c r="E123" s="2" t="s">
        <x:v>716</x:v>
      </x:c>
      <x:c r="F123" s="10" t="s">
        <x:v>745</x:v>
      </x:c>
    </x:row>
    <x:row r="124" ht="41.400001525878906">
      <x:c r="A124" s="2" t="s">
        <x:v>494</x:v>
      </x:c>
      <x:c r="B124" s="2" t="s">
        <x:v>642</x:v>
      </x:c>
      <x:c r="C124" s="2" t="s">
        <x:v>714</x:v>
      </x:c>
      <x:c r="D124" s="2" t="s">
        <x:v>715</x:v>
      </x:c>
      <x:c r="E124" s="2" t="s">
        <x:v>716</x:v>
      </x:c>
      <x:c r="F124" s="10" t="s">
        <x:v>745</x:v>
      </x:c>
    </x:row>
    <x:row r="125" ht="41.400001525878906">
      <x:c r="A125" s="2" t="s">
        <x:v>494</x:v>
      </x:c>
      <x:c r="B125" s="2" t="s">
        <x:v>643</x:v>
      </x:c>
      <x:c r="C125" s="2" t="s">
        <x:v>714</x:v>
      </x:c>
      <x:c r="D125" s="2" t="s">
        <x:v>715</x:v>
      </x:c>
      <x:c r="E125" s="2" t="s">
        <x:v>716</x:v>
      </x:c>
      <x:c r="F125" s="10" t="s">
        <x:v>745</x:v>
      </x:c>
    </x:row>
    <x:row r="126" ht="41.400001525878906">
      <x:c r="A126" s="2" t="s">
        <x:v>494</x:v>
      </x:c>
      <x:c r="B126" s="2" t="s">
        <x:v>661</x:v>
      </x:c>
      <x:c r="C126" s="2" t="s">
        <x:v>714</x:v>
      </x:c>
      <x:c r="D126" s="2" t="s">
        <x:v>715</x:v>
      </x:c>
      <x:c r="E126" s="2" t="s">
        <x:v>716</x:v>
      </x:c>
      <x:c r="F126" s="10" t="s">
        <x:v>745</x:v>
      </x:c>
    </x:row>
    <x:row r="127" ht="41.400001525878906">
      <x:c r="A127" s="2" t="s">
        <x:v>497</x:v>
      </x:c>
      <x:c r="B127" s="2" t="s">
        <x:v>632</x:v>
      </x:c>
      <x:c r="C127" s="2" t="s">
        <x:v>714</x:v>
      </x:c>
      <x:c r="D127" s="2" t="s">
        <x:v>715</x:v>
      </x:c>
      <x:c r="E127" s="2" t="s">
        <x:v>716</x:v>
      </x:c>
      <x:c r="F127" s="10" t="s">
        <x:v>746</x:v>
      </x:c>
    </x:row>
    <x:row r="128" ht="41.400001525878906">
      <x:c r="A128" s="2" t="s">
        <x:v>497</x:v>
      </x:c>
      <x:c r="B128" s="2" t="s">
        <x:v>633</x:v>
      </x:c>
      <x:c r="C128" s="2" t="s">
        <x:v>714</x:v>
      </x:c>
      <x:c r="D128" s="2" t="s">
        <x:v>715</x:v>
      </x:c>
      <x:c r="E128" s="2" t="s">
        <x:v>716</x:v>
      </x:c>
      <x:c r="F128" s="10" t="s">
        <x:v>746</x:v>
      </x:c>
    </x:row>
    <x:row r="129" ht="41.400001525878906">
      <x:c r="A129" s="2" t="s">
        <x:v>497</x:v>
      </x:c>
      <x:c r="B129" s="2" t="s">
        <x:v>642</x:v>
      </x:c>
      <x:c r="C129" s="2" t="s">
        <x:v>714</x:v>
      </x:c>
      <x:c r="D129" s="2" t="s">
        <x:v>715</x:v>
      </x:c>
      <x:c r="E129" s="2" t="s">
        <x:v>716</x:v>
      </x:c>
      <x:c r="F129" s="10" t="s">
        <x:v>746</x:v>
      </x:c>
    </x:row>
    <x:row r="130" ht="41.400001525878906">
      <x:c r="A130" s="2" t="s">
        <x:v>497</x:v>
      </x:c>
      <x:c r="B130" s="2" t="s">
        <x:v>643</x:v>
      </x:c>
      <x:c r="C130" s="2" t="s">
        <x:v>714</x:v>
      </x:c>
      <x:c r="D130" s="2" t="s">
        <x:v>715</x:v>
      </x:c>
      <x:c r="E130" s="2" t="s">
        <x:v>716</x:v>
      </x:c>
      <x:c r="F130" s="10" t="s">
        <x:v>746</x:v>
      </x:c>
    </x:row>
    <x:row r="131" ht="41.400001525878906">
      <x:c r="A131" s="2" t="s">
        <x:v>497</x:v>
      </x:c>
      <x:c r="B131" s="2" t="s">
        <x:v>661</x:v>
      </x:c>
      <x:c r="C131" s="2" t="s">
        <x:v>714</x:v>
      </x:c>
      <x:c r="D131" s="2" t="s">
        <x:v>715</x:v>
      </x:c>
      <x:c r="E131" s="2" t="s">
        <x:v>716</x:v>
      </x:c>
      <x:c r="F131" s="10" t="s">
        <x:v>746</x:v>
      </x:c>
    </x:row>
    <x:row r="132" ht="41.400001525878906">
      <x:c r="A132" s="2" t="s">
        <x:v>500</x:v>
      </x:c>
      <x:c r="B132" s="2" t="s">
        <x:v>632</x:v>
      </x:c>
      <x:c r="C132" s="2" t="s">
        <x:v>718</x:v>
      </x:c>
      <x:c r="D132" s="2" t="s">
        <x:v>715</x:v>
      </x:c>
      <x:c r="E132" s="2" t="s">
        <x:v>716</x:v>
      </x:c>
      <x:c r="F132" s="10" t="s">
        <x:v>747</x:v>
      </x:c>
    </x:row>
    <x:row r="133" ht="41.400001525878906">
      <x:c r="A133" s="2" t="s">
        <x:v>500</x:v>
      </x:c>
      <x:c r="B133" s="2" t="s">
        <x:v>633</x:v>
      </x:c>
      <x:c r="C133" s="2" t="s">
        <x:v>718</x:v>
      </x:c>
      <x:c r="D133" s="2" t="s">
        <x:v>715</x:v>
      </x:c>
      <x:c r="E133" s="2" t="s">
        <x:v>716</x:v>
      </x:c>
      <x:c r="F133" s="10" t="s">
        <x:v>747</x:v>
      </x:c>
    </x:row>
    <x:row r="134" ht="41.400001525878906">
      <x:c r="A134" s="2" t="s">
        <x:v>500</x:v>
      </x:c>
      <x:c r="B134" s="2" t="s">
        <x:v>642</x:v>
      </x:c>
      <x:c r="C134" s="2" t="s">
        <x:v>714</x:v>
      </x:c>
      <x:c r="D134" s="2" t="s">
        <x:v>730</x:v>
      </x:c>
      <x:c r="E134" s="2" t="s">
        <x:v>716</x:v>
      </x:c>
      <x:c r="F134" s="10" t="s">
        <x:v>747</x:v>
      </x:c>
    </x:row>
    <x:row r="135" ht="41.400001525878906">
      <x:c r="A135" s="2" t="s">
        <x:v>500</x:v>
      </x:c>
      <x:c r="B135" s="2" t="s">
        <x:v>643</x:v>
      </x:c>
      <x:c r="C135" s="2" t="s">
        <x:v>718</x:v>
      </x:c>
      <x:c r="D135" s="2" t="s">
        <x:v>715</x:v>
      </x:c>
      <x:c r="E135" s="2" t="s">
        <x:v>716</x:v>
      </x:c>
      <x:c r="F135" s="10" t="s">
        <x:v>747</x:v>
      </x:c>
    </x:row>
    <x:row r="136" ht="41.400001525878906">
      <x:c r="A136" s="2" t="s">
        <x:v>500</x:v>
      </x:c>
      <x:c r="B136" s="2" t="s">
        <x:v>661</x:v>
      </x:c>
      <x:c r="C136" s="2" t="s">
        <x:v>714</x:v>
      </x:c>
      <x:c r="D136" s="2" t="s">
        <x:v>730</x:v>
      </x:c>
      <x:c r="E136" s="2" t="s">
        <x:v>716</x:v>
      </x:c>
      <x:c r="F136" s="10" t="s">
        <x:v>747</x:v>
      </x:c>
    </x:row>
    <x:row r="137" ht="41.400001525878906">
      <x:c r="A137" s="2" t="s">
        <x:v>503</x:v>
      </x:c>
      <x:c r="B137" s="2" t="s">
        <x:v>632</x:v>
      </x:c>
      <x:c r="C137" s="2" t="s">
        <x:v>718</x:v>
      </x:c>
      <x:c r="D137" s="2" t="s">
        <x:v>715</x:v>
      </x:c>
      <x:c r="E137" s="2" t="s">
        <x:v>716</x:v>
      </x:c>
      <x:c r="F137" s="10" t="s">
        <x:v>748</x:v>
      </x:c>
    </x:row>
    <x:row r="138" ht="41.400001525878906">
      <x:c r="A138" s="2" t="s">
        <x:v>503</x:v>
      </x:c>
      <x:c r="B138" s="2" t="s">
        <x:v>633</x:v>
      </x:c>
      <x:c r="C138" s="2" t="s">
        <x:v>718</x:v>
      </x:c>
      <x:c r="D138" s="2" t="s">
        <x:v>715</x:v>
      </x:c>
      <x:c r="E138" s="2" t="s">
        <x:v>716</x:v>
      </x:c>
      <x:c r="F138" s="10" t="s">
        <x:v>748</x:v>
      </x:c>
    </x:row>
    <x:row r="139" ht="41.400001525878906">
      <x:c r="A139" s="2" t="s">
        <x:v>503</x:v>
      </x:c>
      <x:c r="B139" s="2" t="s">
        <x:v>642</x:v>
      </x:c>
      <x:c r="C139" s="2" t="s">
        <x:v>714</x:v>
      </x:c>
      <x:c r="D139" s="2" t="s">
        <x:v>730</x:v>
      </x:c>
      <x:c r="E139" s="2" t="s">
        <x:v>716</x:v>
      </x:c>
      <x:c r="F139" s="10" t="s">
        <x:v>748</x:v>
      </x:c>
    </x:row>
    <x:row r="140" ht="41.400001525878906">
      <x:c r="A140" s="2" t="s">
        <x:v>503</x:v>
      </x:c>
      <x:c r="B140" s="2" t="s">
        <x:v>643</x:v>
      </x:c>
      <x:c r="C140" s="2" t="s">
        <x:v>718</x:v>
      </x:c>
      <x:c r="D140" s="2" t="s">
        <x:v>715</x:v>
      </x:c>
      <x:c r="E140" s="2" t="s">
        <x:v>716</x:v>
      </x:c>
      <x:c r="F140" s="10" t="s">
        <x:v>748</x:v>
      </x:c>
    </x:row>
    <x:row r="141" ht="41.400001525878906">
      <x:c r="A141" s="2" t="s">
        <x:v>503</x:v>
      </x:c>
      <x:c r="B141" s="2" t="s">
        <x:v>661</x:v>
      </x:c>
      <x:c r="C141" s="2" t="s">
        <x:v>714</x:v>
      </x:c>
      <x:c r="D141" s="2" t="s">
        <x:v>730</x:v>
      </x:c>
      <x:c r="E141" s="2" t="s">
        <x:v>716</x:v>
      </x:c>
      <x:c r="F141" s="10" t="s">
        <x:v>748</x:v>
      </x:c>
    </x:row>
    <x:row r="142" ht="41.400001525878906">
      <x:c r="A142" s="2" t="s">
        <x:v>506</x:v>
      </x:c>
      <x:c r="B142" s="2" t="s">
        <x:v>632</x:v>
      </x:c>
      <x:c r="C142" s="2" t="s">
        <x:v>718</x:v>
      </x:c>
      <x:c r="D142" s="2" t="s">
        <x:v>715</x:v>
      </x:c>
      <x:c r="E142" s="2" t="s">
        <x:v>716</x:v>
      </x:c>
      <x:c r="F142" s="10" t="s">
        <x:v>749</x:v>
      </x:c>
    </x:row>
    <x:row r="143" ht="41.400001525878906">
      <x:c r="A143" s="2" t="s">
        <x:v>506</x:v>
      </x:c>
      <x:c r="B143" s="2" t="s">
        <x:v>633</x:v>
      </x:c>
      <x:c r="C143" s="2" t="s">
        <x:v>718</x:v>
      </x:c>
      <x:c r="D143" s="2" t="s">
        <x:v>715</x:v>
      </x:c>
      <x:c r="E143" s="2" t="s">
        <x:v>716</x:v>
      </x:c>
      <x:c r="F143" s="10" t="s">
        <x:v>749</x:v>
      </x:c>
    </x:row>
    <x:row r="144" ht="41.400001525878906">
      <x:c r="A144" s="2" t="s">
        <x:v>506</x:v>
      </x:c>
      <x:c r="B144" s="2" t="s">
        <x:v>642</x:v>
      </x:c>
      <x:c r="C144" s="2" t="s">
        <x:v>714</x:v>
      </x:c>
      <x:c r="D144" s="2" t="s">
        <x:v>730</x:v>
      </x:c>
      <x:c r="E144" s="2" t="s">
        <x:v>716</x:v>
      </x:c>
      <x:c r="F144" s="10" t="s">
        <x:v>749</x:v>
      </x:c>
    </x:row>
    <x:row r="145" ht="41.400001525878906">
      <x:c r="A145" s="2" t="s">
        <x:v>506</x:v>
      </x:c>
      <x:c r="B145" s="2" t="s">
        <x:v>643</x:v>
      </x:c>
      <x:c r="C145" s="2" t="s">
        <x:v>718</x:v>
      </x:c>
      <x:c r="D145" s="2" t="s">
        <x:v>715</x:v>
      </x:c>
      <x:c r="E145" s="2" t="s">
        <x:v>716</x:v>
      </x:c>
      <x:c r="F145" s="10" t="s">
        <x:v>749</x:v>
      </x:c>
    </x:row>
    <x:row r="146" ht="41.400001525878906">
      <x:c r="A146" s="2" t="s">
        <x:v>506</x:v>
      </x:c>
      <x:c r="B146" s="2" t="s">
        <x:v>661</x:v>
      </x:c>
      <x:c r="C146" s="2" t="s">
        <x:v>718</x:v>
      </x:c>
      <x:c r="D146" s="2" t="s">
        <x:v>715</x:v>
      </x:c>
      <x:c r="E146" s="2" t="s">
        <x:v>716</x:v>
      </x:c>
      <x:c r="F146" s="10" t="s">
        <x:v>749</x:v>
      </x:c>
    </x:row>
    <x:row r="147" ht="41.400001525878906">
      <x:c r="A147" s="2" t="s">
        <x:v>509</x:v>
      </x:c>
      <x:c r="B147" s="2" t="s">
        <x:v>632</x:v>
      </x:c>
      <x:c r="C147" s="2" t="s">
        <x:v>718</x:v>
      </x:c>
      <x:c r="D147" s="2" t="s">
        <x:v>715</x:v>
      </x:c>
      <x:c r="E147" s="2" t="s">
        <x:v>716</x:v>
      </x:c>
      <x:c r="F147" s="10" t="s">
        <x:v>750</x:v>
      </x:c>
    </x:row>
    <x:row r="148" ht="41.400001525878906">
      <x:c r="A148" s="2" t="s">
        <x:v>509</x:v>
      </x:c>
      <x:c r="B148" s="2" t="s">
        <x:v>633</x:v>
      </x:c>
      <x:c r="C148" s="2" t="s">
        <x:v>718</x:v>
      </x:c>
      <x:c r="D148" s="2" t="s">
        <x:v>715</x:v>
      </x:c>
      <x:c r="E148" s="2" t="s">
        <x:v>716</x:v>
      </x:c>
      <x:c r="F148" s="10" t="s">
        <x:v>750</x:v>
      </x:c>
    </x:row>
    <x:row r="149" ht="41.400001525878906">
      <x:c r="A149" s="2" t="s">
        <x:v>509</x:v>
      </x:c>
      <x:c r="B149" s="2" t="s">
        <x:v>642</x:v>
      </x:c>
      <x:c r="C149" s="2" t="s">
        <x:v>714</x:v>
      </x:c>
      <x:c r="D149" s="2" t="s">
        <x:v>730</x:v>
      </x:c>
      <x:c r="E149" s="2" t="s">
        <x:v>716</x:v>
      </x:c>
      <x:c r="F149" s="10" t="s">
        <x:v>750</x:v>
      </x:c>
    </x:row>
    <x:row r="150" ht="41.400001525878906">
      <x:c r="A150" s="2" t="s">
        <x:v>509</x:v>
      </x:c>
      <x:c r="B150" s="2" t="s">
        <x:v>643</x:v>
      </x:c>
      <x:c r="C150" s="2" t="s">
        <x:v>718</x:v>
      </x:c>
      <x:c r="D150" s="2" t="s">
        <x:v>715</x:v>
      </x:c>
      <x:c r="E150" s="2" t="s">
        <x:v>716</x:v>
      </x:c>
      <x:c r="F150" s="10" t="s">
        <x:v>750</x:v>
      </x:c>
    </x:row>
    <x:row r="151" ht="41.400001525878906">
      <x:c r="A151" s="2" t="s">
        <x:v>509</x:v>
      </x:c>
      <x:c r="B151" s="2" t="s">
        <x:v>661</x:v>
      </x:c>
      <x:c r="C151" s="2" t="s">
        <x:v>718</x:v>
      </x:c>
      <x:c r="D151" s="2" t="s">
        <x:v>715</x:v>
      </x:c>
      <x:c r="E151" s="2" t="s">
        <x:v>716</x:v>
      </x:c>
      <x:c r="F151" s="10" t="s">
        <x:v>750</x:v>
      </x:c>
    </x:row>
    <x:row r="152" ht="41.400001525878906">
      <x:c r="A152" s="2" t="s">
        <x:v>512</x:v>
      </x:c>
      <x:c r="B152" s="2" t="s">
        <x:v>632</x:v>
      </x:c>
      <x:c r="C152" s="2" t="s">
        <x:v>718</x:v>
      </x:c>
      <x:c r="D152" s="2" t="s">
        <x:v>715</x:v>
      </x:c>
      <x:c r="E152" s="2" t="s">
        <x:v>716</x:v>
      </x:c>
      <x:c r="F152" s="10" t="s">
        <x:v>751</x:v>
      </x:c>
    </x:row>
    <x:row r="153" ht="41.400001525878906">
      <x:c r="A153" s="2" t="s">
        <x:v>512</x:v>
      </x:c>
      <x:c r="B153" s="2" t="s">
        <x:v>633</x:v>
      </x:c>
      <x:c r="C153" s="2" t="s">
        <x:v>718</x:v>
      </x:c>
      <x:c r="D153" s="2" t="s">
        <x:v>715</x:v>
      </x:c>
      <x:c r="E153" s="2" t="s">
        <x:v>716</x:v>
      </x:c>
      <x:c r="F153" s="10" t="s">
        <x:v>751</x:v>
      </x:c>
    </x:row>
    <x:row r="154" ht="41.400001525878906">
      <x:c r="A154" s="2" t="s">
        <x:v>512</x:v>
      </x:c>
      <x:c r="B154" s="2" t="s">
        <x:v>642</x:v>
      </x:c>
      <x:c r="C154" s="2" t="s">
        <x:v>718</x:v>
      </x:c>
      <x:c r="D154" s="2" t="s">
        <x:v>730</x:v>
      </x:c>
      <x:c r="E154" s="2" t="s">
        <x:v>716</x:v>
      </x:c>
      <x:c r="F154" s="10" t="s">
        <x:v>751</x:v>
      </x:c>
    </x:row>
    <x:row r="155" ht="41.400001525878906">
      <x:c r="A155" s="2" t="s">
        <x:v>512</x:v>
      </x:c>
      <x:c r="B155" s="2" t="s">
        <x:v>643</x:v>
      </x:c>
      <x:c r="C155" s="2" t="s">
        <x:v>718</x:v>
      </x:c>
      <x:c r="D155" s="2" t="s">
        <x:v>715</x:v>
      </x:c>
      <x:c r="E155" s="2" t="s">
        <x:v>716</x:v>
      </x:c>
      <x:c r="F155" s="10" t="s">
        <x:v>751</x:v>
      </x:c>
    </x:row>
    <x:row r="156" ht="41.400001525878906">
      <x:c r="A156" s="2" t="s">
        <x:v>512</x:v>
      </x:c>
      <x:c r="B156" s="2" t="s">
        <x:v>661</x:v>
      </x:c>
      <x:c r="C156" s="2" t="s">
        <x:v>718</x:v>
      </x:c>
      <x:c r="D156" s="2" t="s">
        <x:v>715</x:v>
      </x:c>
      <x:c r="E156" s="2" t="s">
        <x:v>716</x:v>
      </x:c>
      <x:c r="F156" s="10" t="s">
        <x:v>751</x:v>
      </x:c>
    </x:row>
    <x:row r="157" ht="41.400001525878906">
      <x:c r="A157" s="2" t="s">
        <x:v>515</x:v>
      </x:c>
      <x:c r="B157" s="2" t="s">
        <x:v>633</x:v>
      </x:c>
      <x:c r="C157" s="2" t="s">
        <x:v>718</x:v>
      </x:c>
      <x:c r="D157" s="2" t="s">
        <x:v>715</x:v>
      </x:c>
      <x:c r="E157" s="2" t="s">
        <x:v>716</x:v>
      </x:c>
      <x:c r="F157" s="10" t="s">
        <x:v>752</x:v>
      </x:c>
    </x:row>
    <x:row r="158" ht="41.400001525878906">
      <x:c r="A158" s="2" t="s">
        <x:v>515</x:v>
      </x:c>
      <x:c r="B158" s="2" t="s">
        <x:v>642</x:v>
      </x:c>
      <x:c r="C158" s="2" t="s">
        <x:v>718</x:v>
      </x:c>
      <x:c r="D158" s="2" t="s">
        <x:v>730</x:v>
      </x:c>
      <x:c r="E158" s="2" t="s">
        <x:v>716</x:v>
      </x:c>
      <x:c r="F158" s="10" t="s">
        <x:v>752</x:v>
      </x:c>
    </x:row>
    <x:row r="159" ht="41.400001525878906">
      <x:c r="A159" s="2" t="s">
        <x:v>515</x:v>
      </x:c>
      <x:c r="B159" s="2" t="s">
        <x:v>643</x:v>
      </x:c>
      <x:c r="C159" s="2" t="s">
        <x:v>718</x:v>
      </x:c>
      <x:c r="D159" s="2" t="s">
        <x:v>715</x:v>
      </x:c>
      <x:c r="E159" s="2" t="s">
        <x:v>716</x:v>
      </x:c>
      <x:c r="F159" s="10" t="s">
        <x:v>752</x:v>
      </x:c>
    </x:row>
    <x:row r="160" ht="41.400001525878906">
      <x:c r="A160" s="2" t="s">
        <x:v>515</x:v>
      </x:c>
      <x:c r="B160" s="2" t="s">
        <x:v>661</x:v>
      </x:c>
      <x:c r="C160" s="2" t="s">
        <x:v>718</x:v>
      </x:c>
      <x:c r="D160" s="2" t="s">
        <x:v>715</x:v>
      </x:c>
      <x:c r="E160" s="2" t="s">
        <x:v>716</x:v>
      </x:c>
      <x:c r="F160" s="10" t="s">
        <x:v>752</x:v>
      </x:c>
    </x:row>
    <x:row r="161" ht="41.400001525878906">
      <x:c r="A161" s="2" t="s">
        <x:v>515</x:v>
      </x:c>
      <x:c r="B161" s="2" t="s">
        <x:v>670</x:v>
      </x:c>
      <x:c r="C161" s="2" t="s">
        <x:v>718</x:v>
      </x:c>
      <x:c r="D161" s="2" t="s">
        <x:v>715</x:v>
      </x:c>
      <x:c r="E161" s="2" t="s">
        <x:v>716</x:v>
      </x:c>
      <x:c r="F161" s="10" t="s">
        <x:v>752</x:v>
      </x:c>
    </x:row>
    <x:row r="162" ht="41.400001525878906">
      <x:c r="A162" s="2" t="s">
        <x:v>518</x:v>
      </x:c>
      <x:c r="B162" s="2" t="s">
        <x:v>633</x:v>
      </x:c>
      <x:c r="C162" s="2" t="s">
        <x:v>718</x:v>
      </x:c>
      <x:c r="D162" s="2" t="s">
        <x:v>715</x:v>
      </x:c>
      <x:c r="E162" s="2" t="s">
        <x:v>716</x:v>
      </x:c>
      <x:c r="F162" s="10" t="s">
        <x:v>753</x:v>
      </x:c>
    </x:row>
    <x:row r="163" ht="41.400001525878906">
      <x:c r="A163" s="2" t="s">
        <x:v>518</x:v>
      </x:c>
      <x:c r="B163" s="2" t="s">
        <x:v>642</x:v>
      </x:c>
      <x:c r="C163" s="2" t="s">
        <x:v>718</x:v>
      </x:c>
      <x:c r="D163" s="2" t="s">
        <x:v>715</x:v>
      </x:c>
      <x:c r="E163" s="2" t="s">
        <x:v>716</x:v>
      </x:c>
      <x:c r="F163" s="10" t="s">
        <x:v>753</x:v>
      </x:c>
    </x:row>
    <x:row r="164" ht="41.400001525878906">
      <x:c r="A164" s="2" t="s">
        <x:v>518</x:v>
      </x:c>
      <x:c r="B164" s="2" t="s">
        <x:v>643</x:v>
      </x:c>
      <x:c r="C164" s="2" t="s">
        <x:v>718</x:v>
      </x:c>
      <x:c r="D164" s="2" t="s">
        <x:v>715</x:v>
      </x:c>
      <x:c r="E164" s="2" t="s">
        <x:v>716</x:v>
      </x:c>
      <x:c r="F164" s="10" t="s">
        <x:v>753</x:v>
      </x:c>
    </x:row>
    <x:row r="165" ht="41.400001525878906">
      <x:c r="A165" s="2" t="s">
        <x:v>518</x:v>
      </x:c>
      <x:c r="B165" s="2" t="s">
        <x:v>661</x:v>
      </x:c>
      <x:c r="C165" s="2" t="s">
        <x:v>718</x:v>
      </x:c>
      <x:c r="D165" s="2" t="s">
        <x:v>715</x:v>
      </x:c>
      <x:c r="E165" s="2" t="s">
        <x:v>716</x:v>
      </x:c>
      <x:c r="F165" s="10" t="s">
        <x:v>753</x:v>
      </x:c>
    </x:row>
    <x:row r="166" ht="41.400001525878906">
      <x:c r="A166" s="2" t="s">
        <x:v>518</x:v>
      </x:c>
      <x:c r="B166" s="2" t="s">
        <x:v>670</x:v>
      </x:c>
      <x:c r="C166" s="2" t="s">
        <x:v>718</x:v>
      </x:c>
      <x:c r="D166" s="2" t="s">
        <x:v>715</x:v>
      </x:c>
      <x:c r="E166" s="2" t="s">
        <x:v>716</x:v>
      </x:c>
      <x:c r="F166" s="10" t="s">
        <x:v>753</x:v>
      </x:c>
    </x:row>
    <x:row r="167" ht="41.400001525878906">
      <x:c r="A167" s="2" t="s">
        <x:v>521</x:v>
      </x:c>
      <x:c r="B167" s="2" t="s">
        <x:v>633</x:v>
      </x:c>
      <x:c r="C167" s="2" t="s">
        <x:v>718</x:v>
      </x:c>
      <x:c r="D167" s="2" t="s">
        <x:v>722</x:v>
      </x:c>
      <x:c r="E167" s="2" t="s">
        <x:v>716</x:v>
      </x:c>
      <x:c r="F167" s="10" t="s">
        <x:v>754</x:v>
      </x:c>
    </x:row>
    <x:row r="168" ht="41.400001525878906">
      <x:c r="A168" s="2" t="s">
        <x:v>521</x:v>
      </x:c>
      <x:c r="B168" s="2" t="s">
        <x:v>642</x:v>
      </x:c>
      <x:c r="C168" s="2" t="s">
        <x:v>718</x:v>
      </x:c>
      <x:c r="D168" s="2" t="s">
        <x:v>715</x:v>
      </x:c>
      <x:c r="E168" s="2" t="s">
        <x:v>716</x:v>
      </x:c>
      <x:c r="F168" s="10" t="s">
        <x:v>754</x:v>
      </x:c>
    </x:row>
    <x:row r="169" ht="41.400001525878906">
      <x:c r="A169" s="2" t="s">
        <x:v>521</x:v>
      </x:c>
      <x:c r="B169" s="2" t="s">
        <x:v>643</x:v>
      </x:c>
      <x:c r="C169" s="2" t="s">
        <x:v>718</x:v>
      </x:c>
      <x:c r="D169" s="2" t="s">
        <x:v>715</x:v>
      </x:c>
      <x:c r="E169" s="2" t="s">
        <x:v>716</x:v>
      </x:c>
      <x:c r="F169" s="10" t="s">
        <x:v>754</x:v>
      </x:c>
    </x:row>
    <x:row r="170" ht="41.400001525878906">
      <x:c r="A170" s="2" t="s">
        <x:v>521</x:v>
      </x:c>
      <x:c r="B170" s="2" t="s">
        <x:v>661</x:v>
      </x:c>
      <x:c r="C170" s="2" t="s">
        <x:v>718</x:v>
      </x:c>
      <x:c r="D170" s="2" t="s">
        <x:v>715</x:v>
      </x:c>
      <x:c r="E170" s="2" t="s">
        <x:v>716</x:v>
      </x:c>
      <x:c r="F170" s="10" t="s">
        <x:v>754</x:v>
      </x:c>
    </x:row>
    <x:row r="171" ht="41.400001525878906">
      <x:c r="A171" s="2" t="s">
        <x:v>521</x:v>
      </x:c>
      <x:c r="B171" s="2" t="s">
        <x:v>670</x:v>
      </x:c>
      <x:c r="C171" s="2" t="s">
        <x:v>718</x:v>
      </x:c>
      <x:c r="D171" s="2" t="s">
        <x:v>715</x:v>
      </x:c>
      <x:c r="E171" s="2" t="s">
        <x:v>716</x:v>
      </x:c>
      <x:c r="F171" s="10" t="s">
        <x:v>754</x:v>
      </x:c>
    </x:row>
    <x:row r="172" ht="41.400001525878906">
      <x:c r="A172" s="2" t="s">
        <x:v>524</x:v>
      </x:c>
      <x:c r="B172" s="2" t="s">
        <x:v>633</x:v>
      </x:c>
      <x:c r="C172" s="2" t="s">
        <x:v>718</x:v>
      </x:c>
      <x:c r="D172" s="2" t="s">
        <x:v>715</x:v>
      </x:c>
      <x:c r="E172" s="2" t="s">
        <x:v>716</x:v>
      </x:c>
      <x:c r="F172" s="10" t="s">
        <x:v>755</x:v>
      </x:c>
    </x:row>
    <x:row r="173" ht="41.400001525878906">
      <x:c r="A173" s="2" t="s">
        <x:v>524</x:v>
      </x:c>
      <x:c r="B173" s="2" t="s">
        <x:v>642</x:v>
      </x:c>
      <x:c r="C173" s="2" t="s">
        <x:v>718</x:v>
      </x:c>
      <x:c r="D173" s="2" t="s">
        <x:v>715</x:v>
      </x:c>
      <x:c r="E173" s="2" t="s">
        <x:v>716</x:v>
      </x:c>
      <x:c r="F173" s="10" t="s">
        <x:v>755</x:v>
      </x:c>
    </x:row>
    <x:row r="174" ht="41.400001525878906">
      <x:c r="A174" s="2" t="s">
        <x:v>524</x:v>
      </x:c>
      <x:c r="B174" s="2" t="s">
        <x:v>643</x:v>
      </x:c>
      <x:c r="C174" s="2" t="s">
        <x:v>718</x:v>
      </x:c>
      <x:c r="D174" s="2" t="s">
        <x:v>715</x:v>
      </x:c>
      <x:c r="E174" s="2" t="s">
        <x:v>716</x:v>
      </x:c>
      <x:c r="F174" s="10" t="s">
        <x:v>755</x:v>
      </x:c>
    </x:row>
    <x:row r="175" ht="41.400001525878906">
      <x:c r="A175" s="2" t="s">
        <x:v>524</x:v>
      </x:c>
      <x:c r="B175" s="2" t="s">
        <x:v>661</x:v>
      </x:c>
      <x:c r="C175" s="2" t="s">
        <x:v>718</x:v>
      </x:c>
      <x:c r="D175" s="2" t="s">
        <x:v>715</x:v>
      </x:c>
      <x:c r="E175" s="2" t="s">
        <x:v>716</x:v>
      </x:c>
      <x:c r="F175" s="10" t="s">
        <x:v>755</x:v>
      </x:c>
    </x:row>
    <x:row r="176" ht="41.400001525878906">
      <x:c r="A176" s="2" t="s">
        <x:v>524</x:v>
      </x:c>
      <x:c r="B176" s="2" t="s">
        <x:v>670</x:v>
      </x:c>
      <x:c r="C176" s="2" t="s">
        <x:v>718</x:v>
      </x:c>
      <x:c r="D176" s="2" t="s">
        <x:v>715</x:v>
      </x:c>
      <x:c r="E176" s="2" t="s">
        <x:v>716</x:v>
      </x:c>
      <x:c r="F176" s="10" t="s">
        <x:v>755</x:v>
      </x:c>
    </x:row>
    <x:row r="177" ht="41.400001525878906">
      <x:c r="A177" s="2" t="s">
        <x:v>527</x:v>
      </x:c>
      <x:c r="B177" s="2" t="s">
        <x:v>633</x:v>
      </x:c>
      <x:c r="C177" s="2" t="s">
        <x:v>718</x:v>
      </x:c>
      <x:c r="D177" s="2" t="s">
        <x:v>715</x:v>
      </x:c>
      <x:c r="E177" s="2" t="s">
        <x:v>716</x:v>
      </x:c>
      <x:c r="F177" s="10" t="s">
        <x:v>756</x:v>
      </x:c>
    </x:row>
    <x:row r="178" ht="41.400001525878906">
      <x:c r="A178" s="2" t="s">
        <x:v>527</x:v>
      </x:c>
      <x:c r="B178" s="2" t="s">
        <x:v>642</x:v>
      </x:c>
      <x:c r="C178" s="2" t="s">
        <x:v>718</x:v>
      </x:c>
      <x:c r="D178" s="2" t="s">
        <x:v>715</x:v>
      </x:c>
      <x:c r="E178" s="2" t="s">
        <x:v>716</x:v>
      </x:c>
      <x:c r="F178" s="10" t="s">
        <x:v>756</x:v>
      </x:c>
    </x:row>
    <x:row r="179" ht="41.400001525878906">
      <x:c r="A179" s="2" t="s">
        <x:v>527</x:v>
      </x:c>
      <x:c r="B179" s="2" t="s">
        <x:v>643</x:v>
      </x:c>
      <x:c r="C179" s="2" t="s">
        <x:v>718</x:v>
      </x:c>
      <x:c r="D179" s="2" t="s">
        <x:v>715</x:v>
      </x:c>
      <x:c r="E179" s="2" t="s">
        <x:v>716</x:v>
      </x:c>
      <x:c r="F179" s="10" t="s">
        <x:v>756</x:v>
      </x:c>
    </x:row>
    <x:row r="180" ht="41.400001525878906">
      <x:c r="A180" s="2" t="s">
        <x:v>527</x:v>
      </x:c>
      <x:c r="B180" s="2" t="s">
        <x:v>661</x:v>
      </x:c>
      <x:c r="C180" s="2" t="s">
        <x:v>718</x:v>
      </x:c>
      <x:c r="D180" s="2" t="s">
        <x:v>715</x:v>
      </x:c>
      <x:c r="E180" s="2" t="s">
        <x:v>716</x:v>
      </x:c>
      <x:c r="F180" s="10" t="s">
        <x:v>756</x:v>
      </x:c>
    </x:row>
    <x:row r="181" ht="41.400001525878906">
      <x:c r="A181" s="2" t="s">
        <x:v>527</x:v>
      </x:c>
      <x:c r="B181" s="2" t="s">
        <x:v>670</x:v>
      </x:c>
      <x:c r="C181" s="2" t="s">
        <x:v>718</x:v>
      </x:c>
      <x:c r="D181" s="2" t="s">
        <x:v>715</x:v>
      </x:c>
      <x:c r="E181" s="2" t="s">
        <x:v>716</x:v>
      </x:c>
      <x:c r="F181" s="10" t="s">
        <x:v>756</x:v>
      </x:c>
    </x:row>
    <x:row r="182" ht="41.400001525878906">
      <x:c r="A182" s="2" t="s">
        <x:v>530</x:v>
      </x:c>
      <x:c r="B182" s="2" t="s">
        <x:v>633</x:v>
      </x:c>
      <x:c r="C182" s="2" t="s">
        <x:v>718</x:v>
      </x:c>
      <x:c r="D182" s="2" t="s">
        <x:v>715</x:v>
      </x:c>
      <x:c r="E182" s="2" t="s">
        <x:v>716</x:v>
      </x:c>
      <x:c r="F182" s="10" t="s">
        <x:v>757</x:v>
      </x:c>
    </x:row>
    <x:row r="183" ht="41.400001525878906">
      <x:c r="A183" s="2" t="s">
        <x:v>530</x:v>
      </x:c>
      <x:c r="B183" s="2" t="s">
        <x:v>642</x:v>
      </x:c>
      <x:c r="C183" s="2" t="s">
        <x:v>718</x:v>
      </x:c>
      <x:c r="D183" s="2" t="s">
        <x:v>715</x:v>
      </x:c>
      <x:c r="E183" s="2" t="s">
        <x:v>716</x:v>
      </x:c>
      <x:c r="F183" s="10" t="s">
        <x:v>757</x:v>
      </x:c>
    </x:row>
    <x:row r="184" ht="41.400001525878906">
      <x:c r="A184" s="2" t="s">
        <x:v>530</x:v>
      </x:c>
      <x:c r="B184" s="2" t="s">
        <x:v>643</x:v>
      </x:c>
      <x:c r="C184" s="2" t="s">
        <x:v>718</x:v>
      </x:c>
      <x:c r="D184" s="2" t="s">
        <x:v>715</x:v>
      </x:c>
      <x:c r="E184" s="2" t="s">
        <x:v>716</x:v>
      </x:c>
      <x:c r="F184" s="10" t="s">
        <x:v>757</x:v>
      </x:c>
    </x:row>
    <x:row r="185" ht="41.400001525878906">
      <x:c r="A185" s="2" t="s">
        <x:v>530</x:v>
      </x:c>
      <x:c r="B185" s="2" t="s">
        <x:v>661</x:v>
      </x:c>
      <x:c r="C185" s="2" t="s">
        <x:v>718</x:v>
      </x:c>
      <x:c r="D185" s="2" t="s">
        <x:v>715</x:v>
      </x:c>
      <x:c r="E185" s="2" t="s">
        <x:v>716</x:v>
      </x:c>
      <x:c r="F185" s="10" t="s">
        <x:v>757</x:v>
      </x:c>
    </x:row>
    <x:row r="186" ht="41.400001525878906">
      <x:c r="A186" s="2" t="s">
        <x:v>530</x:v>
      </x:c>
      <x:c r="B186" s="2" t="s">
        <x:v>670</x:v>
      </x:c>
      <x:c r="C186" s="2" t="s">
        <x:v>718</x:v>
      </x:c>
      <x:c r="D186" s="2" t="s">
        <x:v>715</x:v>
      </x:c>
      <x:c r="E186" s="2" t="s">
        <x:v>716</x:v>
      </x:c>
      <x:c r="F186" s="10" t="s">
        <x:v>757</x:v>
      </x:c>
    </x:row>
    <x:row r="187" ht="41.400001525878906">
      <x:c r="A187" s="2" t="s">
        <x:v>533</x:v>
      </x:c>
      <x:c r="B187" s="2" t="s">
        <x:v>633</x:v>
      </x:c>
      <x:c r="C187" s="2" t="s">
        <x:v>718</x:v>
      </x:c>
      <x:c r="D187" s="2" t="s">
        <x:v>715</x:v>
      </x:c>
      <x:c r="E187" s="2" t="s">
        <x:v>716</x:v>
      </x:c>
      <x:c r="F187" s="10" t="s">
        <x:v>758</x:v>
      </x:c>
    </x:row>
    <x:row r="188" ht="41.400001525878906">
      <x:c r="A188" s="2" t="s">
        <x:v>533</x:v>
      </x:c>
      <x:c r="B188" s="2" t="s">
        <x:v>642</x:v>
      </x:c>
      <x:c r="C188" s="2" t="s">
        <x:v>718</x:v>
      </x:c>
      <x:c r="D188" s="2" t="s">
        <x:v>730</x:v>
      </x:c>
      <x:c r="E188" s="2" t="s">
        <x:v>716</x:v>
      </x:c>
      <x:c r="F188" s="10" t="s">
        <x:v>758</x:v>
      </x:c>
    </x:row>
    <x:row r="189" ht="41.400001525878906">
      <x:c r="A189" s="2" t="s">
        <x:v>533</x:v>
      </x:c>
      <x:c r="B189" s="2" t="s">
        <x:v>643</x:v>
      </x:c>
      <x:c r="C189" s="2" t="s">
        <x:v>718</x:v>
      </x:c>
      <x:c r="D189" s="2" t="s">
        <x:v>715</x:v>
      </x:c>
      <x:c r="E189" s="2" t="s">
        <x:v>716</x:v>
      </x:c>
      <x:c r="F189" s="10" t="s">
        <x:v>758</x:v>
      </x:c>
    </x:row>
    <x:row r="190" ht="41.400001525878906">
      <x:c r="A190" s="2" t="s">
        <x:v>533</x:v>
      </x:c>
      <x:c r="B190" s="2" t="s">
        <x:v>661</x:v>
      </x:c>
      <x:c r="C190" s="2" t="s">
        <x:v>718</x:v>
      </x:c>
      <x:c r="D190" s="2" t="s">
        <x:v>715</x:v>
      </x:c>
      <x:c r="E190" s="2" t="s">
        <x:v>716</x:v>
      </x:c>
      <x:c r="F190" s="10" t="s">
        <x:v>758</x:v>
      </x:c>
    </x:row>
    <x:row r="191" ht="41.400001525878906">
      <x:c r="A191" s="2" t="s">
        <x:v>533</x:v>
      </x:c>
      <x:c r="B191" s="2" t="s">
        <x:v>670</x:v>
      </x:c>
      <x:c r="C191" s="2" t="s">
        <x:v>718</x:v>
      </x:c>
      <x:c r="D191" s="2" t="s">
        <x:v>715</x:v>
      </x:c>
      <x:c r="E191" s="2" t="s">
        <x:v>716</x:v>
      </x:c>
      <x:c r="F191" s="10" t="s">
        <x:v>758</x:v>
      </x:c>
    </x:row>
    <x:row r="192" ht="41.400001525878906">
      <x:c r="A192" s="2" t="s">
        <x:v>536</x:v>
      </x:c>
      <x:c r="B192" s="2" t="s">
        <x:v>633</x:v>
      </x:c>
      <x:c r="C192" s="2" t="s">
        <x:v>718</x:v>
      </x:c>
      <x:c r="D192" s="2" t="s">
        <x:v>715</x:v>
      </x:c>
      <x:c r="E192" s="2" t="s">
        <x:v>716</x:v>
      </x:c>
      <x:c r="F192" s="10" t="s">
        <x:v>759</x:v>
      </x:c>
    </x:row>
    <x:row r="193" ht="41.400001525878906">
      <x:c r="A193" s="2" t="s">
        <x:v>536</x:v>
      </x:c>
      <x:c r="B193" s="2" t="s">
        <x:v>642</x:v>
      </x:c>
      <x:c r="C193" s="2" t="s">
        <x:v>718</x:v>
      </x:c>
      <x:c r="D193" s="2" t="s">
        <x:v>730</x:v>
      </x:c>
      <x:c r="E193" s="2" t="s">
        <x:v>716</x:v>
      </x:c>
      <x:c r="F193" s="10" t="s">
        <x:v>759</x:v>
      </x:c>
    </x:row>
    <x:row r="194" ht="41.400001525878906">
      <x:c r="A194" s="2" t="s">
        <x:v>536</x:v>
      </x:c>
      <x:c r="B194" s="2" t="s">
        <x:v>643</x:v>
      </x:c>
      <x:c r="C194" s="2" t="s">
        <x:v>718</x:v>
      </x:c>
      <x:c r="D194" s="2" t="s">
        <x:v>715</x:v>
      </x:c>
      <x:c r="E194" s="2" t="s">
        <x:v>716</x:v>
      </x:c>
      <x:c r="F194" s="10" t="s">
        <x:v>759</x:v>
      </x:c>
    </x:row>
    <x:row r="195" ht="41.400001525878906">
      <x:c r="A195" s="2" t="s">
        <x:v>536</x:v>
      </x:c>
      <x:c r="B195" s="2" t="s">
        <x:v>661</x:v>
      </x:c>
      <x:c r="C195" s="2" t="s">
        <x:v>718</x:v>
      </x:c>
      <x:c r="D195" s="2" t="s">
        <x:v>715</x:v>
      </x:c>
      <x:c r="E195" s="2" t="s">
        <x:v>716</x:v>
      </x:c>
      <x:c r="F195" s="10" t="s">
        <x:v>759</x:v>
      </x:c>
    </x:row>
    <x:row r="196" ht="41.400001525878906">
      <x:c r="A196" s="2" t="s">
        <x:v>536</x:v>
      </x:c>
      <x:c r="B196" s="2" t="s">
        <x:v>670</x:v>
      </x:c>
      <x:c r="C196" s="2" t="s">
        <x:v>718</x:v>
      </x:c>
      <x:c r="D196" s="2" t="s">
        <x:v>715</x:v>
      </x:c>
      <x:c r="E196" s="2" t="s">
        <x:v>716</x:v>
      </x:c>
      <x:c r="F196" s="10" t="s">
        <x:v>759</x:v>
      </x:c>
    </x:row>
    <x:row r="197" ht="41.400001525878906">
      <x:c r="A197" s="2" t="s">
        <x:v>539</x:v>
      </x:c>
      <x:c r="B197" s="2" t="s">
        <x:v>633</x:v>
      </x:c>
      <x:c r="C197" s="2" t="s">
        <x:v>718</x:v>
      </x:c>
      <x:c r="D197" s="2" t="s">
        <x:v>715</x:v>
      </x:c>
      <x:c r="E197" s="2" t="s">
        <x:v>716</x:v>
      </x:c>
      <x:c r="F197" s="10" t="s">
        <x:v>760</x:v>
      </x:c>
    </x:row>
    <x:row r="198" ht="41.400001525878906">
      <x:c r="A198" s="2" t="s">
        <x:v>539</x:v>
      </x:c>
      <x:c r="B198" s="2" t="s">
        <x:v>643</x:v>
      </x:c>
      <x:c r="C198" s="2" t="s">
        <x:v>718</x:v>
      </x:c>
      <x:c r="D198" s="2" t="s">
        <x:v>715</x:v>
      </x:c>
      <x:c r="E198" s="2" t="s">
        <x:v>716</x:v>
      </x:c>
      <x:c r="F198" s="10" t="s">
        <x:v>760</x:v>
      </x:c>
    </x:row>
    <x:row r="199" ht="41.400001525878906">
      <x:c r="A199" s="2" t="s">
        <x:v>539</x:v>
      </x:c>
      <x:c r="B199" s="2" t="s">
        <x:v>661</x:v>
      </x:c>
      <x:c r="C199" s="2" t="s">
        <x:v>718</x:v>
      </x:c>
      <x:c r="D199" s="2" t="s">
        <x:v>715</x:v>
      </x:c>
      <x:c r="E199" s="2" t="s">
        <x:v>716</x:v>
      </x:c>
      <x:c r="F199" s="10" t="s">
        <x:v>760</x:v>
      </x:c>
    </x:row>
    <x:row r="200" ht="41.400001525878906">
      <x:c r="A200" s="2" t="s">
        <x:v>539</x:v>
      </x:c>
      <x:c r="B200" s="2" t="s">
        <x:v>670</x:v>
      </x:c>
      <x:c r="C200" s="2" t="s">
        <x:v>718</x:v>
      </x:c>
      <x:c r="D200" s="2" t="s">
        <x:v>715</x:v>
      </x:c>
      <x:c r="E200" s="2" t="s">
        <x:v>716</x:v>
      </x:c>
      <x:c r="F200" s="10" t="s">
        <x:v>760</x:v>
      </x:c>
    </x:row>
    <x:row r="201" ht="41.400001525878906">
      <x:c r="A201" s="2" t="s">
        <x:v>539</x:v>
      </x:c>
      <x:c r="B201" s="2" t="s">
        <x:v>679</x:v>
      </x:c>
      <x:c r="C201" s="2" t="s">
        <x:v>718</x:v>
      </x:c>
      <x:c r="D201" s="2" t="s">
        <x:v>715</x:v>
      </x:c>
      <x:c r="E201" s="2" t="s">
        <x:v>716</x:v>
      </x:c>
      <x:c r="F201" s="10" t="s">
        <x:v>760</x:v>
      </x:c>
    </x:row>
    <x:row r="202" ht="41.400001525878906">
      <x:c r="A202" s="2" t="s">
        <x:v>542</x:v>
      </x:c>
      <x:c r="B202" s="2" t="s">
        <x:v>633</x:v>
      </x:c>
      <x:c r="C202" s="2" t="s">
        <x:v>718</x:v>
      </x:c>
      <x:c r="D202" s="2" t="s">
        <x:v>715</x:v>
      </x:c>
      <x:c r="E202" s="2" t="s">
        <x:v>716</x:v>
      </x:c>
      <x:c r="F202" s="10" t="s">
        <x:v>761</x:v>
      </x:c>
    </x:row>
    <x:row r="203" ht="41.400001525878906">
      <x:c r="A203" s="2" t="s">
        <x:v>542</x:v>
      </x:c>
      <x:c r="B203" s="2" t="s">
        <x:v>643</x:v>
      </x:c>
      <x:c r="C203" s="2" t="s">
        <x:v>718</x:v>
      </x:c>
      <x:c r="D203" s="2" t="s">
        <x:v>715</x:v>
      </x:c>
      <x:c r="E203" s="2" t="s">
        <x:v>716</x:v>
      </x:c>
      <x:c r="F203" s="10" t="s">
        <x:v>761</x:v>
      </x:c>
    </x:row>
    <x:row r="204" ht="41.400001525878906">
      <x:c r="A204" s="2" t="s">
        <x:v>542</x:v>
      </x:c>
      <x:c r="B204" s="2" t="s">
        <x:v>661</x:v>
      </x:c>
      <x:c r="C204" s="2" t="s">
        <x:v>718</x:v>
      </x:c>
      <x:c r="D204" s="2" t="s">
        <x:v>715</x:v>
      </x:c>
      <x:c r="E204" s="2" t="s">
        <x:v>716</x:v>
      </x:c>
      <x:c r="F204" s="10" t="s">
        <x:v>761</x:v>
      </x:c>
    </x:row>
    <x:row r="205" ht="41.400001525878906">
      <x:c r="A205" s="2" t="s">
        <x:v>542</x:v>
      </x:c>
      <x:c r="B205" s="2" t="s">
        <x:v>670</x:v>
      </x:c>
      <x:c r="C205" s="2" t="s">
        <x:v>718</x:v>
      </x:c>
      <x:c r="D205" s="2" t="s">
        <x:v>715</x:v>
      </x:c>
      <x:c r="E205" s="2" t="s">
        <x:v>716</x:v>
      </x:c>
      <x:c r="F205" s="10" t="s">
        <x:v>761</x:v>
      </x:c>
    </x:row>
    <x:row r="206" ht="41.400001525878906">
      <x:c r="A206" s="2" t="s">
        <x:v>542</x:v>
      </x:c>
      <x:c r="B206" s="2" t="s">
        <x:v>679</x:v>
      </x:c>
      <x:c r="C206" s="2" t="s">
        <x:v>718</x:v>
      </x:c>
      <x:c r="D206" s="2" t="s">
        <x:v>715</x:v>
      </x:c>
      <x:c r="E206" s="2" t="s">
        <x:v>716</x:v>
      </x:c>
      <x:c r="F206" s="10" t="s">
        <x:v>761</x:v>
      </x:c>
    </x:row>
    <x:row r="207" ht="41.400001525878906">
      <x:c r="A207" s="2" t="s">
        <x:v>545</x:v>
      </x:c>
      <x:c r="B207" s="2" t="s">
        <x:v>633</x:v>
      </x:c>
      <x:c r="C207" s="2" t="s">
        <x:v>714</x:v>
      </x:c>
      <x:c r="D207" s="2" t="s">
        <x:v>715</x:v>
      </x:c>
      <x:c r="E207" s="2" t="s">
        <x:v>716</x:v>
      </x:c>
      <x:c r="F207" s="10" t="s">
        <x:v>762</x:v>
      </x:c>
    </x:row>
    <x:row r="208" ht="41.400001525878906">
      <x:c r="A208" s="2" t="s">
        <x:v>545</x:v>
      </x:c>
      <x:c r="B208" s="2" t="s">
        <x:v>643</x:v>
      </x:c>
      <x:c r="C208" s="2" t="s">
        <x:v>714</x:v>
      </x:c>
      <x:c r="D208" s="2" t="s">
        <x:v>715</x:v>
      </x:c>
      <x:c r="E208" s="2" t="s">
        <x:v>716</x:v>
      </x:c>
      <x:c r="F208" s="10" t="s">
        <x:v>762</x:v>
      </x:c>
    </x:row>
    <x:row r="209" ht="41.400001525878906">
      <x:c r="A209" s="2" t="s">
        <x:v>545</x:v>
      </x:c>
      <x:c r="B209" s="2" t="s">
        <x:v>661</x:v>
      </x:c>
      <x:c r="C209" s="2" t="s">
        <x:v>714</x:v>
      </x:c>
      <x:c r="D209" s="2" t="s">
        <x:v>715</x:v>
      </x:c>
      <x:c r="E209" s="2" t="s">
        <x:v>716</x:v>
      </x:c>
      <x:c r="F209" s="10" t="s">
        <x:v>762</x:v>
      </x:c>
    </x:row>
    <x:row r="210" ht="41.400001525878906">
      <x:c r="A210" s="2" t="s">
        <x:v>545</x:v>
      </x:c>
      <x:c r="B210" s="2" t="s">
        <x:v>670</x:v>
      </x:c>
      <x:c r="C210" s="2" t="s">
        <x:v>714</x:v>
      </x:c>
      <x:c r="D210" s="2" t="s">
        <x:v>715</x:v>
      </x:c>
      <x:c r="E210" s="2" t="s">
        <x:v>716</x:v>
      </x:c>
      <x:c r="F210" s="10" t="s">
        <x:v>762</x:v>
      </x:c>
    </x:row>
    <x:row r="211" ht="41.400001525878906">
      <x:c r="A211" s="2" t="s">
        <x:v>545</x:v>
      </x:c>
      <x:c r="B211" s="2" t="s">
        <x:v>679</x:v>
      </x:c>
      <x:c r="C211" s="2" t="s">
        <x:v>714</x:v>
      </x:c>
      <x:c r="D211" s="2" t="s">
        <x:v>715</x:v>
      </x:c>
      <x:c r="E211" s="2" t="s">
        <x:v>716</x:v>
      </x:c>
      <x:c r="F211" s="10" t="s">
        <x:v>762</x:v>
      </x:c>
    </x:row>
    <x:row r="212" ht="41.400001525878906">
      <x:c r="A212" s="2" t="s">
        <x:v>548</x:v>
      </x:c>
      <x:c r="B212" s="2" t="s">
        <x:v>633</x:v>
      </x:c>
      <x:c r="C212" s="2" t="s">
        <x:v>714</x:v>
      </x:c>
      <x:c r="D212" s="2" t="s">
        <x:v>715</x:v>
      </x:c>
      <x:c r="E212" s="2" t="s">
        <x:v>716</x:v>
      </x:c>
      <x:c r="F212" s="10" t="s">
        <x:v>763</x:v>
      </x:c>
    </x:row>
    <x:row r="213" ht="41.400001525878906">
      <x:c r="A213" s="2" t="s">
        <x:v>548</x:v>
      </x:c>
      <x:c r="B213" s="2" t="s">
        <x:v>643</x:v>
      </x:c>
      <x:c r="C213" s="2" t="s">
        <x:v>714</x:v>
      </x:c>
      <x:c r="D213" s="2" t="s">
        <x:v>715</x:v>
      </x:c>
      <x:c r="E213" s="2" t="s">
        <x:v>716</x:v>
      </x:c>
      <x:c r="F213" s="10" t="s">
        <x:v>763</x:v>
      </x:c>
    </x:row>
    <x:row r="214" ht="41.400001525878906">
      <x:c r="A214" s="2" t="s">
        <x:v>548</x:v>
      </x:c>
      <x:c r="B214" s="2" t="s">
        <x:v>661</x:v>
      </x:c>
      <x:c r="C214" s="2" t="s">
        <x:v>714</x:v>
      </x:c>
      <x:c r="D214" s="2" t="s">
        <x:v>715</x:v>
      </x:c>
      <x:c r="E214" s="2" t="s">
        <x:v>716</x:v>
      </x:c>
      <x:c r="F214" s="10" t="s">
        <x:v>763</x:v>
      </x:c>
    </x:row>
    <x:row r="215" ht="41.400001525878906">
      <x:c r="A215" s="2" t="s">
        <x:v>548</x:v>
      </x:c>
      <x:c r="B215" s="2" t="s">
        <x:v>670</x:v>
      </x:c>
      <x:c r="C215" s="2" t="s">
        <x:v>714</x:v>
      </x:c>
      <x:c r="D215" s="2" t="s">
        <x:v>715</x:v>
      </x:c>
      <x:c r="E215" s="2" t="s">
        <x:v>716</x:v>
      </x:c>
      <x:c r="F215" s="10" t="s">
        <x:v>763</x:v>
      </x:c>
    </x:row>
    <x:row r="216" ht="41.400001525878906">
      <x:c r="A216" s="2" t="s">
        <x:v>548</x:v>
      </x:c>
      <x:c r="B216" s="2" t="s">
        <x:v>679</x:v>
      </x:c>
      <x:c r="C216" s="2" t="s">
        <x:v>714</x:v>
      </x:c>
      <x:c r="D216" s="2" t="s">
        <x:v>715</x:v>
      </x:c>
      <x:c r="E216" s="2" t="s">
        <x:v>716</x:v>
      </x:c>
      <x:c r="F216" s="10" t="s">
        <x:v>763</x:v>
      </x:c>
    </x:row>
    <x:row r="217" ht="41.400001525878906">
      <x:c r="A217" s="2" t="s">
        <x:v>551</x:v>
      </x:c>
      <x:c r="B217" s="2" t="s">
        <x:v>633</x:v>
      </x:c>
      <x:c r="C217" s="2" t="s">
        <x:v>714</x:v>
      </x:c>
      <x:c r="D217" s="2" t="s">
        <x:v>715</x:v>
      </x:c>
      <x:c r="E217" s="2" t="s">
        <x:v>716</x:v>
      </x:c>
      <x:c r="F217" s="10" t="s">
        <x:v>764</x:v>
      </x:c>
    </x:row>
    <x:row r="218" ht="41.400001525878906">
      <x:c r="A218" s="2" t="s">
        <x:v>551</x:v>
      </x:c>
      <x:c r="B218" s="2" t="s">
        <x:v>643</x:v>
      </x:c>
      <x:c r="C218" s="2" t="s">
        <x:v>714</x:v>
      </x:c>
      <x:c r="D218" s="2" t="s">
        <x:v>715</x:v>
      </x:c>
      <x:c r="E218" s="2" t="s">
        <x:v>716</x:v>
      </x:c>
      <x:c r="F218" s="10" t="s">
        <x:v>764</x:v>
      </x:c>
    </x:row>
    <x:row r="219" ht="41.400001525878906">
      <x:c r="A219" s="2" t="s">
        <x:v>551</x:v>
      </x:c>
      <x:c r="B219" s="2" t="s">
        <x:v>661</x:v>
      </x:c>
      <x:c r="C219" s="2" t="s">
        <x:v>714</x:v>
      </x:c>
      <x:c r="D219" s="2" t="s">
        <x:v>715</x:v>
      </x:c>
      <x:c r="E219" s="2" t="s">
        <x:v>716</x:v>
      </x:c>
      <x:c r="F219" s="10" t="s">
        <x:v>764</x:v>
      </x:c>
    </x:row>
    <x:row r="220" ht="41.400001525878906">
      <x:c r="A220" s="2" t="s">
        <x:v>551</x:v>
      </x:c>
      <x:c r="B220" s="2" t="s">
        <x:v>670</x:v>
      </x:c>
      <x:c r="C220" s="2" t="s">
        <x:v>714</x:v>
      </x:c>
      <x:c r="D220" s="2" t="s">
        <x:v>715</x:v>
      </x:c>
      <x:c r="E220" s="2" t="s">
        <x:v>716</x:v>
      </x:c>
      <x:c r="F220" s="10" t="s">
        <x:v>764</x:v>
      </x:c>
    </x:row>
    <x:row r="221" ht="41.400001525878906">
      <x:c r="A221" s="2" t="s">
        <x:v>551</x:v>
      </x:c>
      <x:c r="B221" s="2" t="s">
        <x:v>679</x:v>
      </x:c>
      <x:c r="C221" s="2" t="s">
        <x:v>714</x:v>
      </x:c>
      <x:c r="D221" s="2" t="s">
        <x:v>715</x:v>
      </x:c>
      <x:c r="E221" s="2" t="s">
        <x:v>716</x:v>
      </x:c>
      <x:c r="F221" s="10" t="s">
        <x:v>764</x:v>
      </x:c>
    </x:row>
    <x:row r="222" ht="41.400001525878906">
      <x:c r="A222" s="2" t="s">
        <x:v>554</x:v>
      </x:c>
      <x:c r="B222" s="2" t="s">
        <x:v>633</x:v>
      </x:c>
      <x:c r="C222" s="2" t="s">
        <x:v>714</x:v>
      </x:c>
      <x:c r="D222" s="2" t="s">
        <x:v>715</x:v>
      </x:c>
      <x:c r="E222" s="2" t="s">
        <x:v>716</x:v>
      </x:c>
      <x:c r="F222" s="10" t="s">
        <x:v>765</x:v>
      </x:c>
    </x:row>
    <x:row r="223" ht="41.400001525878906">
      <x:c r="A223" s="2" t="s">
        <x:v>554</x:v>
      </x:c>
      <x:c r="B223" s="2" t="s">
        <x:v>643</x:v>
      </x:c>
      <x:c r="C223" s="2" t="s">
        <x:v>714</x:v>
      </x:c>
      <x:c r="D223" s="2" t="s">
        <x:v>715</x:v>
      </x:c>
      <x:c r="E223" s="2" t="s">
        <x:v>716</x:v>
      </x:c>
      <x:c r="F223" s="10" t="s">
        <x:v>765</x:v>
      </x:c>
    </x:row>
    <x:row r="224" ht="41.400001525878906">
      <x:c r="A224" s="2" t="s">
        <x:v>554</x:v>
      </x:c>
      <x:c r="B224" s="2" t="s">
        <x:v>661</x:v>
      </x:c>
      <x:c r="C224" s="2" t="s">
        <x:v>714</x:v>
      </x:c>
      <x:c r="D224" s="2" t="s">
        <x:v>715</x:v>
      </x:c>
      <x:c r="E224" s="2" t="s">
        <x:v>716</x:v>
      </x:c>
      <x:c r="F224" s="10" t="s">
        <x:v>765</x:v>
      </x:c>
    </x:row>
    <x:row r="225" ht="41.400001525878906">
      <x:c r="A225" s="2" t="s">
        <x:v>554</x:v>
      </x:c>
      <x:c r="B225" s="2" t="s">
        <x:v>670</x:v>
      </x:c>
      <x:c r="C225" s="2" t="s">
        <x:v>714</x:v>
      </x:c>
      <x:c r="D225" s="2" t="s">
        <x:v>715</x:v>
      </x:c>
      <x:c r="E225" s="2" t="s">
        <x:v>716</x:v>
      </x:c>
      <x:c r="F225" s="10" t="s">
        <x:v>765</x:v>
      </x:c>
    </x:row>
    <x:row r="226" ht="41.400001525878906">
      <x:c r="A226" s="2" t="s">
        <x:v>554</x:v>
      </x:c>
      <x:c r="B226" s="2" t="s">
        <x:v>679</x:v>
      </x:c>
      <x:c r="C226" s="2" t="s">
        <x:v>714</x:v>
      </x:c>
      <x:c r="D226" s="2" t="s">
        <x:v>715</x:v>
      </x:c>
      <x:c r="E226" s="2" t="s">
        <x:v>716</x:v>
      </x:c>
      <x:c r="F226" s="10" t="s">
        <x:v>765</x:v>
      </x:c>
    </x:row>
    <x:row r="227" ht="41.400001525878906">
      <x:c r="A227" s="2" t="s">
        <x:v>557</x:v>
      </x:c>
      <x:c r="B227" s="2" t="s">
        <x:v>633</x:v>
      </x:c>
      <x:c r="C227" s="2" t="s">
        <x:v>714</x:v>
      </x:c>
      <x:c r="D227" s="2" t="s">
        <x:v>715</x:v>
      </x:c>
      <x:c r="E227" s="2" t="s">
        <x:v>716</x:v>
      </x:c>
      <x:c r="F227" s="10" t="s">
        <x:v>766</x:v>
      </x:c>
    </x:row>
    <x:row r="228" ht="41.400001525878906">
      <x:c r="A228" s="2" t="s">
        <x:v>557</x:v>
      </x:c>
      <x:c r="B228" s="2" t="s">
        <x:v>643</x:v>
      </x:c>
      <x:c r="C228" s="2" t="s">
        <x:v>714</x:v>
      </x:c>
      <x:c r="D228" s="2" t="s">
        <x:v>715</x:v>
      </x:c>
      <x:c r="E228" s="2" t="s">
        <x:v>716</x:v>
      </x:c>
      <x:c r="F228" s="10" t="s">
        <x:v>766</x:v>
      </x:c>
    </x:row>
    <x:row r="229" ht="41.400001525878906">
      <x:c r="A229" s="2" t="s">
        <x:v>557</x:v>
      </x:c>
      <x:c r="B229" s="2" t="s">
        <x:v>661</x:v>
      </x:c>
      <x:c r="C229" s="2" t="s">
        <x:v>714</x:v>
      </x:c>
      <x:c r="D229" s="2" t="s">
        <x:v>715</x:v>
      </x:c>
      <x:c r="E229" s="2" t="s">
        <x:v>716</x:v>
      </x:c>
      <x:c r="F229" s="10" t="s">
        <x:v>766</x:v>
      </x:c>
    </x:row>
    <x:row r="230" ht="41.400001525878906">
      <x:c r="A230" s="2" t="s">
        <x:v>557</x:v>
      </x:c>
      <x:c r="B230" s="2" t="s">
        <x:v>670</x:v>
      </x:c>
      <x:c r="C230" s="2" t="s">
        <x:v>714</x:v>
      </x:c>
      <x:c r="D230" s="2" t="s">
        <x:v>715</x:v>
      </x:c>
      <x:c r="E230" s="2" t="s">
        <x:v>716</x:v>
      </x:c>
      <x:c r="F230" s="10" t="s">
        <x:v>766</x:v>
      </x:c>
    </x:row>
    <x:row r="231" ht="41.400001525878906">
      <x:c r="A231" s="2" t="s">
        <x:v>557</x:v>
      </x:c>
      <x:c r="B231" s="2" t="s">
        <x:v>679</x:v>
      </x:c>
      <x:c r="C231" s="2" t="s">
        <x:v>714</x:v>
      </x:c>
      <x:c r="D231" s="2" t="s">
        <x:v>715</x:v>
      </x:c>
      <x:c r="E231" s="2" t="s">
        <x:v>716</x:v>
      </x:c>
      <x:c r="F231" s="10" t="s">
        <x:v>766</x:v>
      </x:c>
    </x:row>
    <x:row r="232" ht="41.400001525878906">
      <x:c r="A232" s="2" t="s">
        <x:v>560</x:v>
      </x:c>
      <x:c r="B232" s="2" t="s">
        <x:v>633</x:v>
      </x:c>
      <x:c r="C232" s="2" t="s">
        <x:v>714</x:v>
      </x:c>
      <x:c r="D232" s="2" t="s">
        <x:v>715</x:v>
      </x:c>
      <x:c r="E232" s="2" t="s">
        <x:v>716</x:v>
      </x:c>
      <x:c r="F232" s="10" t="s">
        <x:v>767</x:v>
      </x:c>
    </x:row>
    <x:row r="233" ht="41.400001525878906">
      <x:c r="A233" s="2" t="s">
        <x:v>560</x:v>
      </x:c>
      <x:c r="B233" s="2" t="s">
        <x:v>643</x:v>
      </x:c>
      <x:c r="C233" s="2" t="s">
        <x:v>714</x:v>
      </x:c>
      <x:c r="D233" s="2" t="s">
        <x:v>715</x:v>
      </x:c>
      <x:c r="E233" s="2" t="s">
        <x:v>716</x:v>
      </x:c>
      <x:c r="F233" s="10" t="s">
        <x:v>767</x:v>
      </x:c>
    </x:row>
    <x:row r="234" ht="41.400001525878906">
      <x:c r="A234" s="2" t="s">
        <x:v>560</x:v>
      </x:c>
      <x:c r="B234" s="2" t="s">
        <x:v>661</x:v>
      </x:c>
      <x:c r="C234" s="2" t="s">
        <x:v>714</x:v>
      </x:c>
      <x:c r="D234" s="2" t="s">
        <x:v>715</x:v>
      </x:c>
      <x:c r="E234" s="2" t="s">
        <x:v>716</x:v>
      </x:c>
      <x:c r="F234" s="10" t="s">
        <x:v>767</x:v>
      </x:c>
    </x:row>
    <x:row r="235" ht="41.400001525878906">
      <x:c r="A235" s="2" t="s">
        <x:v>560</x:v>
      </x:c>
      <x:c r="B235" s="2" t="s">
        <x:v>670</x:v>
      </x:c>
      <x:c r="C235" s="2" t="s">
        <x:v>714</x:v>
      </x:c>
      <x:c r="D235" s="2" t="s">
        <x:v>715</x:v>
      </x:c>
      <x:c r="E235" s="2" t="s">
        <x:v>716</x:v>
      </x:c>
      <x:c r="F235" s="10" t="s">
        <x:v>767</x:v>
      </x:c>
    </x:row>
    <x:row r="236" ht="41.400001525878906">
      <x:c r="A236" s="2" t="s">
        <x:v>560</x:v>
      </x:c>
      <x:c r="B236" s="2" t="s">
        <x:v>679</x:v>
      </x:c>
      <x:c r="C236" s="2" t="s">
        <x:v>714</x:v>
      </x:c>
      <x:c r="D236" s="2" t="s">
        <x:v>715</x:v>
      </x:c>
      <x:c r="E236" s="2" t="s">
        <x:v>716</x:v>
      </x:c>
      <x:c r="F236" s="10" t="s">
        <x:v>767</x:v>
      </x:c>
    </x:row>
    <x:row r="237" ht="41.400001525878906">
      <x:c r="A237" s="2" t="s">
        <x:v>563</x:v>
      </x:c>
      <x:c r="B237" s="2" t="s">
        <x:v>633</x:v>
      </x:c>
      <x:c r="C237" s="2" t="s">
        <x:v>714</x:v>
      </x:c>
      <x:c r="D237" s="2" t="s">
        <x:v>715</x:v>
      </x:c>
      <x:c r="E237" s="2" t="s">
        <x:v>716</x:v>
      </x:c>
      <x:c r="F237" s="10" t="s">
        <x:v>768</x:v>
      </x:c>
    </x:row>
    <x:row r="238" ht="41.400001525878906">
      <x:c r="A238" s="2" t="s">
        <x:v>563</x:v>
      </x:c>
      <x:c r="B238" s="2" t="s">
        <x:v>643</x:v>
      </x:c>
      <x:c r="C238" s="2" t="s">
        <x:v>714</x:v>
      </x:c>
      <x:c r="D238" s="2" t="s">
        <x:v>715</x:v>
      </x:c>
      <x:c r="E238" s="2" t="s">
        <x:v>716</x:v>
      </x:c>
      <x:c r="F238" s="10" t="s">
        <x:v>768</x:v>
      </x:c>
    </x:row>
    <x:row r="239" ht="41.400001525878906">
      <x:c r="A239" s="2" t="s">
        <x:v>563</x:v>
      </x:c>
      <x:c r="B239" s="2" t="s">
        <x:v>661</x:v>
      </x:c>
      <x:c r="C239" s="2" t="s">
        <x:v>714</x:v>
      </x:c>
      <x:c r="D239" s="2" t="s">
        <x:v>715</x:v>
      </x:c>
      <x:c r="E239" s="2" t="s">
        <x:v>716</x:v>
      </x:c>
      <x:c r="F239" s="10" t="s">
        <x:v>768</x:v>
      </x:c>
    </x:row>
    <x:row r="240" ht="41.400001525878906">
      <x:c r="A240" s="2" t="s">
        <x:v>563</x:v>
      </x:c>
      <x:c r="B240" s="2" t="s">
        <x:v>670</x:v>
      </x:c>
      <x:c r="C240" s="2" t="s">
        <x:v>714</x:v>
      </x:c>
      <x:c r="D240" s="2" t="s">
        <x:v>715</x:v>
      </x:c>
      <x:c r="E240" s="2" t="s">
        <x:v>716</x:v>
      </x:c>
      <x:c r="F240" s="10" t="s">
        <x:v>768</x:v>
      </x:c>
    </x:row>
    <x:row r="241" ht="41.400001525878906">
      <x:c r="A241" s="2" t="s">
        <x:v>563</x:v>
      </x:c>
      <x:c r="B241" s="2" t="s">
        <x:v>679</x:v>
      </x:c>
      <x:c r="C241" s="2" t="s">
        <x:v>714</x:v>
      </x:c>
      <x:c r="D241" s="2" t="s">
        <x:v>715</x:v>
      </x:c>
      <x:c r="E241" s="2" t="s">
        <x:v>716</x:v>
      </x:c>
      <x:c r="F241" s="10" t="s">
        <x:v>768</x:v>
      </x:c>
    </x:row>
    <x:row r="242" ht="41.400001525878906">
      <x:c r="A242" s="2" t="s">
        <x:v>566</x:v>
      </x:c>
      <x:c r="B242" s="2" t="s">
        <x:v>633</x:v>
      </x:c>
      <x:c r="C242" s="2" t="s">
        <x:v>714</x:v>
      </x:c>
      <x:c r="D242" s="2" t="s">
        <x:v>722</x:v>
      </x:c>
      <x:c r="E242" s="2" t="s">
        <x:v>716</x:v>
      </x:c>
      <x:c r="F242" s="10" t="s">
        <x:v>769</x:v>
      </x:c>
    </x:row>
    <x:row r="243" ht="41.400001525878906">
      <x:c r="A243" s="2" t="s">
        <x:v>566</x:v>
      </x:c>
      <x:c r="B243" s="2" t="s">
        <x:v>643</x:v>
      </x:c>
      <x:c r="C243" s="2" t="s">
        <x:v>729</x:v>
      </x:c>
      <x:c r="D243" s="2" t="s">
        <x:v>715</x:v>
      </x:c>
      <x:c r="E243" s="2" t="s">
        <x:v>716</x:v>
      </x:c>
      <x:c r="F243" s="10" t="s">
        <x:v>769</x:v>
      </x:c>
    </x:row>
    <x:row r="244" ht="41.400001525878906">
      <x:c r="A244" s="2" t="s">
        <x:v>566</x:v>
      </x:c>
      <x:c r="B244" s="2" t="s">
        <x:v>661</x:v>
      </x:c>
      <x:c r="C244" s="2" t="s">
        <x:v>729</x:v>
      </x:c>
      <x:c r="D244" s="2" t="s">
        <x:v>715</x:v>
      </x:c>
      <x:c r="E244" s="2" t="s">
        <x:v>716</x:v>
      </x:c>
      <x:c r="F244" s="10" t="s">
        <x:v>769</x:v>
      </x:c>
    </x:row>
    <x:row r="245" ht="41.400001525878906">
      <x:c r="A245" s="2" t="s">
        <x:v>566</x:v>
      </x:c>
      <x:c r="B245" s="2" t="s">
        <x:v>670</x:v>
      </x:c>
      <x:c r="C245" s="2" t="s">
        <x:v>729</x:v>
      </x:c>
      <x:c r="D245" s="2" t="s">
        <x:v>715</x:v>
      </x:c>
      <x:c r="E245" s="2" t="s">
        <x:v>716</x:v>
      </x:c>
      <x:c r="F245" s="10" t="s">
        <x:v>769</x:v>
      </x:c>
    </x:row>
    <x:row r="246" ht="41.400001525878906">
      <x:c r="A246" s="2" t="s">
        <x:v>566</x:v>
      </x:c>
      <x:c r="B246" s="2" t="s">
        <x:v>679</x:v>
      </x:c>
      <x:c r="C246" s="2" t="s">
        <x:v>729</x:v>
      </x:c>
      <x:c r="D246" s="2" t="s">
        <x:v>715</x:v>
      </x:c>
      <x:c r="E246" s="2" t="s">
        <x:v>716</x:v>
      </x:c>
      <x:c r="F246" s="10" t="s">
        <x:v>769</x:v>
      </x:c>
    </x:row>
    <x:row r="247" ht="41.400001525878906">
      <x:c r="A247" s="2" t="s">
        <x:v>569</x:v>
      </x:c>
      <x:c r="B247" s="2" t="s">
        <x:v>633</x:v>
      </x:c>
      <x:c r="C247" s="2" t="s">
        <x:v>714</x:v>
      </x:c>
      <x:c r="D247" s="2" t="s">
        <x:v>715</x:v>
      </x:c>
      <x:c r="E247" s="2" t="s">
        <x:v>716</x:v>
      </x:c>
      <x:c r="F247" s="10" t="s">
        <x:v>770</x:v>
      </x:c>
    </x:row>
    <x:row r="248" ht="41.400001525878906">
      <x:c r="A248" s="2" t="s">
        <x:v>569</x:v>
      </x:c>
      <x:c r="B248" s="2" t="s">
        <x:v>643</x:v>
      </x:c>
      <x:c r="C248" s="2" t="s">
        <x:v>714</x:v>
      </x:c>
      <x:c r="D248" s="2" t="s">
        <x:v>715</x:v>
      </x:c>
      <x:c r="E248" s="2" t="s">
        <x:v>716</x:v>
      </x:c>
      <x:c r="F248" s="10" t="s">
        <x:v>770</x:v>
      </x:c>
    </x:row>
    <x:row r="249" ht="41.400001525878906">
      <x:c r="A249" s="2" t="s">
        <x:v>569</x:v>
      </x:c>
      <x:c r="B249" s="2" t="s">
        <x:v>661</x:v>
      </x:c>
      <x:c r="C249" s="2" t="s">
        <x:v>714</x:v>
      </x:c>
      <x:c r="D249" s="2" t="s">
        <x:v>715</x:v>
      </x:c>
      <x:c r="E249" s="2" t="s">
        <x:v>716</x:v>
      </x:c>
      <x:c r="F249" s="10" t="s">
        <x:v>770</x:v>
      </x:c>
    </x:row>
    <x:row r="250" ht="41.400001525878906">
      <x:c r="A250" s="2" t="s">
        <x:v>569</x:v>
      </x:c>
      <x:c r="B250" s="2" t="s">
        <x:v>670</x:v>
      </x:c>
      <x:c r="C250" s="2" t="s">
        <x:v>714</x:v>
      </x:c>
      <x:c r="D250" s="2" t="s">
        <x:v>715</x:v>
      </x:c>
      <x:c r="E250" s="2" t="s">
        <x:v>716</x:v>
      </x:c>
      <x:c r="F250" s="10" t="s">
        <x:v>770</x:v>
      </x:c>
    </x:row>
    <x:row r="251" ht="41.400001525878906">
      <x:c r="A251" s="2" t="s">
        <x:v>569</x:v>
      </x:c>
      <x:c r="B251" s="2" t="s">
        <x:v>679</x:v>
      </x:c>
      <x:c r="C251" s="2" t="s">
        <x:v>714</x:v>
      </x:c>
      <x:c r="D251" s="2" t="s">
        <x:v>715</x:v>
      </x:c>
      <x:c r="E251" s="2" t="s">
        <x:v>716</x:v>
      </x:c>
      <x:c r="F251" s="10" t="s">
        <x:v>770</x:v>
      </x:c>
    </x:row>
    <x:row r="252" ht="41.400001525878906">
      <x:c r="A252" s="2" t="s">
        <x:v>572</x:v>
      </x:c>
      <x:c r="B252" s="2" t="s">
        <x:v>633</x:v>
      </x:c>
      <x:c r="C252" s="2" t="s">
        <x:v>714</x:v>
      </x:c>
      <x:c r="D252" s="2" t="s">
        <x:v>715</x:v>
      </x:c>
      <x:c r="E252" s="2" t="s">
        <x:v>716</x:v>
      </x:c>
      <x:c r="F252" s="10" t="s">
        <x:v>771</x:v>
      </x:c>
    </x:row>
    <x:row r="253" ht="41.400001525878906">
      <x:c r="A253" s="2" t="s">
        <x:v>572</x:v>
      </x:c>
      <x:c r="B253" s="2" t="s">
        <x:v>643</x:v>
      </x:c>
      <x:c r="C253" s="2" t="s">
        <x:v>714</x:v>
      </x:c>
      <x:c r="D253" s="2" t="s">
        <x:v>715</x:v>
      </x:c>
      <x:c r="E253" s="2" t="s">
        <x:v>716</x:v>
      </x:c>
      <x:c r="F253" s="10" t="s">
        <x:v>771</x:v>
      </x:c>
    </x:row>
    <x:row r="254" ht="41.400001525878906">
      <x:c r="A254" s="2" t="s">
        <x:v>572</x:v>
      </x:c>
      <x:c r="B254" s="2" t="s">
        <x:v>661</x:v>
      </x:c>
      <x:c r="C254" s="2" t="s">
        <x:v>714</x:v>
      </x:c>
      <x:c r="D254" s="2" t="s">
        <x:v>715</x:v>
      </x:c>
      <x:c r="E254" s="2" t="s">
        <x:v>716</x:v>
      </x:c>
      <x:c r="F254" s="10" t="s">
        <x:v>771</x:v>
      </x:c>
    </x:row>
    <x:row r="255" ht="41.400001525878906">
      <x:c r="A255" s="2" t="s">
        <x:v>572</x:v>
      </x:c>
      <x:c r="B255" s="2" t="s">
        <x:v>670</x:v>
      </x:c>
      <x:c r="C255" s="2" t="s">
        <x:v>714</x:v>
      </x:c>
      <x:c r="D255" s="2" t="s">
        <x:v>715</x:v>
      </x:c>
      <x:c r="E255" s="2" t="s">
        <x:v>716</x:v>
      </x:c>
      <x:c r="F255" s="10" t="s">
        <x:v>771</x:v>
      </x:c>
    </x:row>
    <x:row r="256" ht="41.400001525878906">
      <x:c r="A256" s="2" t="s">
        <x:v>572</x:v>
      </x:c>
      <x:c r="B256" s="2" t="s">
        <x:v>679</x:v>
      </x:c>
      <x:c r="C256" s="2" t="s">
        <x:v>729</x:v>
      </x:c>
      <x:c r="D256" s="2" t="s">
        <x:v>730</x:v>
      </x:c>
      <x:c r="E256" s="2" t="s">
        <x:v>716</x:v>
      </x:c>
      <x:c r="F256" s="10" t="s">
        <x:v>771</x:v>
      </x:c>
    </x:row>
    <x:row r="257" ht="41.400001525878906">
      <x:c r="A257" s="2" t="s">
        <x:v>575</x:v>
      </x:c>
      <x:c r="B257" s="2" t="s">
        <x:v>633</x:v>
      </x:c>
      <x:c r="C257" s="2" t="s">
        <x:v>714</x:v>
      </x:c>
      <x:c r="D257" s="2" t="s">
        <x:v>722</x:v>
      </x:c>
      <x:c r="E257" s="2" t="s">
        <x:v>716</x:v>
      </x:c>
      <x:c r="F257" s="10" t="s">
        <x:v>772</x:v>
      </x:c>
    </x:row>
    <x:row r="258" ht="41.400001525878906">
      <x:c r="A258" s="2" t="s">
        <x:v>575</x:v>
      </x:c>
      <x:c r="B258" s="2" t="s">
        <x:v>643</x:v>
      </x:c>
      <x:c r="C258" s="2" t="s">
        <x:v>714</x:v>
      </x:c>
      <x:c r="D258" s="2" t="s">
        <x:v>722</x:v>
      </x:c>
      <x:c r="E258" s="2" t="s">
        <x:v>716</x:v>
      </x:c>
      <x:c r="F258" s="10" t="s">
        <x:v>772</x:v>
      </x:c>
    </x:row>
    <x:row r="259" ht="41.400001525878906">
      <x:c r="A259" s="2" t="s">
        <x:v>575</x:v>
      </x:c>
      <x:c r="B259" s="2" t="s">
        <x:v>661</x:v>
      </x:c>
      <x:c r="C259" s="2" t="s">
        <x:v>729</x:v>
      </x:c>
      <x:c r="D259" s="2" t="s">
        <x:v>715</x:v>
      </x:c>
      <x:c r="E259" s="2" t="s">
        <x:v>716</x:v>
      </x:c>
      <x:c r="F259" s="10" t="s">
        <x:v>772</x:v>
      </x:c>
    </x:row>
    <x:row r="260" ht="41.400001525878906">
      <x:c r="A260" s="2" t="s">
        <x:v>575</x:v>
      </x:c>
      <x:c r="B260" s="2" t="s">
        <x:v>670</x:v>
      </x:c>
      <x:c r="C260" s="2" t="s">
        <x:v>729</x:v>
      </x:c>
      <x:c r="D260" s="2" t="s">
        <x:v>715</x:v>
      </x:c>
      <x:c r="E260" s="2" t="s">
        <x:v>716</x:v>
      </x:c>
      <x:c r="F260" s="10" t="s">
        <x:v>772</x:v>
      </x:c>
    </x:row>
    <x:row r="261" ht="41.400001525878906">
      <x:c r="A261" s="2" t="s">
        <x:v>575</x:v>
      </x:c>
      <x:c r="B261" s="2" t="s">
        <x:v>679</x:v>
      </x:c>
      <x:c r="C261" s="2" t="s">
        <x:v>729</x:v>
      </x:c>
      <x:c r="D261" s="2" t="s">
        <x:v>715</x:v>
      </x:c>
      <x:c r="E261" s="2" t="s">
        <x:v>716</x:v>
      </x:c>
      <x:c r="F261" s="10" t="s">
        <x:v>772</x:v>
      </x:c>
    </x:row>
    <x:row r="262" ht="41.400001525878906">
      <x:c r="A262" s="2" t="s">
        <x:v>578</x:v>
      </x:c>
      <x:c r="B262" s="2" t="s">
        <x:v>633</x:v>
      </x:c>
      <x:c r="C262" s="2" t="s">
        <x:v>729</x:v>
      </x:c>
      <x:c r="D262" s="2" t="s">
        <x:v>715</x:v>
      </x:c>
      <x:c r="E262" s="2" t="s">
        <x:v>716</x:v>
      </x:c>
      <x:c r="F262" s="10" t="s">
        <x:v>773</x:v>
      </x:c>
    </x:row>
    <x:row r="263" ht="41.400001525878906">
      <x:c r="A263" s="2" t="s">
        <x:v>578</x:v>
      </x:c>
      <x:c r="B263" s="2" t="s">
        <x:v>643</x:v>
      </x:c>
      <x:c r="C263" s="2" t="s">
        <x:v>714</x:v>
      </x:c>
      <x:c r="D263" s="2" t="s">
        <x:v>722</x:v>
      </x:c>
      <x:c r="E263" s="2" t="s">
        <x:v>716</x:v>
      </x:c>
      <x:c r="F263" s="10" t="s">
        <x:v>773</x:v>
      </x:c>
    </x:row>
    <x:row r="264" ht="41.400001525878906">
      <x:c r="A264" s="2" t="s">
        <x:v>578</x:v>
      </x:c>
      <x:c r="B264" s="2" t="s">
        <x:v>661</x:v>
      </x:c>
      <x:c r="C264" s="2" t="s">
        <x:v>729</x:v>
      </x:c>
      <x:c r="D264" s="2" t="s">
        <x:v>715</x:v>
      </x:c>
      <x:c r="E264" s="2" t="s">
        <x:v>716</x:v>
      </x:c>
      <x:c r="F264" s="10" t="s">
        <x:v>773</x:v>
      </x:c>
    </x:row>
    <x:row r="265" ht="41.400001525878906">
      <x:c r="A265" s="2" t="s">
        <x:v>578</x:v>
      </x:c>
      <x:c r="B265" s="2" t="s">
        <x:v>670</x:v>
      </x:c>
      <x:c r="C265" s="2" t="s">
        <x:v>729</x:v>
      </x:c>
      <x:c r="D265" s="2" t="s">
        <x:v>715</x:v>
      </x:c>
      <x:c r="E265" s="2" t="s">
        <x:v>716</x:v>
      </x:c>
      <x:c r="F265" s="10" t="s">
        <x:v>773</x:v>
      </x:c>
    </x:row>
    <x:row r="266" ht="41.400001525878906">
      <x:c r="A266" s="2" t="s">
        <x:v>578</x:v>
      </x:c>
      <x:c r="B266" s="2" t="s">
        <x:v>679</x:v>
      </x:c>
      <x:c r="C266" s="2" t="s">
        <x:v>729</x:v>
      </x:c>
      <x:c r="D266" s="2" t="s">
        <x:v>715</x:v>
      </x:c>
      <x:c r="E266" s="2" t="s">
        <x:v>716</x:v>
      </x:c>
      <x:c r="F266" s="10" t="s">
        <x:v>773</x:v>
      </x:c>
    </x:row>
    <x:row r="267" ht="41.400001525878906">
      <x:c r="A267" s="2" t="s">
        <x:v>581</x:v>
      </x:c>
      <x:c r="B267" s="2" t="s">
        <x:v>633</x:v>
      </x:c>
      <x:c r="C267" s="2" t="s">
        <x:v>729</x:v>
      </x:c>
      <x:c r="D267" s="2" t="s">
        <x:v>715</x:v>
      </x:c>
      <x:c r="E267" s="2" t="s">
        <x:v>716</x:v>
      </x:c>
      <x:c r="F267" s="10" t="s">
        <x:v>774</x:v>
      </x:c>
    </x:row>
    <x:row r="268" ht="41.400001525878906">
      <x:c r="A268" s="2" t="s">
        <x:v>581</x:v>
      </x:c>
      <x:c r="B268" s="2" t="s">
        <x:v>643</x:v>
      </x:c>
      <x:c r="C268" s="2" t="s">
        <x:v>729</x:v>
      </x:c>
      <x:c r="D268" s="2" t="s">
        <x:v>715</x:v>
      </x:c>
      <x:c r="E268" s="2" t="s">
        <x:v>716</x:v>
      </x:c>
      <x:c r="F268" s="10" t="s">
        <x:v>774</x:v>
      </x:c>
    </x:row>
    <x:row r="269" ht="41.400001525878906">
      <x:c r="A269" s="2" t="s">
        <x:v>581</x:v>
      </x:c>
      <x:c r="B269" s="2" t="s">
        <x:v>661</x:v>
      </x:c>
      <x:c r="C269" s="2" t="s">
        <x:v>729</x:v>
      </x:c>
      <x:c r="D269" s="2" t="s">
        <x:v>715</x:v>
      </x:c>
      <x:c r="E269" s="2" t="s">
        <x:v>716</x:v>
      </x:c>
      <x:c r="F269" s="10" t="s">
        <x:v>774</x:v>
      </x:c>
    </x:row>
    <x:row r="270" ht="41.400001525878906">
      <x:c r="A270" s="2" t="s">
        <x:v>581</x:v>
      </x:c>
      <x:c r="B270" s="2" t="s">
        <x:v>670</x:v>
      </x:c>
      <x:c r="C270" s="2" t="s">
        <x:v>729</x:v>
      </x:c>
      <x:c r="D270" s="2" t="s">
        <x:v>715</x:v>
      </x:c>
      <x:c r="E270" s="2" t="s">
        <x:v>716</x:v>
      </x:c>
      <x:c r="F270" s="10" t="s">
        <x:v>774</x:v>
      </x:c>
    </x:row>
    <x:row r="271" ht="41.400001525878906">
      <x:c r="A271" s="2" t="s">
        <x:v>581</x:v>
      </x:c>
      <x:c r="B271" s="2" t="s">
        <x:v>679</x:v>
      </x:c>
      <x:c r="C271" s="2" t="s">
        <x:v>729</x:v>
      </x:c>
      <x:c r="D271" s="2" t="s">
        <x:v>715</x:v>
      </x:c>
      <x:c r="E271" s="2" t="s">
        <x:v>716</x:v>
      </x:c>
      <x:c r="F271" s="10" t="s">
        <x:v>774</x:v>
      </x:c>
    </x:row>
    <x:row r="272" ht="41.400001525878906">
      <x:c r="A272" s="2" t="s">
        <x:v>584</x:v>
      </x:c>
      <x:c r="B272" s="2" t="s">
        <x:v>633</x:v>
      </x:c>
      <x:c r="C272" s="2" t="s">
        <x:v>729</x:v>
      </x:c>
      <x:c r="D272" s="2" t="s">
        <x:v>715</x:v>
      </x:c>
      <x:c r="E272" s="2" t="s">
        <x:v>716</x:v>
      </x:c>
      <x:c r="F272" s="10" t="s">
        <x:v>775</x:v>
      </x:c>
    </x:row>
    <x:row r="273" ht="41.400001525878906">
      <x:c r="A273" s="2" t="s">
        <x:v>584</x:v>
      </x:c>
      <x:c r="B273" s="2" t="s">
        <x:v>643</x:v>
      </x:c>
      <x:c r="C273" s="2" t="s">
        <x:v>729</x:v>
      </x:c>
      <x:c r="D273" s="2" t="s">
        <x:v>715</x:v>
      </x:c>
      <x:c r="E273" s="2" t="s">
        <x:v>716</x:v>
      </x:c>
      <x:c r="F273" s="10" t="s">
        <x:v>775</x:v>
      </x:c>
    </x:row>
    <x:row r="274" ht="41.400001525878906">
      <x:c r="A274" s="2" t="s">
        <x:v>584</x:v>
      </x:c>
      <x:c r="B274" s="2" t="s">
        <x:v>661</x:v>
      </x:c>
      <x:c r="C274" s="2" t="s">
        <x:v>729</x:v>
      </x:c>
      <x:c r="D274" s="2" t="s">
        <x:v>715</x:v>
      </x:c>
      <x:c r="E274" s="2" t="s">
        <x:v>716</x:v>
      </x:c>
      <x:c r="F274" s="10" t="s">
        <x:v>775</x:v>
      </x:c>
    </x:row>
    <x:row r="275" ht="41.400001525878906">
      <x:c r="A275" s="2" t="s">
        <x:v>584</x:v>
      </x:c>
      <x:c r="B275" s="2" t="s">
        <x:v>670</x:v>
      </x:c>
      <x:c r="C275" s="2" t="s">
        <x:v>729</x:v>
      </x:c>
      <x:c r="D275" s="2" t="s">
        <x:v>715</x:v>
      </x:c>
      <x:c r="E275" s="2" t="s">
        <x:v>716</x:v>
      </x:c>
      <x:c r="F275" s="10" t="s">
        <x:v>775</x:v>
      </x:c>
    </x:row>
    <x:row r="276" ht="41.400001525878906">
      <x:c r="A276" s="2" t="s">
        <x:v>584</x:v>
      </x:c>
      <x:c r="B276" s="2" t="s">
        <x:v>679</x:v>
      </x:c>
      <x:c r="C276" s="2" t="s">
        <x:v>729</x:v>
      </x:c>
      <x:c r="D276" s="2" t="s">
        <x:v>715</x:v>
      </x:c>
      <x:c r="E276" s="2" t="s">
        <x:v>716</x:v>
      </x:c>
      <x:c r="F276" s="10" t="s">
        <x:v>775</x:v>
      </x:c>
    </x:row>
    <x:row r="277" ht="41.400001525878906">
      <x:c r="A277" s="2" t="s">
        <x:v>587</x:v>
      </x:c>
      <x:c r="B277" s="2" t="s">
        <x:v>643</x:v>
      </x:c>
      <x:c r="C277" s="2" t="s">
        <x:v>729</x:v>
      </x:c>
      <x:c r="D277" s="2" t="s">
        <x:v>722</x:v>
      </x:c>
      <x:c r="E277" s="2" t="s">
        <x:v>716</x:v>
      </x:c>
      <x:c r="F277" s="10" t="s">
        <x:v>776</x:v>
      </x:c>
    </x:row>
    <x:row r="278" ht="41.400001525878906">
      <x:c r="A278" s="2" t="s">
        <x:v>587</x:v>
      </x:c>
      <x:c r="B278" s="2" t="s">
        <x:v>661</x:v>
      </x:c>
      <x:c r="C278" s="2" t="s">
        <x:v>729</x:v>
      </x:c>
      <x:c r="D278" s="2" t="s">
        <x:v>715</x:v>
      </x:c>
      <x:c r="E278" s="2" t="s">
        <x:v>716</x:v>
      </x:c>
      <x:c r="F278" s="10" t="s">
        <x:v>777</x:v>
      </x:c>
    </x:row>
    <x:row r="279" ht="41.400001525878906">
      <x:c r="A279" s="2" t="s">
        <x:v>587</x:v>
      </x:c>
      <x:c r="B279" s="2" t="s">
        <x:v>670</x:v>
      </x:c>
      <x:c r="C279" s="2" t="s">
        <x:v>729</x:v>
      </x:c>
      <x:c r="D279" s="2" t="s">
        <x:v>715</x:v>
      </x:c>
      <x:c r="E279" s="2" t="s">
        <x:v>716</x:v>
      </x:c>
      <x:c r="F279" s="10" t="s">
        <x:v>777</x:v>
      </x:c>
    </x:row>
    <x:row r="280" ht="41.400001525878906">
      <x:c r="A280" s="2" t="s">
        <x:v>587</x:v>
      </x:c>
      <x:c r="B280" s="2" t="s">
        <x:v>679</x:v>
      </x:c>
      <x:c r="C280" s="2" t="s">
        <x:v>729</x:v>
      </x:c>
      <x:c r="D280" s="2" t="s">
        <x:v>715</x:v>
      </x:c>
      <x:c r="E280" s="2" t="s">
        <x:v>716</x:v>
      </x:c>
      <x:c r="F280" s="10" t="s">
        <x:v>777</x:v>
      </x:c>
    </x:row>
    <x:row r="281" ht="41.400001525878906">
      <x:c r="A281" s="2" t="s">
        <x:v>587</x:v>
      </x:c>
      <x:c r="B281" s="2" t="s">
        <x:v>696</x:v>
      </x:c>
      <x:c r="C281" s="2" t="s">
        <x:v>729</x:v>
      </x:c>
      <x:c r="D281" s="2" t="s">
        <x:v>715</x:v>
      </x:c>
      <x:c r="E281" s="2" t="s">
        <x:v>716</x:v>
      </x:c>
      <x:c r="F281" s="10" t="s">
        <x:v>777</x:v>
      </x:c>
    </x:row>
    <x:row r="282" ht="41.400001525878906">
      <x:c r="A282" s="2" t="s">
        <x:v>590</x:v>
      </x:c>
      <x:c r="B282" s="2" t="s">
        <x:v>643</x:v>
      </x:c>
      <x:c r="C282" s="2" t="s">
        <x:v>729</x:v>
      </x:c>
      <x:c r="D282" s="2" t="s">
        <x:v>715</x:v>
      </x:c>
      <x:c r="E282" s="2" t="s">
        <x:v>716</x:v>
      </x:c>
      <x:c r="F282" s="10" t="s">
        <x:v>778</x:v>
      </x:c>
    </x:row>
    <x:row r="283" ht="41.400001525878906">
      <x:c r="A283" s="2" t="s">
        <x:v>590</x:v>
      </x:c>
      <x:c r="B283" s="2" t="s">
        <x:v>661</x:v>
      </x:c>
      <x:c r="C283" s="2" t="s">
        <x:v>729</x:v>
      </x:c>
      <x:c r="D283" s="2" t="s">
        <x:v>715</x:v>
      </x:c>
      <x:c r="E283" s="2" t="s">
        <x:v>716</x:v>
      </x:c>
      <x:c r="F283" s="10" t="s">
        <x:v>778</x:v>
      </x:c>
    </x:row>
    <x:row r="284" ht="41.400001525878906">
      <x:c r="A284" s="2" t="s">
        <x:v>590</x:v>
      </x:c>
      <x:c r="B284" s="2" t="s">
        <x:v>670</x:v>
      </x:c>
      <x:c r="C284" s="2" t="s">
        <x:v>729</x:v>
      </x:c>
      <x:c r="D284" s="2" t="s">
        <x:v>715</x:v>
      </x:c>
      <x:c r="E284" s="2" t="s">
        <x:v>716</x:v>
      </x:c>
      <x:c r="F284" s="10" t="s">
        <x:v>778</x:v>
      </x:c>
    </x:row>
    <x:row r="285" ht="41.400001525878906">
      <x:c r="A285" s="2" t="s">
        <x:v>590</x:v>
      </x:c>
      <x:c r="B285" s="2" t="s">
        <x:v>679</x:v>
      </x:c>
      <x:c r="C285" s="2" t="s">
        <x:v>729</x:v>
      </x:c>
      <x:c r="D285" s="2" t="s">
        <x:v>715</x:v>
      </x:c>
      <x:c r="E285" s="2" t="s">
        <x:v>716</x:v>
      </x:c>
      <x:c r="F285" s="10" t="s">
        <x:v>778</x:v>
      </x:c>
    </x:row>
    <x:row r="286" ht="41.400001525878906">
      <x:c r="A286" s="2" t="s">
        <x:v>590</x:v>
      </x:c>
      <x:c r="B286" s="2" t="s">
        <x:v>696</x:v>
      </x:c>
      <x:c r="C286" s="2" t="s">
        <x:v>729</x:v>
      </x:c>
      <x:c r="D286" s="2" t="s">
        <x:v>715</x:v>
      </x:c>
      <x:c r="E286" s="2" t="s">
        <x:v>716</x:v>
      </x:c>
      <x:c r="F286" s="10" t="s">
        <x:v>778</x:v>
      </x:c>
    </x:row>
    <x:row r="287" ht="41.400001525878906">
      <x:c r="A287" s="2" t="s">
        <x:v>593</x:v>
      </x:c>
      <x:c r="B287" s="2" t="s">
        <x:v>643</x:v>
      </x:c>
      <x:c r="C287" s="2" t="s">
        <x:v>729</x:v>
      </x:c>
      <x:c r="D287" s="2" t="s">
        <x:v>715</x:v>
      </x:c>
      <x:c r="E287" s="2" t="s">
        <x:v>716</x:v>
      </x:c>
      <x:c r="F287" s="10" t="s">
        <x:v>779</x:v>
      </x:c>
    </x:row>
    <x:row r="288" ht="41.400001525878906">
      <x:c r="A288" s="2" t="s">
        <x:v>593</x:v>
      </x:c>
      <x:c r="B288" s="2" t="s">
        <x:v>661</x:v>
      </x:c>
      <x:c r="C288" s="2" t="s">
        <x:v>729</x:v>
      </x:c>
      <x:c r="D288" s="2" t="s">
        <x:v>715</x:v>
      </x:c>
      <x:c r="E288" s="2" t="s">
        <x:v>716</x:v>
      </x:c>
      <x:c r="F288" s="10" t="s">
        <x:v>779</x:v>
      </x:c>
    </x:row>
    <x:row r="289" ht="41.400001525878906">
      <x:c r="A289" s="2" t="s">
        <x:v>593</x:v>
      </x:c>
      <x:c r="B289" s="2" t="s">
        <x:v>670</x:v>
      </x:c>
      <x:c r="C289" s="2" t="s">
        <x:v>729</x:v>
      </x:c>
      <x:c r="D289" s="2" t="s">
        <x:v>715</x:v>
      </x:c>
      <x:c r="E289" s="2" t="s">
        <x:v>716</x:v>
      </x:c>
      <x:c r="F289" s="10" t="s">
        <x:v>779</x:v>
      </x:c>
    </x:row>
    <x:row r="290" ht="41.400001525878906">
      <x:c r="A290" s="2" t="s">
        <x:v>593</x:v>
      </x:c>
      <x:c r="B290" s="2" t="s">
        <x:v>679</x:v>
      </x:c>
      <x:c r="C290" s="2" t="s">
        <x:v>729</x:v>
      </x:c>
      <x:c r="D290" s="2" t="s">
        <x:v>715</x:v>
      </x:c>
      <x:c r="E290" s="2" t="s">
        <x:v>716</x:v>
      </x:c>
      <x:c r="F290" s="10" t="s">
        <x:v>779</x:v>
      </x:c>
    </x:row>
    <x:row r="291" ht="41.400001525878906">
      <x:c r="A291" s="2" t="s">
        <x:v>593</x:v>
      </x:c>
      <x:c r="B291" s="2" t="s">
        <x:v>696</x:v>
      </x:c>
      <x:c r="C291" s="2" t="s">
        <x:v>729</x:v>
      </x:c>
      <x:c r="D291" s="2" t="s">
        <x:v>715</x:v>
      </x:c>
      <x:c r="E291" s="2" t="s">
        <x:v>716</x:v>
      </x:c>
      <x:c r="F291" s="10" t="s">
        <x:v>779</x:v>
      </x:c>
    </x:row>
    <x:row r="292" ht="41.400001525878906">
      <x:c r="A292" s="2" t="s">
        <x:v>596</x:v>
      </x:c>
      <x:c r="B292" s="2" t="s">
        <x:v>643</x:v>
      </x:c>
      <x:c r="C292" s="2" t="s">
        <x:v>714</x:v>
      </x:c>
      <x:c r="D292" s="2" t="s">
        <x:v>722</x:v>
      </x:c>
      <x:c r="E292" s="2" t="s">
        <x:v>716</x:v>
      </x:c>
      <x:c r="F292" s="10" t="s">
        <x:v>780</x:v>
      </x:c>
    </x:row>
    <x:row r="293" ht="41.400001525878906">
      <x:c r="A293" s="2" t="s">
        <x:v>596</x:v>
      </x:c>
      <x:c r="B293" s="2" t="s">
        <x:v>661</x:v>
      </x:c>
      <x:c r="C293" s="2" t="s">
        <x:v>729</x:v>
      </x:c>
      <x:c r="D293" s="2" t="s">
        <x:v>715</x:v>
      </x:c>
      <x:c r="E293" s="2" t="s">
        <x:v>716</x:v>
      </x:c>
      <x:c r="F293" s="10" t="s">
        <x:v>780</x:v>
      </x:c>
    </x:row>
    <x:row r="294" ht="41.400001525878906">
      <x:c r="A294" s="2" t="s">
        <x:v>596</x:v>
      </x:c>
      <x:c r="B294" s="2" t="s">
        <x:v>670</x:v>
      </x:c>
      <x:c r="C294" s="2" t="s">
        <x:v>729</x:v>
      </x:c>
      <x:c r="D294" s="2" t="s">
        <x:v>715</x:v>
      </x:c>
      <x:c r="E294" s="2" t="s">
        <x:v>716</x:v>
      </x:c>
      <x:c r="F294" s="10" t="s">
        <x:v>780</x:v>
      </x:c>
    </x:row>
    <x:row r="295" ht="41.400001525878906">
      <x:c r="A295" s="2" t="s">
        <x:v>596</x:v>
      </x:c>
      <x:c r="B295" s="2" t="s">
        <x:v>679</x:v>
      </x:c>
      <x:c r="C295" s="2" t="s">
        <x:v>729</x:v>
      </x:c>
      <x:c r="D295" s="2" t="s">
        <x:v>715</x:v>
      </x:c>
      <x:c r="E295" s="2" t="s">
        <x:v>716</x:v>
      </x:c>
      <x:c r="F295" s="10" t="s">
        <x:v>780</x:v>
      </x:c>
    </x:row>
    <x:row r="296" ht="41.400001525878906">
      <x:c r="A296" s="2" t="s">
        <x:v>596</x:v>
      </x:c>
      <x:c r="B296" s="2" t="s">
        <x:v>696</x:v>
      </x:c>
      <x:c r="C296" s="2" t="s">
        <x:v>729</x:v>
      </x:c>
      <x:c r="D296" s="2" t="s">
        <x:v>715</x:v>
      </x:c>
      <x:c r="E296" s="2" t="s">
        <x:v>716</x:v>
      </x:c>
      <x:c r="F296" s="10" t="s">
        <x:v>780</x:v>
      </x:c>
    </x:row>
    <x:row r="297" ht="41.400001525878906">
      <x:c r="A297" s="2" t="s">
        <x:v>599</x:v>
      </x:c>
      <x:c r="B297" s="2" t="s">
        <x:v>643</x:v>
      </x:c>
      <x:c r="C297" s="2" t="s">
        <x:v>714</x:v>
      </x:c>
      <x:c r="D297" s="2" t="s">
        <x:v>722</x:v>
      </x:c>
      <x:c r="E297" s="2" t="s">
        <x:v>716</x:v>
      </x:c>
      <x:c r="F297" s="10" t="s">
        <x:v>781</x:v>
      </x:c>
    </x:row>
    <x:row r="298" ht="41.400001525878906">
      <x:c r="A298" s="2" t="s">
        <x:v>599</x:v>
      </x:c>
      <x:c r="B298" s="2" t="s">
        <x:v>661</x:v>
      </x:c>
      <x:c r="C298" s="2" t="s">
        <x:v>729</x:v>
      </x:c>
      <x:c r="D298" s="2" t="s">
        <x:v>715</x:v>
      </x:c>
      <x:c r="E298" s="2" t="s">
        <x:v>716</x:v>
      </x:c>
      <x:c r="F298" s="10" t="s">
        <x:v>781</x:v>
      </x:c>
    </x:row>
    <x:row r="299" ht="41.400001525878906">
      <x:c r="A299" s="2" t="s">
        <x:v>599</x:v>
      </x:c>
      <x:c r="B299" s="2" t="s">
        <x:v>670</x:v>
      </x:c>
      <x:c r="C299" s="2" t="s">
        <x:v>729</x:v>
      </x:c>
      <x:c r="D299" s="2" t="s">
        <x:v>715</x:v>
      </x:c>
      <x:c r="E299" s="2" t="s">
        <x:v>716</x:v>
      </x:c>
      <x:c r="F299" s="10" t="s">
        <x:v>781</x:v>
      </x:c>
    </x:row>
    <x:row r="300" ht="41.400001525878906">
      <x:c r="A300" s="2" t="s">
        <x:v>599</x:v>
      </x:c>
      <x:c r="B300" s="2" t="s">
        <x:v>679</x:v>
      </x:c>
      <x:c r="C300" s="2" t="s">
        <x:v>729</x:v>
      </x:c>
      <x:c r="D300" s="2" t="s">
        <x:v>715</x:v>
      </x:c>
      <x:c r="E300" s="2" t="s">
        <x:v>716</x:v>
      </x:c>
      <x:c r="F300" s="10" t="s">
        <x:v>781</x:v>
      </x:c>
    </x:row>
    <x:row r="301" ht="41.400001525878906">
      <x:c r="A301" s="2" t="s">
        <x:v>599</x:v>
      </x:c>
      <x:c r="B301" s="2" t="s">
        <x:v>696</x:v>
      </x:c>
      <x:c r="C301" s="2" t="s">
        <x:v>729</x:v>
      </x:c>
      <x:c r="D301" s="2" t="s">
        <x:v>715</x:v>
      </x:c>
      <x:c r="E301" s="2" t="s">
        <x:v>716</x:v>
      </x:c>
      <x:c r="F301" s="10" t="s">
        <x:v>781</x:v>
      </x:c>
    </x:row>
    <x:row r="302" ht="41.400001525878906">
      <x:c r="A302" s="2" t="s">
        <x:v>602</x:v>
      </x:c>
      <x:c r="B302" s="2" t="s">
        <x:v>643</x:v>
      </x:c>
      <x:c r="C302" s="2" t="s">
        <x:v>714</x:v>
      </x:c>
      <x:c r="D302" s="2" t="s">
        <x:v>722</x:v>
      </x:c>
      <x:c r="E302" s="2" t="s">
        <x:v>716</x:v>
      </x:c>
      <x:c r="F302" s="10" t="s">
        <x:v>782</x:v>
      </x:c>
    </x:row>
    <x:row r="303" ht="41.400001525878906">
      <x:c r="A303" s="2" t="s">
        <x:v>602</x:v>
      </x:c>
      <x:c r="B303" s="2" t="s">
        <x:v>661</x:v>
      </x:c>
      <x:c r="C303" s="2" t="s">
        <x:v>729</x:v>
      </x:c>
      <x:c r="D303" s="2" t="s">
        <x:v>715</x:v>
      </x:c>
      <x:c r="E303" s="2" t="s">
        <x:v>716</x:v>
      </x:c>
      <x:c r="F303" s="10" t="s">
        <x:v>782</x:v>
      </x:c>
    </x:row>
    <x:row r="304" ht="41.400001525878906">
      <x:c r="A304" s="2" t="s">
        <x:v>602</x:v>
      </x:c>
      <x:c r="B304" s="2" t="s">
        <x:v>670</x:v>
      </x:c>
      <x:c r="C304" s="2" t="s">
        <x:v>729</x:v>
      </x:c>
      <x:c r="D304" s="2" t="s">
        <x:v>715</x:v>
      </x:c>
      <x:c r="E304" s="2" t="s">
        <x:v>716</x:v>
      </x:c>
      <x:c r="F304" s="10" t="s">
        <x:v>782</x:v>
      </x:c>
    </x:row>
    <x:row r="305" ht="41.400001525878906">
      <x:c r="A305" s="2" t="s">
        <x:v>602</x:v>
      </x:c>
      <x:c r="B305" s="2" t="s">
        <x:v>679</x:v>
      </x:c>
      <x:c r="C305" s="2" t="s">
        <x:v>729</x:v>
      </x:c>
      <x:c r="D305" s="2" t="s">
        <x:v>715</x:v>
      </x:c>
      <x:c r="E305" s="2" t="s">
        <x:v>716</x:v>
      </x:c>
      <x:c r="F305" s="10" t="s">
        <x:v>782</x:v>
      </x:c>
    </x:row>
    <x:row r="306" ht="41.400001525878906">
      <x:c r="A306" s="2" t="s">
        <x:v>602</x:v>
      </x:c>
      <x:c r="B306" s="2" t="s">
        <x:v>696</x:v>
      </x:c>
      <x:c r="C306" s="2" t="s">
        <x:v>729</x:v>
      </x:c>
      <x:c r="D306" s="2" t="s">
        <x:v>715</x:v>
      </x:c>
      <x:c r="E306" s="2" t="s">
        <x:v>716</x:v>
      </x:c>
      <x:c r="F306" s="10" t="s">
        <x:v>782</x:v>
      </x:c>
    </x:row>
    <x:row r="307" ht="41.400001525878906">
      <x:c r="A307" s="2" t="s">
        <x:v>605</x:v>
      </x:c>
      <x:c r="B307" s="2" t="s">
        <x:v>643</x:v>
      </x:c>
      <x:c r="C307" s="2" t="s">
        <x:v>714</x:v>
      </x:c>
      <x:c r="D307" s="2" t="s">
        <x:v>722</x:v>
      </x:c>
      <x:c r="E307" s="2" t="s">
        <x:v>716</x:v>
      </x:c>
      <x:c r="F307" s="10" t="s">
        <x:v>783</x:v>
      </x:c>
    </x:row>
    <x:row r="308" ht="41.400001525878906">
      <x:c r="A308" s="2" t="s">
        <x:v>605</x:v>
      </x:c>
      <x:c r="B308" s="2" t="s">
        <x:v>661</x:v>
      </x:c>
      <x:c r="C308" s="2" t="s">
        <x:v>729</x:v>
      </x:c>
      <x:c r="D308" s="2" t="s">
        <x:v>715</x:v>
      </x:c>
      <x:c r="E308" s="2" t="s">
        <x:v>716</x:v>
      </x:c>
      <x:c r="F308" s="10" t="s">
        <x:v>783</x:v>
      </x:c>
    </x:row>
    <x:row r="309" ht="41.400001525878906">
      <x:c r="A309" s="2" t="s">
        <x:v>605</x:v>
      </x:c>
      <x:c r="B309" s="2" t="s">
        <x:v>670</x:v>
      </x:c>
      <x:c r="C309" s="2" t="s">
        <x:v>729</x:v>
      </x:c>
      <x:c r="D309" s="2" t="s">
        <x:v>715</x:v>
      </x:c>
      <x:c r="E309" s="2" t="s">
        <x:v>716</x:v>
      </x:c>
      <x:c r="F309" s="10" t="s">
        <x:v>783</x:v>
      </x:c>
    </x:row>
    <x:row r="310" ht="41.400001525878906">
      <x:c r="A310" s="2" t="s">
        <x:v>605</x:v>
      </x:c>
      <x:c r="B310" s="2" t="s">
        <x:v>679</x:v>
      </x:c>
      <x:c r="C310" s="2" t="s">
        <x:v>729</x:v>
      </x:c>
      <x:c r="D310" s="2" t="s">
        <x:v>715</x:v>
      </x:c>
      <x:c r="E310" s="2" t="s">
        <x:v>716</x:v>
      </x:c>
      <x:c r="F310" s="10" t="s">
        <x:v>783</x:v>
      </x:c>
    </x:row>
    <x:row r="311" ht="41.400001525878906">
      <x:c r="A311" s="2" t="s">
        <x:v>605</x:v>
      </x:c>
      <x:c r="B311" s="2" t="s">
        <x:v>696</x:v>
      </x:c>
      <x:c r="C311" s="2" t="s">
        <x:v>729</x:v>
      </x:c>
      <x:c r="D311" s="2" t="s">
        <x:v>715</x:v>
      </x:c>
      <x:c r="E311" s="2" t="s">
        <x:v>716</x:v>
      </x:c>
      <x:c r="F311" s="10" t="s">
        <x:v>783</x:v>
      </x:c>
    </x:row>
    <x:row r="312" ht="41.400001525878906">
      <x:c r="A312" s="2" t="s">
        <x:v>608</x:v>
      </x:c>
      <x:c r="B312" s="2" t="s">
        <x:v>643</x:v>
      </x:c>
      <x:c r="C312" s="2" t="s">
        <x:v>714</x:v>
      </x:c>
      <x:c r="D312" s="2" t="s">
        <x:v>722</x:v>
      </x:c>
      <x:c r="E312" s="2" t="s">
        <x:v>716</x:v>
      </x:c>
      <x:c r="F312" s="10" t="s">
        <x:v>784</x:v>
      </x:c>
    </x:row>
    <x:row r="313" ht="41.400001525878906">
      <x:c r="A313" s="2" t="s">
        <x:v>608</x:v>
      </x:c>
      <x:c r="B313" s="2" t="s">
        <x:v>661</x:v>
      </x:c>
      <x:c r="C313" s="2" t="s">
        <x:v>729</x:v>
      </x:c>
      <x:c r="D313" s="2" t="s">
        <x:v>715</x:v>
      </x:c>
      <x:c r="E313" s="2" t="s">
        <x:v>716</x:v>
      </x:c>
      <x:c r="F313" s="10" t="s">
        <x:v>784</x:v>
      </x:c>
    </x:row>
    <x:row r="314" ht="41.400001525878906">
      <x:c r="A314" s="2" t="s">
        <x:v>608</x:v>
      </x:c>
      <x:c r="B314" s="2" t="s">
        <x:v>670</x:v>
      </x:c>
      <x:c r="C314" s="2" t="s">
        <x:v>729</x:v>
      </x:c>
      <x:c r="D314" s="2" t="s">
        <x:v>715</x:v>
      </x:c>
      <x:c r="E314" s="2" t="s">
        <x:v>716</x:v>
      </x:c>
      <x:c r="F314" s="10" t="s">
        <x:v>784</x:v>
      </x:c>
    </x:row>
    <x:row r="315" ht="41.400001525878906">
      <x:c r="A315" s="2" t="s">
        <x:v>608</x:v>
      </x:c>
      <x:c r="B315" s="2" t="s">
        <x:v>679</x:v>
      </x:c>
      <x:c r="C315" s="2" t="s">
        <x:v>729</x:v>
      </x:c>
      <x:c r="D315" s="2" t="s">
        <x:v>715</x:v>
      </x:c>
      <x:c r="E315" s="2" t="s">
        <x:v>716</x:v>
      </x:c>
      <x:c r="F315" s="10" t="s">
        <x:v>784</x:v>
      </x:c>
    </x:row>
    <x:row r="316" ht="41.400001525878906">
      <x:c r="A316" s="2" t="s">
        <x:v>608</x:v>
      </x:c>
      <x:c r="B316" s="2" t="s">
        <x:v>696</x:v>
      </x:c>
      <x:c r="C316" s="2" t="s">
        <x:v>729</x:v>
      </x:c>
      <x:c r="D316" s="2" t="s">
        <x:v>715</x:v>
      </x:c>
      <x:c r="E316" s="2" t="s">
        <x:v>716</x:v>
      </x:c>
      <x:c r="F316" s="10" t="s">
        <x:v>784</x:v>
      </x:c>
    </x:row>
    <x:row r="317" ht="41.400001525878906">
      <x:c r="A317" s="2" t="s">
        <x:v>611</x:v>
      </x:c>
      <x:c r="B317" s="2" t="s">
        <x:v>643</x:v>
      </x:c>
      <x:c r="C317" s="2" t="s">
        <x:v>714</x:v>
      </x:c>
      <x:c r="D317" s="2" t="s">
        <x:v>715</x:v>
      </x:c>
      <x:c r="E317" s="2" t="s">
        <x:v>716</x:v>
      </x:c>
      <x:c r="F317" s="10" t="s">
        <x:v>785</x:v>
      </x:c>
    </x:row>
    <x:row r="318" ht="41.400001525878906">
      <x:c r="A318" s="2" t="s">
        <x:v>611</x:v>
      </x:c>
      <x:c r="B318" s="2" t="s">
        <x:v>661</x:v>
      </x:c>
      <x:c r="C318" s="2" t="s">
        <x:v>714</x:v>
      </x:c>
      <x:c r="D318" s="2" t="s">
        <x:v>715</x:v>
      </x:c>
      <x:c r="E318" s="2" t="s">
        <x:v>716</x:v>
      </x:c>
      <x:c r="F318" s="10" t="s">
        <x:v>785</x:v>
      </x:c>
    </x:row>
    <x:row r="319" ht="41.400001525878906">
      <x:c r="A319" s="2" t="s">
        <x:v>611</x:v>
      </x:c>
      <x:c r="B319" s="2" t="s">
        <x:v>670</x:v>
      </x:c>
      <x:c r="C319" s="2" t="s">
        <x:v>714</x:v>
      </x:c>
      <x:c r="D319" s="2" t="s">
        <x:v>715</x:v>
      </x:c>
      <x:c r="E319" s="2" t="s">
        <x:v>716</x:v>
      </x:c>
      <x:c r="F319" s="10" t="s">
        <x:v>785</x:v>
      </x:c>
    </x:row>
    <x:row r="320" ht="41.400001525878906">
      <x:c r="A320" s="2" t="s">
        <x:v>611</x:v>
      </x:c>
      <x:c r="B320" s="2" t="s">
        <x:v>679</x:v>
      </x:c>
      <x:c r="C320" s="2" t="s">
        <x:v>714</x:v>
      </x:c>
      <x:c r="D320" s="2" t="s">
        <x:v>715</x:v>
      </x:c>
      <x:c r="E320" s="2" t="s">
        <x:v>716</x:v>
      </x:c>
      <x:c r="F320" s="10" t="s">
        <x:v>785</x:v>
      </x:c>
    </x:row>
    <x:row r="321" ht="41.400001525878906">
      <x:c r="A321" s="2" t="s">
        <x:v>611</x:v>
      </x:c>
      <x:c r="B321" s="2" t="s">
        <x:v>696</x:v>
      </x:c>
      <x:c r="C321" s="2" t="s">
        <x:v>714</x:v>
      </x:c>
      <x:c r="D321" s="2" t="s">
        <x:v>715</x:v>
      </x:c>
      <x:c r="E321" s="2" t="s">
        <x:v>716</x:v>
      </x:c>
      <x:c r="F321" s="10" t="s">
        <x:v>785</x:v>
      </x:c>
    </x:row>
    <x:row r="322" ht="41.400001525878906">
      <x:c r="A322" s="2" t="s">
        <x:v>614</x:v>
      </x:c>
      <x:c r="B322" s="2" t="s">
        <x:v>643</x:v>
      </x:c>
      <x:c r="C322" s="2" t="s">
        <x:v>714</x:v>
      </x:c>
      <x:c r="D322" s="2" t="s">
        <x:v>722</x:v>
      </x:c>
      <x:c r="E322" s="2" t="s">
        <x:v>716</x:v>
      </x:c>
      <x:c r="F322" s="10" t="s">
        <x:v>786</x:v>
      </x:c>
    </x:row>
    <x:row r="323" ht="41.400001525878906">
      <x:c r="A323" s="2" t="s">
        <x:v>614</x:v>
      </x:c>
      <x:c r="B323" s="2" t="s">
        <x:v>661</x:v>
      </x:c>
      <x:c r="C323" s="2" t="s">
        <x:v>714</x:v>
      </x:c>
      <x:c r="D323" s="2" t="s">
        <x:v>722</x:v>
      </x:c>
      <x:c r="E323" s="2" t="s">
        <x:v>716</x:v>
      </x:c>
      <x:c r="F323" s="10" t="s">
        <x:v>786</x:v>
      </x:c>
    </x:row>
    <x:row r="324" ht="41.400001525878906">
      <x:c r="A324" s="2" t="s">
        <x:v>614</x:v>
      </x:c>
      <x:c r="B324" s="2" t="s">
        <x:v>670</x:v>
      </x:c>
      <x:c r="C324" s="2" t="s">
        <x:v>729</x:v>
      </x:c>
      <x:c r="D324" s="2" t="s">
        <x:v>715</x:v>
      </x:c>
      <x:c r="E324" s="2" t="s">
        <x:v>716</x:v>
      </x:c>
      <x:c r="F324" s="10" t="s">
        <x:v>786</x:v>
      </x:c>
    </x:row>
    <x:row r="325" ht="41.400001525878906">
      <x:c r="A325" s="2" t="s">
        <x:v>614</x:v>
      </x:c>
      <x:c r="B325" s="2" t="s">
        <x:v>679</x:v>
      </x:c>
      <x:c r="C325" s="2" t="s">
        <x:v>729</x:v>
      </x:c>
      <x:c r="D325" s="2" t="s">
        <x:v>715</x:v>
      </x:c>
      <x:c r="E325" s="2" t="s">
        <x:v>716</x:v>
      </x:c>
      <x:c r="F325" s="10" t="s">
        <x:v>786</x:v>
      </x:c>
    </x:row>
    <x:row r="326" ht="41.400001525878906">
      <x:c r="A326" s="2" t="s">
        <x:v>614</x:v>
      </x:c>
      <x:c r="B326" s="2" t="s">
        <x:v>696</x:v>
      </x:c>
      <x:c r="C326" s="2" t="s">
        <x:v>729</x:v>
      </x:c>
      <x:c r="D326" s="2" t="s">
        <x:v>715</x:v>
      </x:c>
      <x:c r="E326" s="2" t="s">
        <x:v>716</x:v>
      </x:c>
      <x:c r="F326" s="10" t="s">
        <x:v>786</x:v>
      </x:c>
    </x:row>
    <x:row r="327" ht="41.400001525878906">
      <x:c r="A327" s="2" t="s">
        <x:v>617</x:v>
      </x:c>
      <x:c r="B327" s="2" t="s">
        <x:v>643</x:v>
      </x:c>
      <x:c r="C327" s="2" t="s">
        <x:v>714</x:v>
      </x:c>
      <x:c r="D327" s="2" t="s">
        <x:v>722</x:v>
      </x:c>
      <x:c r="E327" s="2" t="s">
        <x:v>716</x:v>
      </x:c>
      <x:c r="F327" s="10" t="s">
        <x:v>787</x:v>
      </x:c>
    </x:row>
    <x:row r="328" ht="41.400001525878906">
      <x:c r="A328" s="2" t="s">
        <x:v>617</x:v>
      </x:c>
      <x:c r="B328" s="2" t="s">
        <x:v>661</x:v>
      </x:c>
      <x:c r="C328" s="2" t="s">
        <x:v>714</x:v>
      </x:c>
      <x:c r="D328" s="2" t="s">
        <x:v>722</x:v>
      </x:c>
      <x:c r="E328" s="2" t="s">
        <x:v>716</x:v>
      </x:c>
      <x:c r="F328" s="10" t="s">
        <x:v>787</x:v>
      </x:c>
    </x:row>
    <x:row r="329" ht="41.400001525878906">
      <x:c r="A329" s="2" t="s">
        <x:v>617</x:v>
      </x:c>
      <x:c r="B329" s="2" t="s">
        <x:v>670</x:v>
      </x:c>
      <x:c r="C329" s="2" t="s">
        <x:v>729</x:v>
      </x:c>
      <x:c r="D329" s="2" t="s">
        <x:v>715</x:v>
      </x:c>
      <x:c r="E329" s="2" t="s">
        <x:v>716</x:v>
      </x:c>
      <x:c r="F329" s="10" t="s">
        <x:v>787</x:v>
      </x:c>
    </x:row>
    <x:row r="330" ht="41.400001525878906">
      <x:c r="A330" s="2" t="s">
        <x:v>617</x:v>
      </x:c>
      <x:c r="B330" s="2" t="s">
        <x:v>679</x:v>
      </x:c>
      <x:c r="C330" s="2" t="s">
        <x:v>729</x:v>
      </x:c>
      <x:c r="D330" s="2" t="s">
        <x:v>715</x:v>
      </x:c>
      <x:c r="E330" s="2" t="s">
        <x:v>716</x:v>
      </x:c>
      <x:c r="F330" s="10" t="s">
        <x:v>787</x:v>
      </x:c>
    </x:row>
    <x:row r="331" ht="41.400001525878906">
      <x:c r="A331" s="2" t="s">
        <x:v>617</x:v>
      </x:c>
      <x:c r="B331" s="2" t="s">
        <x:v>696</x:v>
      </x:c>
      <x:c r="C331" s="2" t="s">
        <x:v>729</x:v>
      </x:c>
      <x:c r="D331" s="2" t="s">
        <x:v>715</x:v>
      </x:c>
      <x:c r="E331" s="2" t="s">
        <x:v>716</x:v>
      </x:c>
      <x:c r="F331" s="10" t="s">
        <x:v>787</x:v>
      </x:c>
    </x:row>
    <x:row r="332" ht="41.400001525878906">
      <x:c r="A332" s="2" t="s">
        <x:v>620</x:v>
      </x:c>
      <x:c r="B332" s="2" t="s">
        <x:v>643</x:v>
      </x:c>
      <x:c r="C332" s="2" t="s">
        <x:v>714</x:v>
      </x:c>
      <x:c r="D332" s="2" t="s">
        <x:v>715</x:v>
      </x:c>
      <x:c r="E332" s="2" t="s">
        <x:v>716</x:v>
      </x:c>
      <x:c r="F332" s="10" t="s">
        <x:v>788</x:v>
      </x:c>
    </x:row>
    <x:row r="333" ht="41.400001525878906">
      <x:c r="A333" s="2" t="s">
        <x:v>620</x:v>
      </x:c>
      <x:c r="B333" s="2" t="s">
        <x:v>661</x:v>
      </x:c>
      <x:c r="C333" s="2" t="s">
        <x:v>714</x:v>
      </x:c>
      <x:c r="D333" s="2" t="s">
        <x:v>715</x:v>
      </x:c>
      <x:c r="E333" s="2" t="s">
        <x:v>716</x:v>
      </x:c>
      <x:c r="F333" s="10" t="s">
        <x:v>788</x:v>
      </x:c>
    </x:row>
    <x:row r="334" ht="41.400001525878906">
      <x:c r="A334" s="2" t="s">
        <x:v>620</x:v>
      </x:c>
      <x:c r="B334" s="2" t="s">
        <x:v>670</x:v>
      </x:c>
      <x:c r="C334" s="2" t="s">
        <x:v>714</x:v>
      </x:c>
      <x:c r="D334" s="2" t="s">
        <x:v>715</x:v>
      </x:c>
      <x:c r="E334" s="2" t="s">
        <x:v>716</x:v>
      </x:c>
      <x:c r="F334" s="10" t="s">
        <x:v>788</x:v>
      </x:c>
    </x:row>
    <x:row r="335" ht="41.400001525878906">
      <x:c r="A335" s="2" t="s">
        <x:v>620</x:v>
      </x:c>
      <x:c r="B335" s="2" t="s">
        <x:v>679</x:v>
      </x:c>
      <x:c r="C335" s="2" t="s">
        <x:v>714</x:v>
      </x:c>
      <x:c r="D335" s="2" t="s">
        <x:v>715</x:v>
      </x:c>
      <x:c r="E335" s="2" t="s">
        <x:v>716</x:v>
      </x:c>
      <x:c r="F335" s="10" t="s">
        <x:v>788</x:v>
      </x:c>
    </x:row>
    <x:row r="336" ht="41.400001525878906">
      <x:c r="A336" s="55" t="s">
        <x:v>620</x:v>
      </x:c>
      <x:c r="B336" s="55" t="s">
        <x:v>696</x:v>
      </x:c>
      <x:c r="C336" s="55" t="s">
        <x:v>714</x:v>
      </x:c>
      <x:c r="D336" s="55" t="s">
        <x:v>715</x:v>
      </x:c>
      <x:c r="E336" s="55" t="s">
        <x:v>716</x:v>
      </x:c>
      <x:c r="F336" s="57" t="s">
        <x:v>788</x:v>
      </x:c>
    </x:row>
    <x:row r="337">
      <x:c r="A337" t="str">
        <x:v>D20260806</x:v>
      </x:c>
      <x:c r="B337" t="str">
        <x:v>P017</x:v>
      </x:c>
      <x:c r="C337" t="str">
        <x:v>Mantener</x:v>
      </x:c>
      <x:c r="D337" t="str">
        <x:v>Consenso</x:v>
      </x:c>
      <x:c r="E337" t="str">
        <x:v>Público</x:v>
      </x:c>
      <x:c r="F337" t="str">
        <x:v>Comunicado oficial: https://www.banxico.org.mx/publicaciones-y-prensa/anuncios-de-las-decisiones-de-politica-monetaria/{8DA3F519-341F-480E-1D4E-1AEE71DD08DA}.pdf. El comunicado declara presencia de todos los miembros y decisión unánime.</x:v>
      </x:c>
    </x:row>
    <x:row r="338">
      <x:c r="A338" t="str">
        <x:v>D20260806</x:v>
      </x:c>
      <x:c r="B338" t="str">
        <x:v>P018</x:v>
      </x:c>
      <x:c r="C338" t="str">
        <x:v>Mantener</x:v>
      </x:c>
      <x:c r="D338" t="str">
        <x:v>Consenso</x:v>
      </x:c>
      <x:c r="E338" t="str">
        <x:v>Público</x:v>
      </x:c>
      <x:c r="F338" t="str">
        <x:v>Comunicado oficial: https://www.banxico.org.mx/publicaciones-y-prensa/anuncios-de-las-decisiones-de-politica-monetaria/{8DA3F519-341F-480E-1D4E-1AEE71DD08DA}.pdf. El comunicado declara presencia de todos los miembros y decisión unánime.</x:v>
      </x:c>
    </x:row>
    <x:row r="339">
      <x:c r="A339" t="str">
        <x:v>D20260806</x:v>
      </x:c>
      <x:c r="B339" t="str">
        <x:v>P019</x:v>
      </x:c>
      <x:c r="C339" t="str">
        <x:v>Mantener</x:v>
      </x:c>
      <x:c r="D339" t="str">
        <x:v>Consenso</x:v>
      </x:c>
      <x:c r="E339" t="str">
        <x:v>Público</x:v>
      </x:c>
      <x:c r="F339" t="str">
        <x:v>Comunicado oficial: https://www.banxico.org.mx/publicaciones-y-prensa/anuncios-de-las-decisiones-de-politica-monetaria/{8DA3F519-341F-480E-1D4E-1AEE71DD08DA}.pdf. El comunicado declara presencia de todos los miembros y decisión unánime.</x:v>
      </x:c>
    </x:row>
    <x:row r="340">
      <x:c r="A340" t="str">
        <x:v>D20260806</x:v>
      </x:c>
      <x:c r="B340" t="str">
        <x:v>P020</x:v>
      </x:c>
      <x:c r="C340" t="str">
        <x:v>Mantener</x:v>
      </x:c>
      <x:c r="D340" t="str">
        <x:v>Consenso</x:v>
      </x:c>
      <x:c r="E340" t="str">
        <x:v>Público</x:v>
      </x:c>
      <x:c r="F340" t="str">
        <x:v>Comunicado oficial: https://www.banxico.org.mx/publicaciones-y-prensa/anuncios-de-las-decisiones-de-politica-monetaria/{8DA3F519-341F-480E-1D4E-1AEE71DD08DA}.pdf. El comunicado declara presencia de todos los miembros y decisión unánime.</x:v>
      </x:c>
    </x:row>
    <x:row r="341">
      <x:c r="A341" t="str">
        <x:v>D20260806</x:v>
      </x:c>
      <x:c r="B341" t="str">
        <x:v>P021</x:v>
      </x:c>
      <x:c r="C341" t="str">
        <x:v>Mantener</x:v>
      </x:c>
      <x:c r="D341" t="str">
        <x:v>Consenso</x:v>
      </x:c>
      <x:c r="E341" t="str">
        <x:v>Público</x:v>
      </x:c>
      <x:c r="F341" t="str">
        <x:v>Comunicado oficial: https://www.banxico.org.mx/publicaciones-y-prensa/anuncios-de-las-decisiones-de-politica-monetaria/{8DA3F519-341F-480E-1D4E-1AEE71DD08DA}.pdf. El comunicado declara presencia de todos los miembros y decisión unánime.</x:v>
      </x:c>
    </x:row>
  </x:sheetData>
  <x:dataValidations count="2">
    <x:dataValidation type="list" sqref="C2:C335">
      <x:formula1>"Subir,Bajar,Mantener,No disponible"</x:formula1>
    </x:dataValidation>
    <x:dataValidation type="list" sqref="E2:E335">
      <x:formula1>"Público,Parcial,Anónimo,No disponible"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f57ad4c3854e2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4" customWidth="1"/>
    <x:col min="2" max="2" width="38" customWidth="1"/>
  </x:cols>
  <x:sheetData>
    <x:row r="1" ht="31.950000762939453" customHeight="1">
      <x:c r="A1" s="1" t="s">
        <x:v>623</x:v>
      </x:c>
      <x:c r="B1" s="1" t="s">
        <x:v>789</x:v>
      </x:c>
    </x:row>
    <x:row r="2" ht="14.399999618530273">
      <x:c r="A2" s="2" t="s">
        <x:v>790</x:v>
      </x:c>
      <x:c r="B2" s="2" t="s">
        <x:v>791</x:v>
      </x:c>
    </x:row>
    <x:row r="3" ht="14.399999618530273">
      <x:c r="A3" s="2" t="s">
        <x:v>792</x:v>
      </x:c>
      <x:c r="B3" s="2" t="s">
        <x:v>793</x:v>
      </x:c>
    </x:row>
    <x:row r="4" ht="14.399999618530273">
      <x:c r="A4" s="2" t="s">
        <x:v>794</x:v>
      </x:c>
      <x:c r="B4" s="2" t="s">
        <x:v>795</x:v>
      </x:c>
    </x:row>
    <x:row r="5" ht="14.399999618530273">
      <x:c r="A5" s="2" t="s">
        <x:v>796</x:v>
      </x:c>
      <x:c r="B5" s="2" t="s">
        <x:v>797</x:v>
      </x:c>
    </x:row>
    <x:row r="6" ht="14.399999618530273">
      <x:c r="A6" s="2" t="s">
        <x:v>798</x:v>
      </x:c>
      <x:c r="B6" s="2" t="s">
        <x:v>799</x:v>
      </x:c>
    </x:row>
    <x:row r="7" ht="14.399999618530273">
      <x:c r="A7" s="2" t="s">
        <x:v>800</x:v>
      </x:c>
      <x:c r="B7" s="2" t="s">
        <x:v>801</x:v>
      </x:c>
    </x:row>
    <x:row r="8" ht="14.399999618530273">
      <x:c r="A8" s="2" t="s">
        <x:v>802</x:v>
      </x:c>
      <x:c r="B8" s="2" t="s">
        <x:v>803</x:v>
      </x:c>
    </x:row>
    <x:row r="9" ht="14.399999618530273">
      <x:c r="A9" s="2" t="s">
        <x:v>804</x:v>
      </x:c>
      <x:c r="B9" s="2" t="s">
        <x:v>805</x:v>
      </x:c>
    </x:row>
    <x:row r="10" ht="14.399999618530273">
      <x:c r="A10" s="2" t="s">
        <x:v>626</x:v>
      </x:c>
      <x:c r="B10" s="2" t="s">
        <x:v>806</x:v>
      </x:c>
    </x:row>
    <x:row r="11" ht="14.399999618530273">
      <x:c r="A11" s="2" t="s">
        <x:v>807</x:v>
      </x:c>
      <x:c r="B11" s="2" t="s">
        <x:v>808</x:v>
      </x:c>
    </x:row>
    <x:row r="12" ht="14.399999618530273">
      <x:c r="A12" s="2" t="s">
        <x:v>809</x:v>
      </x:c>
      <x:c r="B12" s="2" t="s">
        <x:v>810</x:v>
      </x:c>
    </x:row>
    <x:row r="13" ht="14.399999618530273">
      <x:c r="A13" s="2" t="s">
        <x:v>630</x:v>
      </x:c>
      <x:c r="B13" s="2" t="s">
        <x:v>811</x:v>
      </x:c>
    </x:row>
    <x:row r="14" ht="14.399999618530273">
      <x:c r="A14" s="2" t="s">
        <x:v>631</x:v>
      </x:c>
      <x:c r="B14" s="2" t="s">
        <x:v>812</x:v>
      </x:c>
    </x:row>
    <x:row r="15" ht="14.399999618530273">
      <x:c r="A15" s="2" t="s">
        <x:v>632</x:v>
      </x:c>
      <x:c r="B15" s="2" t="s">
        <x:v>813</x:v>
      </x:c>
    </x:row>
    <x:row r="16" ht="14.399999618530273">
      <x:c r="A16" s="2" t="s">
        <x:v>633</x:v>
      </x:c>
      <x:c r="B16" s="2" t="s">
        <x:v>814</x:v>
      </x:c>
    </x:row>
    <x:row r="17" ht="14.399999618530273">
      <x:c r="A17" s="2" t="s">
        <x:v>642</x:v>
      </x:c>
      <x:c r="B17" s="2" t="s">
        <x:v>815</x:v>
      </x:c>
    </x:row>
    <x:row r="18" ht="14.399999618530273">
      <x:c r="A18" s="2" t="s">
        <x:v>643</x:v>
      </x:c>
      <x:c r="B18" s="2" t="s">
        <x:v>816</x:v>
      </x:c>
    </x:row>
    <x:row r="19" ht="14.399999618530273">
      <x:c r="A19" s="2" t="s">
        <x:v>661</x:v>
      </x:c>
      <x:c r="B19" s="2" t="s">
        <x:v>817</x:v>
      </x:c>
    </x:row>
    <x:row r="20" ht="14.399999618530273">
      <x:c r="A20" s="2" t="s">
        <x:v>670</x:v>
      </x:c>
      <x:c r="B20" s="2" t="s">
        <x:v>818</x:v>
      </x:c>
    </x:row>
    <x:row r="21" ht="14.399999618530273">
      <x:c r="A21" s="2" t="s">
        <x:v>679</x:v>
      </x:c>
      <x:c r="B21" s="2" t="s">
        <x:v>819</x:v>
      </x:c>
    </x:row>
    <x:row r="22" ht="14.399999618530273">
      <x:c r="A22" s="2" t="s">
        <x:v>696</x:v>
      </x:c>
      <x:c r="B22" s="2" t="s">
        <x:v>820</x:v>
      </x:c>
    </x:row>
    <x:row r="23" ht="14.399999618530273">
      <x:c r="A23" s="2" t="s">
        <x:v>821</x:v>
      </x:c>
      <x:c r="B23" s="2" t="s">
        <x:v>822</x:v>
      </x:c>
    </x:row>
    <x:row r="24" ht="14.399999618530273">
      <x:c r="A24" s="2" t="s">
        <x:v>823</x:v>
      </x:c>
      <x:c r="B24" s="2" t="s">
        <x:v>824</x:v>
      </x:c>
    </x:row>
    <x:row r="25" ht="14.399999618530273">
      <x:c r="A25" s="2" t="s">
        <x:v>825</x:v>
      </x:c>
      <x:c r="B25" s="2" t="s">
        <x:v>826</x:v>
      </x:c>
    </x:row>
    <x:row r="26" ht="14.399999618530273">
      <x:c r="A26" s="2" t="s">
        <x:v>827</x:v>
      </x:c>
      <x:c r="B26" s="2" t="s">
        <x:v>828</x:v>
      </x:c>
    </x:row>
    <x:row r="27" ht="14.399999618530273">
      <x:c r="A27" s="2" t="s">
        <x:v>829</x:v>
      </x:c>
      <x:c r="B27" s="2" t="s">
        <x:v>830</x:v>
      </x:c>
    </x:row>
    <x:row r="28" ht="14.399999618530273">
      <x:c r="A28" s="2" t="s">
        <x:v>831</x:v>
      </x:c>
      <x:c r="B28" s="2" t="s">
        <x:v>832</x:v>
      </x:c>
    </x:row>
    <x:row r="29" ht="14.399999618530273">
      <x:c r="A29" s="2" t="s">
        <x:v>833</x:v>
      </x:c>
      <x:c r="B29" s="2" t="s">
        <x:v>834</x:v>
      </x:c>
    </x:row>
    <x:row r="30" ht="14.399999618530273">
      <x:c r="A30" s="3" t="s">
        <x:v>835</x:v>
      </x:c>
      <x:c r="B30" s="3" t="s">
        <x:v>836</x:v>
      </x:c>
    </x:row>
  </x:sheetData>
  <x:pageMargins left="0.7" right="0.7" top="0.75" bottom="0.75" header="0.3" footer="0.3"/>
  <x:tableParts count="1">
    <x:tablePart xmlns:r="http://schemas.openxmlformats.org/officeDocument/2006/relationships" r:id="R0a36b44e3a88400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34" customWidth="1"/>
    <x:col min="2" max="2" width="16" customWidth="1"/>
    <x:col min="3" max="3" width="78" customWidth="1"/>
    <x:col min="4" max="4" width="16" customWidth="1"/>
  </x:cols>
  <x:sheetData>
    <x:row r="1" ht="31.950000762939453" customHeight="1">
      <x:c r="A1" s="1" t="s">
        <x:v>837</x:v>
      </x:c>
      <x:c r="B1" s="1" t="s">
        <x:v>0</x:v>
      </x:c>
      <x:c r="C1" s="1" t="s">
        <x:v>838</x:v>
      </x:c>
      <x:c r="D1" s="1" t="s">
        <x:v>839</x:v>
      </x:c>
    </x:row>
    <x:row r="2" ht="27.600000381469727">
      <x:c r="A2" s="3" t="s">
        <x:v>840</x:v>
      </x:c>
      <x:c r="B2" s="3"/>
      <x:c r="C2" s="11" t="s">
        <x:v>841</x:v>
      </x:c>
      <x:c r="D2" s="3" t="s">
        <x:v>842</x:v>
      </x:c>
    </x:row>
  </x:sheetData>
  <x:pageMargins left="0.7" right="0.7" top="0.75" bottom="0.75" header="0.3" footer="0.3"/>
  <x:tableParts count="1">
    <x:tablePart xmlns:r="http://schemas.openxmlformats.org/officeDocument/2006/relationships" r:id="Rfc6c3aebc70b464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34" customWidth="1"/>
    <x:col min="2" max="2" width="18" customWidth="1"/>
    <x:col min="3" max="4" width="24" customWidth="1"/>
  </x:cols>
  <x:sheetData>
    <x:row r="1" ht="37.95000076293945" customHeight="1">
      <x:c r="A1" s="114" t="s">
        <x:v>843</x:v>
      </x:c>
      <x:c r="B1" s="114"/>
      <x:c r="C1" s="114"/>
      <x:c r="D1" s="114"/>
    </x:row>
    <x:row r="3">
      <x:c r="A3" s="12" t="s">
        <x:v>844</x:v>
      </x:c>
      <x:c r="B3" s="12" t="s">
        <x:v>845</x:v>
      </x:c>
    </x:row>
    <x:row r="4">
      <x:c r="A4" s="13" t="s">
        <x:v>846</x:v>
      </x:c>
      <x:c r="B4" s="16" t="n">
        <x:f>MIN(Decisiones!B2:B237)</x:f>
        <x:v>36543</x:v>
      </x:c>
    </x:row>
    <x:row r="5">
      <x:c r="A5" s="14" t="s">
        <x:v>847</x:v>
      </x:c>
      <x:c r="B5" s="17" t="n">
        <x:v>46240</x:v>
      </x:c>
    </x:row>
    <x:row r="6">
      <x:c r="A6" s="14" t="s">
        <x:v>848</x:v>
      </x:c>
      <x:c r="B6" s="18" t="n">
        <x:v>237</x:v>
      </x:c>
    </x:row>
    <x:row r="7">
      <x:c r="A7" s="14" t="s">
        <x:v>849</x:v>
      </x:c>
      <x:c r="B7" s="18" t="n">
        <x:v>234</x:v>
      </x:c>
    </x:row>
    <x:row r="8">
      <x:c r="A8" s="14" t="s">
        <x:v>850</x:v>
      </x:c>
      <x:c r="B8" s="18" t="n">
        <x:v>3</x:v>
      </x:c>
    </x:row>
    <x:row r="9">
      <x:c r="A9" s="14" t="s">
        <x:v>851</x:v>
      </x:c>
      <x:c r="B9" s="18" t="n">
        <x:v>80</x:v>
      </x:c>
    </x:row>
    <x:row r="10">
      <x:c r="A10" s="14" t="s">
        <x:v>852</x:v>
      </x:c>
      <x:c r="B10" s="18" t="n">
        <x:v>33</x:v>
      </x:c>
    </x:row>
    <x:row r="11">
      <x:c r="A11" s="14" t="s">
        <x:v>853</x:v>
      </x:c>
      <x:c r="B11" s="18" t="n">
        <x:v>124</x:v>
      </x:c>
    </x:row>
    <x:row r="12">
      <x:c r="A12" s="14" t="s">
        <x:v>854</x:v>
      </x:c>
      <x:c r="B12" s="18" t="n">
        <x:v>339</x:v>
      </x:c>
    </x:row>
    <x:row r="13">
      <x:c r="A13" s="14" t="s">
        <x:v>855</x:v>
      </x:c>
      <x:c r="B13" s="18" t="n">
        <x:f>COUNTIF(Votaciones!E2:E336,"Parcial")</x:f>
        <x:v>0</x:v>
      </x:c>
    </x:row>
    <x:row r="14">
      <x:c r="A14" s="15" t="s">
        <x:v>856</x:v>
      </x:c>
      <x:c r="B14" s="19" t="n">
        <x:f>COUNTIF(Votaciones!E2:E336,"Anónimo")</x:f>
        <x:v>1</x:v>
      </x:c>
    </x:row>
    <x:row r="16">
      <x:c r="A16" s="115" t="s">
        <x:v>857</x:v>
      </x:c>
      <x:c r="B16" s="115"/>
      <x:c r="C16" s="115"/>
      <x:c r="D16" s="115"/>
    </x:row>
    <x:row r="17" ht="34.04999923706055" customHeight="1">
      <x:c r="A17" s="116" t="s">
        <x:v>858</x:v>
      </x:c>
      <x:c r="B17" s="116"/>
      <x:c r="C17" s="116"/>
      <x:c r="D17" s="116"/>
    </x:row>
    <x:row r="18" ht="34.04999923706055" customHeight="1">
      <x:c r="A18" s="117" t="s">
        <x:v>859</x:v>
      </x:c>
      <x:c r="B18" s="117"/>
      <x:c r="C18" s="117"/>
      <x:c r="D18" s="117"/>
    </x:row>
    <x:row r="19" ht="34.04999923706055" customHeight="1">
      <x:c r="A19" s="118" t="s">
        <x:v>860</x:v>
      </x:c>
      <x:c r="B19" s="118"/>
      <x:c r="C19" s="118"/>
      <x:c r="D19" s="118"/>
    </x:row>
  </x:sheetData>
  <x:mergeCells>
    <x:mergeCell ref="A1:D1"/>
    <x:mergeCell ref="A16:D16"/>
    <x:mergeCell ref="A17:D17"/>
    <x:mergeCell ref="A18:D18"/>
    <x:mergeCell ref="A19:D1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8" customWidth="1"/>
    <x:col min="2" max="3" width="14" customWidth="1"/>
    <x:col min="4" max="4" width="19" customWidth="1"/>
    <x:col min="5" max="5" width="20" customWidth="1"/>
    <x:col min="6" max="6" width="17" customWidth="1"/>
    <x:col min="7" max="7" width="16" customWidth="1"/>
    <x:col min="8" max="8" width="21" customWidth="1"/>
    <x:col min="9" max="9" width="22" customWidth="1"/>
    <x:col min="10" max="12" width="12" customWidth="1"/>
    <x:col min="13" max="13" width="2" customWidth="1"/>
    <x:col min="24" max="27" width="2" customWidth="1"/>
  </x:cols>
  <x:sheetData>
    <x:row r="1" ht="36" customHeight="1">
      <x:c r="A1" s="119" t="s">
        <x:v>861</x:v>
      </x:c>
      <x:c r="B1" s="119"/>
      <x:c r="C1" s="119"/>
      <x:c r="D1" s="119"/>
      <x:c r="E1" s="119"/>
      <x:c r="F1" s="119"/>
      <x:c r="G1" s="119"/>
      <x:c r="H1" s="119"/>
      <x:c r="I1" s="119"/>
      <x:c r="J1" s="119"/>
      <x:c r="K1" s="119"/>
      <x:c r="L1" s="119"/>
      <x:c r="X1" s="78" t="s">
        <x:v>862</x:v>
      </x:c>
      <x:c r="Y1" s="78" t="s">
        <x:v>863</x:v>
      </x:c>
      <x:c r="Z1" s="78" t="s">
        <x:v>864</x:v>
      </x:c>
      <x:c r="AA1" s="78" t="s">
        <x:v>865</x:v>
      </x:c>
    </x:row>
    <x:row r="2">
      <x:c r="A2" s="20" t="s">
        <x:v>866</x:v>
      </x:c>
      <x:c r="B2" s="120">
        <x:v>46149</x:v>
      </x:c>
      <x:c r="C2" s="121"/>
      <x:c r="D2" s="122"/>
      <x:c r="E2" s="23" t="s">
        <x:v>867</x:v>
      </x:c>
      <x:c r="F2" s="123" t="n">
        <x:f>IFERROR(INDEX(Decisiones!$B$2:$B$238,MATCH($X$2,Decisiones!$A$2:$A$238,0)-1),"— inicio —")</x:f>
        <x:v>46107</x:v>
      </x:c>
      <x:c r="G2" s="123"/>
      <x:c r="H2" s="123"/>
      <x:c r="I2" s="72" t="s">
        <x:v>868</x:v>
      </x:c>
      <x:c r="J2" s="123" t="n">
        <x:f>IFERROR(INDEX(Decisiones!$B$2:$B$238,MATCH($X$2,Decisiones!$A$2:$A$238,0)+1),"— final —")</x:f>
        <x:v>46198</x:v>
      </x:c>
      <x:c r="K2" s="124"/>
      <x:c r="L2" s="125"/>
      <x:c r="X2" t="str">
        <x:f>INDEX($Z$2:$Z$258,MATCH($B$2,$AA$2:$AA$258,0))</x:f>
        <x:v>D20260507</x:v>
      </x:c>
      <x:c r="Z2" t="str">
        <x:v>D20000118</x:v>
      </x:c>
      <x:c r="AA2" t="n">
        <x:v>36543</x:v>
      </x:c>
    </x:row>
    <x:row r="3" ht="27" customHeight="1">
      <x:c r="A3" s="126" t="s">
        <x:v>869</x:v>
      </x:c>
      <x:c r="B3" s="126"/>
      <x:c r="C3" s="126"/>
      <x:c r="D3" s="126"/>
      <x:c r="E3" s="126"/>
      <x:c r="F3" s="126"/>
      <x:c r="G3" s="126"/>
      <x:c r="H3" s="126"/>
      <x:c r="I3" s="126"/>
      <x:c r="J3" s="126"/>
      <x:c r="K3" s="126"/>
      <x:c r="L3" s="126"/>
      <x:c r="Z3" t="str">
        <x:v>D20000516</x:v>
      </x:c>
      <x:c r="AA3" t="n">
        <x:v>36662</x:v>
      </x:c>
    </x:row>
    <x:row r="4">
      <x:c r="Z4" t="str">
        <x:v>D20000626</x:v>
      </x:c>
      <x:c r="AA4" t="n">
        <x:v>36703</x:v>
      </x:c>
    </x:row>
    <x:row r="5">
      <x:c r="Z5" t="str">
        <x:v>D20000731</x:v>
      </x:c>
      <x:c r="AA5" t="n">
        <x:v>36738</x:v>
      </x:c>
    </x:row>
    <x:row r="6">
      <x:c r="Z6" t="str">
        <x:v>D20001017</x:v>
      </x:c>
      <x:c r="AA6" t="n">
        <x:v>36816</x:v>
      </x:c>
    </x:row>
    <x:row r="7">
      <x:c r="Z7" t="str">
        <x:v>D20001110</x:v>
      </x:c>
      <x:c r="AA7" t="n">
        <x:v>36840</x:v>
      </x:c>
    </x:row>
    <x:row r="8">
      <x:c r="Z8" t="str">
        <x:v>D20010112</x:v>
      </x:c>
      <x:c r="AA8" t="n">
        <x:v>36903</x:v>
      </x:c>
    </x:row>
    <x:row r="9">
      <x:c r="Z9" t="str">
        <x:v>D20010518</x:v>
      </x:c>
      <x:c r="AA9" t="n">
        <x:v>37029</x:v>
      </x:c>
    </x:row>
    <x:row r="10">
      <x:c r="Z10" t="str">
        <x:v>D20010731</x:v>
      </x:c>
      <x:c r="AA10" t="n">
        <x:v>37103</x:v>
      </x:c>
    </x:row>
    <x:row r="11">
      <x:c r="Z11" t="str">
        <x:v>D20020208</x:v>
      </x:c>
      <x:c r="AA11" t="n">
        <x:v>37295</x:v>
      </x:c>
    </x:row>
    <x:row r="12">
      <x:c r="Z12" t="str">
        <x:v>D20020412</x:v>
      </x:c>
      <x:c r="AA12" t="n">
        <x:v>37358</x:v>
      </x:c>
    </x:row>
    <x:row r="13">
      <x:c r="Z13" t="str">
        <x:v>D20020923</x:v>
      </x:c>
      <x:c r="AA13" t="n">
        <x:v>37522</x:v>
      </x:c>
    </x:row>
    <x:row r="14">
      <x:c r="Z14" t="str">
        <x:v>D20021206</x:v>
      </x:c>
      <x:c r="AA14" t="n">
        <x:v>37596</x:v>
      </x:c>
    </x:row>
    <x:row r="15">
      <x:c r="Z15" t="str">
        <x:v>D20030110</x:v>
      </x:c>
      <x:c r="AA15" t="n">
        <x:v>37631</x:v>
      </x:c>
    </x:row>
    <x:row r="16">
      <x:c r="Z16" t="str">
        <x:v>D20030124</x:v>
      </x:c>
      <x:c r="AA16" t="n">
        <x:v>37645</x:v>
      </x:c>
    </x:row>
    <x:row r="17">
      <x:c r="Z17" t="str">
        <x:v>D20030207</x:v>
      </x:c>
      <x:c r="AA17" t="n">
        <x:v>37659</x:v>
      </x:c>
    </x:row>
    <x:row r="18">
      <x:c r="Z18" t="str">
        <x:v>D20030221</x:v>
      </x:c>
      <x:c r="AA18" t="n">
        <x:v>37673</x:v>
      </x:c>
    </x:row>
    <x:row r="19">
      <x:c r="A19" s="127" t="s">
        <x:v>870</x:v>
      </x:c>
      <x:c r="B19" s="127"/>
      <x:c r="C19" s="127"/>
      <x:c r="D19" s="127"/>
      <x:c r="E19" s="127"/>
      <x:c r="F19" s="127"/>
      <x:c r="G19" s="127"/>
      <x:c r="H19" s="127"/>
      <x:c r="I19" s="127"/>
      <x:c r="J19" s="127"/>
      <x:c r="K19" s="127"/>
      <x:c r="L19" s="127"/>
      <x:c r="Z19" t="str">
        <x:v>D20030328</x:v>
      </x:c>
      <x:c r="AA19" t="n">
        <x:v>37708</x:v>
      </x:c>
    </x:row>
    <x:row r="20">
      <x:c r="Z20" t="str">
        <x:v>D20030425</x:v>
      </x:c>
      <x:c r="AA20" t="n">
        <x:v>37736</x:v>
      </x:c>
    </x:row>
    <x:row r="21">
      <x:c r="A21" s="128" t="s">
        <x:v>866</x:v>
      </x:c>
      <x:c r="B21" s="128" t="s">
        <x:v>0</x:v>
      </x:c>
      <x:c r="C21" s="128" t="s">
        <x:v>0</x:v>
      </x:c>
      <x:c r="D21" s="128" t="s">
        <x:v>0</x:v>
      </x:c>
      <x:c r="E21" s="128" t="s">
        <x:v>871</x:v>
      </x:c>
      <x:c r="F21" s="128" t="s">
        <x:v>871</x:v>
      </x:c>
      <x:c r="G21" s="128" t="s">
        <x:v>871</x:v>
      </x:c>
      <x:c r="H21" s="128" t="s">
        <x:v>871</x:v>
      </x:c>
      <x:c r="I21" s="128" t="s">
        <x:v>872</x:v>
      </x:c>
      <x:c r="J21" s="128" t="s">
        <x:v>872</x:v>
      </x:c>
      <x:c r="K21" s="128" t="s">
        <x:v>872</x:v>
      </x:c>
      <x:c r="L21" s="128" t="s">
        <x:v>872</x:v>
      </x:c>
      <x:c r="Z21" t="str">
        <x:v>D20030523</x:v>
      </x:c>
      <x:c r="AA21" t="n">
        <x:v>37764</x:v>
      </x:c>
    </x:row>
    <x:row r="22">
      <x:c r="A22" s="129" t="n">
        <x:f>INDEX(Decisiones!$B$2:$B$238,MATCH($X$2,Decisiones!$A$2:$A$238,0))</x:f>
        <x:v>46149</x:v>
      </x:c>
      <x:c r="B22" s="130"/>
      <x:c r="C22" s="130"/>
      <x:c r="D22" s="130"/>
      <x:c r="E22" s="131" t="n">
        <x:f>IFERROR(INDEX(Decisiones!$B$2:$B$238,MATCH($X$2,Decisiones!$A$2:$A$238,0)),"")</x:f>
        <x:v>46149</x:v>
      </x:c>
      <x:c r="F22" s="131"/>
      <x:c r="G22" s="131"/>
      <x:c r="H22" s="131"/>
      <x:c r="I22" s="130" t="str">
        <x:f>IFERROR(INDEX(Decisiones!$D$2:$D$237,MATCH($X$2,Decisiones!$A$2:$A$238,0)),"")</x:f>
        <x:v>Ordinaria</x:v>
      </x:c>
      <x:c r="J22" s="130"/>
      <x:c r="K22" s="130"/>
      <x:c r="L22" s="130"/>
      <x:c r="Z22" t="str">
        <x:v>D20030627</x:v>
      </x:c>
      <x:c r="AA22" t="n">
        <x:v>37799</x:v>
      </x:c>
    </x:row>
    <x:row r="23">
      <x:c r="A23" s="128" t="s">
        <x:v>873</x:v>
      </x:c>
      <x:c r="B23" s="128" t="s">
        <x:v>873</x:v>
      </x:c>
      <x:c r="C23" s="128" t="s">
        <x:v>873</x:v>
      </x:c>
      <x:c r="D23" s="128" t="s">
        <x:v>873</x:v>
      </x:c>
      <x:c r="E23" s="128" t="s">
        <x:v>874</x:v>
      </x:c>
      <x:c r="F23" s="128" t="s">
        <x:v>874</x:v>
      </x:c>
      <x:c r="G23" s="128" t="s">
        <x:v>874</x:v>
      </x:c>
      <x:c r="H23" s="128" t="s">
        <x:v>874</x:v>
      </x:c>
      <x:c r="I23" s="128" t="s">
        <x:v>875</x:v>
      </x:c>
      <x:c r="J23" s="128" t="s">
        <x:v>875</x:v>
      </x:c>
      <x:c r="K23" s="128" t="s">
        <x:v>875</x:v>
      </x:c>
      <x:c r="L23" s="128" t="s">
        <x:v>875</x:v>
      </x:c>
      <x:c r="Z23" t="str">
        <x:v>D20030725</x:v>
      </x:c>
      <x:c r="AA23" t="n">
        <x:v>37827</x:v>
      </x:c>
    </x:row>
    <x:row r="24">
      <x:c r="A24" s="132" t="n">
        <x:f>IFERROR(INDEX(Decisiones!$F$2:$F$238,MATCH($X$2,Decisiones!$A$2:$A$238,0)),"")</x:f>
        <x:v>6.75</x:v>
      </x:c>
      <x:c r="B24" s="132"/>
      <x:c r="C24" s="132"/>
      <x:c r="D24" s="132"/>
      <x:c r="E24" s="133" t="n">
        <x:f>IFERROR(INDEX(Decisiones!$G$2:$G$238,MATCH($X$2,Decisiones!$A$2:$A$238,0)),"")</x:f>
        <x:v>-25</x:v>
      </x:c>
      <x:c r="F24" s="133"/>
      <x:c r="G24" s="133"/>
      <x:c r="H24" s="133"/>
      <x:c r="I24" s="132" t="n">
        <x:f>IFERROR(INDEX(Decisiones!$H$2:$H$238,MATCH($X$2,Decisiones!$A$2:$A$238,0)),"")</x:f>
        <x:v>6.5</x:v>
      </x:c>
      <x:c r="J24" s="132"/>
      <x:c r="K24" s="132"/>
      <x:c r="L24" s="132"/>
      <x:c r="Z24" t="str">
        <x:v>D20030822</x:v>
      </x:c>
      <x:c r="AA24" t="n">
        <x:v>37855</x:v>
      </x:c>
    </x:row>
    <x:row r="25">
      <x:c r="A25" s="128" t="s">
        <x:v>876</x:v>
      </x:c>
      <x:c r="B25" s="128" t="s">
        <x:v>876</x:v>
      </x:c>
      <x:c r="C25" s="128" t="s">
        <x:v>876</x:v>
      </x:c>
      <x:c r="D25" s="128" t="s">
        <x:v>876</x:v>
      </x:c>
      <x:c r="E25" s="128" t="s">
        <x:v>877</x:v>
      </x:c>
      <x:c r="F25" s="128" t="s">
        <x:v>877</x:v>
      </x:c>
      <x:c r="G25" s="128" t="s">
        <x:v>877</x:v>
      </x:c>
      <x:c r="H25" s="128" t="s">
        <x:v>877</x:v>
      </x:c>
      <x:c r="I25" s="128" t="s">
        <x:v>878</x:v>
      </x:c>
      <x:c r="J25" s="128" t="s">
        <x:v>878</x:v>
      </x:c>
      <x:c r="K25" s="128" t="s">
        <x:v>878</x:v>
      </x:c>
      <x:c r="L25" s="128" t="s">
        <x:v>878</x:v>
      </x:c>
      <x:c r="Z25" t="str">
        <x:v>D20030926</x:v>
      </x:c>
      <x:c r="AA25" t="n">
        <x:v>37890</x:v>
      </x:c>
    </x:row>
    <x:row r="26">
      <x:c r="A26" s="130" t="str">
        <x:f>IFERROR(INDEX(Decisiones!$I$2:$I$238,MATCH($X$2,Decisiones!$A$2:$A$238,0)),"")</x:f>
        <x:v>Baja</x:v>
      </x:c>
      <x:c r="B26" s="130"/>
      <x:c r="C26" s="130"/>
      <x:c r="D26" s="130"/>
      <x:c r="E26" s="130" t="str">
        <x:f>IFERROR(INDEX(Decisiones!$J$2:$J$238,MATCH($X$2,Decisiones!$A$2:$A$238,0)),"")</x:f>
        <x:v>No</x:v>
      </x:c>
      <x:c r="F26" s="130"/>
      <x:c r="G26" s="130"/>
      <x:c r="H26" s="130"/>
      <x:c r="I26" s="133" t="n">
        <x:f>IFERROR(INDEX(Decisiones!$K$2:$K$238,MATCH($X$2,Decisiones!$A$2:$A$238,0)),"")</x:f>
        <x:v>2</x:v>
      </x:c>
      <x:c r="J26" s="133"/>
      <x:c r="K26" s="133"/>
      <x:c r="L26" s="133"/>
      <x:c r="Z26" t="str">
        <x:v>D20031024</x:v>
      </x:c>
      <x:c r="AA26" t="n">
        <x:v>37918</x:v>
      </x:c>
    </x:row>
    <x:row r="27">
      <x:c r="A27" s="127" t="s">
        <x:v>879</x:v>
      </x:c>
      <x:c r="B27" s="127"/>
      <x:c r="C27" s="127"/>
      <x:c r="D27" s="127"/>
      <x:c r="E27" s="127"/>
      <x:c r="F27" s="127"/>
      <x:c r="G27" s="127"/>
      <x:c r="H27" s="127"/>
      <x:c r="I27" s="127"/>
      <x:c r="J27" s="127"/>
      <x:c r="K27" s="127"/>
      <x:c r="L27" s="127"/>
      <x:c r="Z27" t="str">
        <x:v>D20031121</x:v>
      </x:c>
      <x:c r="AA27" t="n">
        <x:v>37946</x:v>
      </x:c>
    </x:row>
    <x:row r="28">
      <x:c r="A28" s="22" t="s">
        <x:v>871</x:v>
      </x:c>
      <x:c r="B28" s="25" t="n">
        <x:f>INDEX(Decisiones!$B$2:$B$238,MAX(1,MIN(MATCH($X$2,Decisiones!$A$2:$A$238,0)-5,ROWS(Decisiones!$A$2:$A$238)-10))+0)</x:f>
        <x:v>45792</x:v>
      </x:c>
      <x:c r="C28" s="26" t="n">
        <x:f>INDEX(Decisiones!$B$2:$B$238,MAX(1,MIN(MATCH($X$2,Decisiones!$A$2:$A$238,0)-5,ROWS(Decisiones!$A$2:$A$238)-10))+1)</x:f>
        <x:v>45834</x:v>
      </x:c>
      <x:c r="D28" s="26" t="n">
        <x:f>INDEX(Decisiones!$B$2:$B$238,MAX(1,MIN(MATCH($X$2,Decisiones!$A$2:$A$238,0)-5,ROWS(Decisiones!$A$2:$A$238)-10))+2)</x:f>
        <x:v>45876</x:v>
      </x:c>
      <x:c r="E28" s="26" t="n">
        <x:f>INDEX(Decisiones!$B$2:$B$238,MAX(1,MIN(MATCH($X$2,Decisiones!$A$2:$A$238,0)-5,ROWS(Decisiones!$A$2:$A$238)-10))+3)</x:f>
        <x:v>45925</x:v>
      </x:c>
      <x:c r="F28" s="26" t="n">
        <x:f>INDEX(Decisiones!$B$2:$B$238,MAX(1,MIN(MATCH($X$2,Decisiones!$A$2:$A$238,0)-5,ROWS(Decisiones!$A$2:$A$238)-10))+4)</x:f>
        <x:v>45967</x:v>
      </x:c>
      <x:c r="G28" s="34" t="n">
        <x:f>INDEX(Decisiones!$B$2:$B$238,MAX(1,MIN(MATCH($X$2,Decisiones!$A$2:$A$238,0)-5,ROWS(Decisiones!$A$2:$A$238)-10))+5)</x:f>
        <x:v>46009</x:v>
      </x:c>
      <x:c r="H28" s="26" t="n">
        <x:f>INDEX(Decisiones!$B$2:$B$238,MAX(1,MIN(MATCH($X$2,Decisiones!$A$2:$A$238,0)-5,ROWS(Decisiones!$A$2:$A$238)-10))+6)</x:f>
        <x:v>46058</x:v>
      </x:c>
      <x:c r="I28" s="26" t="n">
        <x:f>INDEX(Decisiones!$B$2:$B$238,MAX(1,MIN(MATCH($X$2,Decisiones!$A$2:$A$238,0)-5,ROWS(Decisiones!$A$2:$A$238)-10))+7)</x:f>
        <x:v>46107</x:v>
      </x:c>
      <x:c r="J28" s="26" t="n">
        <x:f>INDEX(Decisiones!$B$2:$B$238,MAX(1,MIN(MATCH($X$2,Decisiones!$A$2:$A$238,0)-5,ROWS(Decisiones!$A$2:$A$238)-10))+8)</x:f>
        <x:v>46149</x:v>
      </x:c>
      <x:c r="K28" s="26" t="n">
        <x:f>INDEX(Decisiones!$B$2:$B$238,MAX(1,MIN(MATCH($X$2,Decisiones!$A$2:$A$238,0)-5,ROWS(Decisiones!$A$2:$A$238)-10))+9)</x:f>
        <x:v>46198</x:v>
      </x:c>
      <x:c r="L28" s="27" t="n">
        <x:f>INDEX(Decisiones!$B$2:$B$238,MAX(1,MIN(MATCH($X$2,Decisiones!$A$2:$A$238,0)-5,ROWS(Decisiones!$A$2:$A$238)-10))+10)</x:f>
        <x:v>46240</x:v>
      </x:c>
      <x:c r="Z28" t="str">
        <x:v>D20031211</x:v>
      </x:c>
      <x:c r="AA28" t="n">
        <x:v>37966</x:v>
      </x:c>
    </x:row>
    <x:row r="29">
      <x:c r="A29" s="22" t="s">
        <x:v>880</x:v>
      </x:c>
      <x:c r="B29" s="28" t="n">
        <x:f>INDEX(Decisiones!$H$2:$H$238,MAX(1,MIN(MATCH($X$2,Decisiones!$A$2:$A$238,0)-5,ROWS(Decisiones!$A$2:$A$238)-10))+0)</x:f>
        <x:v>8.5</x:v>
      </x:c>
      <x:c r="C29" s="29" t="n">
        <x:f>INDEX(Decisiones!$H$2:$H$238,MAX(1,MIN(MATCH($X$2,Decisiones!$A$2:$A$238,0)-5,ROWS(Decisiones!$A$2:$A$238)-10))+1)</x:f>
        <x:v>8</x:v>
      </x:c>
      <x:c r="D29" s="29" t="n">
        <x:f>INDEX(Decisiones!$H$2:$H$238,MAX(1,MIN(MATCH($X$2,Decisiones!$A$2:$A$238,0)-5,ROWS(Decisiones!$A$2:$A$238)-10))+2)</x:f>
        <x:v>7.75</x:v>
      </x:c>
      <x:c r="E29" s="29" t="n">
        <x:f>INDEX(Decisiones!$H$2:$H$238,MAX(1,MIN(MATCH($X$2,Decisiones!$A$2:$A$238,0)-5,ROWS(Decisiones!$A$2:$A$238)-10))+3)</x:f>
        <x:v>7.5</x:v>
      </x:c>
      <x:c r="F29" s="29" t="n">
        <x:f>INDEX(Decisiones!$H$2:$H$238,MAX(1,MIN(MATCH($X$2,Decisiones!$A$2:$A$238,0)-5,ROWS(Decisiones!$A$2:$A$238)-10))+4)</x:f>
        <x:v>7.25</x:v>
      </x:c>
      <x:c r="G29" s="35" t="n">
        <x:f>INDEX(Decisiones!$H$2:$H$238,MAX(1,MIN(MATCH($X$2,Decisiones!$A$2:$A$238,0)-5,ROWS(Decisiones!$A$2:$A$238)-10))+5)</x:f>
        <x:v>7</x:v>
      </x:c>
      <x:c r="H29" s="29" t="n">
        <x:f>INDEX(Decisiones!$H$2:$H$238,MAX(1,MIN(MATCH($X$2,Decisiones!$A$2:$A$238,0)-5,ROWS(Decisiones!$A$2:$A$238)-10))+6)</x:f>
        <x:v>7</x:v>
      </x:c>
      <x:c r="I29" s="29" t="n">
        <x:f>INDEX(Decisiones!$H$2:$H$238,MAX(1,MIN(MATCH($X$2,Decisiones!$A$2:$A$238,0)-5,ROWS(Decisiones!$A$2:$A$238)-10))+7)</x:f>
        <x:v>6.75</x:v>
      </x:c>
      <x:c r="J29" s="29" t="n">
        <x:f>INDEX(Decisiones!$H$2:$H$238,MAX(1,MIN(MATCH($X$2,Decisiones!$A$2:$A$238,0)-5,ROWS(Decisiones!$A$2:$A$238)-10))+8)</x:f>
        <x:v>6.5</x:v>
      </x:c>
      <x:c r="K29" s="29" t="n">
        <x:f>INDEX(Decisiones!$H$2:$H$238,MAX(1,MIN(MATCH($X$2,Decisiones!$A$2:$A$238,0)-5,ROWS(Decisiones!$A$2:$A$238)-10))+9)</x:f>
        <x:v>6.5</x:v>
      </x:c>
      <x:c r="L29" s="30" t="n">
        <x:f>INDEX(Decisiones!$H$2:$H$238,MAX(1,MIN(MATCH($X$2,Decisiones!$A$2:$A$238,0)-5,ROWS(Decisiones!$A$2:$A$238)-10))+10)</x:f>
        <x:v>6.5</x:v>
      </x:c>
      <x:c r="Z29" t="str">
        <x:v>D20040123</x:v>
      </x:c>
      <x:c r="AA29" t="n">
        <x:v>38009</x:v>
      </x:c>
    </x:row>
    <x:row r="30">
      <x:c r="A30" s="22" t="s">
        <x:v>881</x:v>
      </x:c>
      <x:c r="B30" s="31" t="str">
        <x:f>IF(INDEX(Decisiones!$I$2:$I$238,MAX(1,MIN(MATCH($X$2,Decisiones!$A$2:$A$238,0)-5,ROWS(Decisiones!$A$2:$A$238)-10))+0)="Sube","↑",IF(INDEX(Decisiones!$I$2:$I$238,MAX(1,MIN(MATCH($X$2,Decisiones!$A$2:$A$238,0)-5,ROWS(Decisiones!$A$2:$A$238)-10))+0)="Baja","↓","="))</x:f>
        <x:v>↓</x:v>
      </x:c>
      <x:c r="C30" s="32" t="str">
        <x:f>IF(INDEX(Decisiones!$I$2:$I$238,MAX(1,MIN(MATCH($X$2,Decisiones!$A$2:$A$238,0)-5,ROWS(Decisiones!$A$2:$A$238)-10))+1)="Sube","↑",IF(INDEX(Decisiones!$I$2:$I$238,MAX(1,MIN(MATCH($X$2,Decisiones!$A$2:$A$238,0)-5,ROWS(Decisiones!$A$2:$A$238)-10))+1)="Baja","↓","="))</x:f>
        <x:v>↓</x:v>
      </x:c>
      <x:c r="D30" s="32" t="str">
        <x:f>IF(INDEX(Decisiones!$I$2:$I$238,MAX(1,MIN(MATCH($X$2,Decisiones!$A$2:$A$238,0)-5,ROWS(Decisiones!$A$2:$A$238)-10))+2)="Sube","↑",IF(INDEX(Decisiones!$I$2:$I$238,MAX(1,MIN(MATCH($X$2,Decisiones!$A$2:$A$238,0)-5,ROWS(Decisiones!$A$2:$A$238)-10))+2)="Baja","↓","="))</x:f>
        <x:v>↓</x:v>
      </x:c>
      <x:c r="E30" s="32" t="str">
        <x:f>IF(INDEX(Decisiones!$I$2:$I$238,MAX(1,MIN(MATCH($X$2,Decisiones!$A$2:$A$238,0)-5,ROWS(Decisiones!$A$2:$A$238)-10))+3)="Sube","↑",IF(INDEX(Decisiones!$I$2:$I$238,MAX(1,MIN(MATCH($X$2,Decisiones!$A$2:$A$238,0)-5,ROWS(Decisiones!$A$2:$A$238)-10))+3)="Baja","↓","="))</x:f>
        <x:v>↓</x:v>
      </x:c>
      <x:c r="F30" s="32" t="str">
        <x:f>IF(INDEX(Decisiones!$I$2:$I$238,MAX(1,MIN(MATCH($X$2,Decisiones!$A$2:$A$238,0)-5,ROWS(Decisiones!$A$2:$A$238)-10))+4)="Sube","↑",IF(INDEX(Decisiones!$I$2:$I$238,MAX(1,MIN(MATCH($X$2,Decisiones!$A$2:$A$238,0)-5,ROWS(Decisiones!$A$2:$A$238)-10))+4)="Baja","↓","="))</x:f>
        <x:v>↓</x:v>
      </x:c>
      <x:c r="G30" s="36" t="str">
        <x:f>IF(INDEX(Decisiones!$I$2:$I$238,MAX(1,MIN(MATCH($X$2,Decisiones!$A$2:$A$238,0)-5,ROWS(Decisiones!$A$2:$A$238)-10))+5)="Sube","↑",IF(INDEX(Decisiones!$I$2:$I$238,MAX(1,MIN(MATCH($X$2,Decisiones!$A$2:$A$238,0)-5,ROWS(Decisiones!$A$2:$A$238)-10))+5)="Baja","↓","="))</x:f>
        <x:v>↓</x:v>
      </x:c>
      <x:c r="H30" s="32" t="str">
        <x:f>IF(INDEX(Decisiones!$I$2:$I$238,MAX(1,MIN(MATCH($X$2,Decisiones!$A$2:$A$238,0)-5,ROWS(Decisiones!$A$2:$A$238)-10))+6)="Sube","↑",IF(INDEX(Decisiones!$I$2:$I$238,MAX(1,MIN(MATCH($X$2,Decisiones!$A$2:$A$238,0)-5,ROWS(Decisiones!$A$2:$A$238)-10))+6)="Baja","↓","="))</x:f>
        <x:v>=</x:v>
      </x:c>
      <x:c r="I30" s="32" t="str">
        <x:f>IF(INDEX(Decisiones!$I$2:$I$238,MAX(1,MIN(MATCH($X$2,Decisiones!$A$2:$A$238,0)-5,ROWS(Decisiones!$A$2:$A$238)-10))+7)="Sube","↑",IF(INDEX(Decisiones!$I$2:$I$238,MAX(1,MIN(MATCH($X$2,Decisiones!$A$2:$A$238,0)-5,ROWS(Decisiones!$A$2:$A$238)-10))+7)="Baja","↓","="))</x:f>
        <x:v>↓</x:v>
      </x:c>
      <x:c r="J30" s="32" t="str">
        <x:f>IF(INDEX(Decisiones!$I$2:$I$238,MAX(1,MIN(MATCH($X$2,Decisiones!$A$2:$A$238,0)-5,ROWS(Decisiones!$A$2:$A$238)-10))+8)="Sube","↑",IF(INDEX(Decisiones!$I$2:$I$238,MAX(1,MIN(MATCH($X$2,Decisiones!$A$2:$A$238,0)-5,ROWS(Decisiones!$A$2:$A$238)-10))+8)="Baja","↓","="))</x:f>
        <x:v>↓</x:v>
      </x:c>
      <x:c r="K30" s="32" t="str">
        <x:f>IF(INDEX(Decisiones!$I$2:$I$238,MAX(1,MIN(MATCH($X$2,Decisiones!$A$2:$A$238,0)-5,ROWS(Decisiones!$A$2:$A$238)-10))+9)="Sube","↑",IF(INDEX(Decisiones!$I$2:$I$238,MAX(1,MIN(MATCH($X$2,Decisiones!$A$2:$A$238,0)-5,ROWS(Decisiones!$A$2:$A$238)-10))+9)="Baja","↓","="))</x:f>
        <x:v>=</x:v>
      </x:c>
      <x:c r="L30" s="33" t="str">
        <x:f>IF(INDEX(Decisiones!$I$2:$I$238,MAX(1,MIN(MATCH($X$2,Decisiones!$A$2:$A$238,0)-5,ROWS(Decisiones!$A$2:$A$238)-10))+10)="Sube","↑",IF(INDEX(Decisiones!$I$2:$I$238,MAX(1,MIN(MATCH($X$2,Decisiones!$A$2:$A$238,0)-5,ROWS(Decisiones!$A$2:$A$238)-10))+10)="Baja","↓","="))</x:f>
        <x:v>=</x:v>
      </x:c>
      <x:c r="Z30" t="str">
        <x:v>D20040220</x:v>
      </x:c>
      <x:c r="AA30" t="n">
        <x:v>38037</x:v>
      </x:c>
    </x:row>
    <x:row r="31" ht="1.9500000476837158" customHeight="1">
      <x:c r="A31" s="73" t="s">
        <x:v>0</x:v>
      </x:c>
      <x:c r="B31" s="74" t="str">
        <x:f>INDEX(Decisiones!$A$2:$A$238,MAX(1,MIN(MATCH($X$2,Decisiones!$A$2:$A$238,0)-5,ROWS(Decisiones!$A$2:$A$238)-10))+0)</x:f>
        <x:v>D20250515</x:v>
      </x:c>
      <x:c r="C31" s="75" t="str">
        <x:f>INDEX(Decisiones!$A$2:$A$238,MAX(1,MIN(MATCH($X$2,Decisiones!$A$2:$A$238,0)-5,ROWS(Decisiones!$A$2:$A$238)-10))+1)</x:f>
        <x:v>D20250626</x:v>
      </x:c>
      <x:c r="D31" s="75" t="str">
        <x:f>INDEX(Decisiones!$A$2:$A$238,MAX(1,MIN(MATCH($X$2,Decisiones!$A$2:$A$238,0)-5,ROWS(Decisiones!$A$2:$A$238)-10))+2)</x:f>
        <x:v>D20250807</x:v>
      </x:c>
      <x:c r="E31" s="75" t="str">
        <x:f>INDEX(Decisiones!$A$2:$A$238,MAX(1,MIN(MATCH($X$2,Decisiones!$A$2:$A$238,0)-5,ROWS(Decisiones!$A$2:$A$238)-10))+3)</x:f>
        <x:v>D20250925</x:v>
      </x:c>
      <x:c r="F31" s="75" t="str">
        <x:f>INDEX(Decisiones!$A$2:$A$238,MAX(1,MIN(MATCH($X$2,Decisiones!$A$2:$A$238,0)-5,ROWS(Decisiones!$A$2:$A$238)-10))+4)</x:f>
        <x:v>D20251106</x:v>
      </x:c>
      <x:c r="G31" s="76" t="str">
        <x:f>INDEX(Decisiones!$A$2:$A$238,MAX(1,MIN(MATCH($X$2,Decisiones!$A$2:$A$238,0)-5,ROWS(Decisiones!$A$2:$A$238)-10))+5)</x:f>
        <x:v>D20251218</x:v>
      </x:c>
      <x:c r="H31" s="75" t="str">
        <x:f>INDEX(Decisiones!$A$2:$A$238,MAX(1,MIN(MATCH($X$2,Decisiones!$A$2:$A$238,0)-5,ROWS(Decisiones!$A$2:$A$238)-10))+6)</x:f>
        <x:v>D20260205</x:v>
      </x:c>
      <x:c r="I31" s="75" t="str">
        <x:f>INDEX(Decisiones!$A$2:$A$238,MAX(1,MIN(MATCH($X$2,Decisiones!$A$2:$A$238,0)-5,ROWS(Decisiones!$A$2:$A$238)-10))+7)</x:f>
        <x:v>D20260326</x:v>
      </x:c>
      <x:c r="J31" s="75" t="str">
        <x:f>INDEX(Decisiones!$A$2:$A$238,MAX(1,MIN(MATCH($X$2,Decisiones!$A$2:$A$238,0)-5,ROWS(Decisiones!$A$2:$A$238)-10))+8)</x:f>
        <x:v>D20260507</x:v>
      </x:c>
      <x:c r="K31" s="75" t="str">
        <x:f>INDEX(Decisiones!$A$2:$A$238,MAX(1,MIN(MATCH($X$2,Decisiones!$A$2:$A$238,0)-5,ROWS(Decisiones!$A$2:$A$238)-10))+9)</x:f>
        <x:v>D20260625</x:v>
      </x:c>
      <x:c r="L31" s="77" t="str">
        <x:f>INDEX(Decisiones!$A$2:$A$238,MAX(1,MIN(MATCH($X$2,Decisiones!$A$2:$A$238,0)-5,ROWS(Decisiones!$A$2:$A$238)-10))+10)</x:f>
        <x:v>D20260806</x:v>
      </x:c>
      <x:c r="M31" s="78"/>
      <x:c r="Z31" t="str">
        <x:v>D20040312</x:v>
      </x:c>
      <x:c r="AA31" t="n">
        <x:v>38058</x:v>
      </x:c>
    </x:row>
    <x:row r="32">
      <x:c r="G32" s="21"/>
      <x:c r="Z32" t="str">
        <x:v>D20040326</x:v>
      </x:c>
      <x:c r="AA32" t="n">
        <x:v>38072</x:v>
      </x:c>
    </x:row>
    <x:row r="33">
      <x:c r="A33" s="37" t="s">
        <x:v>882</x:v>
      </x:c>
      <x:c r="B33" s="37" t="str">
        <x:f t="shared" ref="B33:L33" si="0">TEXT(B28,"dd-mmm")</x:f>
        <x:v>15-May</x:v>
      </x:c>
      <x:c r="C33" s="37" t="str">
        <x:f t="shared" si="0"/>
        <x:v>15-May</x:v>
      </x:c>
      <x:c r="D33" s="37" t="str">
        <x:f t="shared" si="0"/>
        <x:v>26-Jun</x:v>
      </x:c>
      <x:c r="E33" s="37" t="str">
        <x:f t="shared" si="0"/>
        <x:v>07-Aug</x:v>
      </x:c>
      <x:c r="F33" s="37" t="str">
        <x:f t="shared" si="0"/>
        <x:v>25-Sep</x:v>
      </x:c>
      <x:c r="G33" s="37" t="str">
        <x:f t="shared" si="0"/>
        <x:v>06-Nov</x:v>
      </x:c>
      <x:c r="H33" s="37" t="str">
        <x:f t="shared" si="0"/>
        <x:v>18-Dec</x:v>
      </x:c>
      <x:c r="I33" s="37" t="str">
        <x:f t="shared" si="0"/>
        <x:v>05-Feb</x:v>
      </x:c>
      <x:c r="J33" s="37" t="str">
        <x:f t="shared" si="0"/>
        <x:v>26-Mar</x:v>
      </x:c>
      <x:c r="K33" s="37" t="str">
        <x:f t="shared" si="0"/>
        <x:v>07-May</x:v>
      </x:c>
      <x:c r="L33" s="37" t="str">
        <x:f t="shared" si="0"/>
        <x:v>25-Jun</x:v>
      </x:c>
      <x:c r="Z33" t="str">
        <x:v>D20040423</x:v>
      </x:c>
      <x:c r="AA33" t="n">
        <x:v>38100</x:v>
      </x:c>
    </x:row>
    <x:row r="34">
      <x:c r="G34" s="21"/>
      <x:c r="Z34" t="str">
        <x:v>D20040427</x:v>
      </x:c>
      <x:c r="AA34" t="n">
        <x:v>38104</x:v>
      </x:c>
    </x:row>
    <x:row r="35" ht="22.950000762939453" customHeight="1">
      <x:c r="A35" s="24" t="str">
        <x:f>IF($M35="","",IFERROR(INDEX(Personas!$B$2:$B$30,MATCH($M35,Personas!$A$2:$A$30,0)),"?"))</x:f>
        <x:v>Victoria Rodríguez Ceja</x:v>
      </x:c>
      <x:c r="B35" s="38" t="str">
        <x:f>IF($A35="","",IF(B$31="","",IF(COUNTIFS(Votaciones!$A$2:$A$341,B$31,Votaciones!$B$2:$B$341,$M35)&gt;0,IF(COUNTIFS(Votaciones!$A$2:$A$341,B$31,Votaciones!$B$2:$B$341,$M35,Votaciones!$D$2:$D$341,"Consenso")&gt;0,"●",IF(COUNTIFS(Votaciones!$A$2:$A$341,B$31,Votaciones!$B$2:$B$341,$M35,Votaciones!$D$2:$D$341,"Disenso restrictivo")&gt;0,"▲",IF(COUNTIFS(Votaciones!$A$2:$A$341,B$31,Votaciones!$B$2:$B$341,$M35,Votaciones!$D$2:$D$341,"Disenso acomodaticio")&gt;0,"▼","?"))),IF(COUNTIFS(Participacion_Junta!$A$2:$A$341,B$31,Participacion_Junta!$B$2:$B$341,$M35)&gt;0,"○","?"))))</x:f>
        <x:v>●</x:v>
      </x:c>
      <x:c r="C35" s="39" t="str">
        <x:f>IF($A35="","",IF(C$31="","",IF(COUNTIFS(Votaciones!$A$2:$A$341,C$31,Votaciones!$B$2:$B$341,$M35)&gt;0,IF(COUNTIFS(Votaciones!$A$2:$A$341,C$31,Votaciones!$B$2:$B$341,$M35,Votaciones!$D$2:$D$341,"Consenso")&gt;0,"●",IF(COUNTIFS(Votaciones!$A$2:$A$341,C$31,Votaciones!$B$2:$B$341,$M35,Votaciones!$D$2:$D$341,"Disenso restrictivo")&gt;0,"▲",IF(COUNTIFS(Votaciones!$A$2:$A$341,C$31,Votaciones!$B$2:$B$341,$M35,Votaciones!$D$2:$D$341,"Disenso acomodaticio")&gt;0,"▼","?"))),IF(COUNTIFS(Participacion_Junta!$A$2:$A$341,C$31,Participacion_Junta!$B$2:$B$341,$M35)&gt;0,"○","?"))))</x:f>
        <x:v>●</x:v>
      </x:c>
      <x:c r="D35" s="39" t="str">
        <x:f>IF($A35="","",IF(D$31="","",IF(COUNTIFS(Votaciones!$A$2:$A$341,D$31,Votaciones!$B$2:$B$341,$M35)&gt;0,IF(COUNTIFS(Votaciones!$A$2:$A$341,D$31,Votaciones!$B$2:$B$341,$M35,Votaciones!$D$2:$D$341,"Consenso")&gt;0,"●",IF(COUNTIFS(Votaciones!$A$2:$A$341,D$31,Votaciones!$B$2:$B$341,$M35,Votaciones!$D$2:$D$341,"Disenso restrictivo")&gt;0,"▲",IF(COUNTIFS(Votaciones!$A$2:$A$341,D$31,Votaciones!$B$2:$B$341,$M35,Votaciones!$D$2:$D$341,"Disenso acomodaticio")&gt;0,"▼","?"))),IF(COUNTIFS(Participacion_Junta!$A$2:$A$341,D$31,Participacion_Junta!$B$2:$B$341,$M35)&gt;0,"○","?"))))</x:f>
        <x:v>●</x:v>
      </x:c>
      <x:c r="E35" s="39" t="str">
        <x:f>IF($A35="","",IF(E$31="","",IF(COUNTIFS(Votaciones!$A$2:$A$341,E$31,Votaciones!$B$2:$B$341,$M35)&gt;0,IF(COUNTIFS(Votaciones!$A$2:$A$341,E$31,Votaciones!$B$2:$B$341,$M35,Votaciones!$D$2:$D$341,"Consenso")&gt;0,"●",IF(COUNTIFS(Votaciones!$A$2:$A$341,E$31,Votaciones!$B$2:$B$341,$M35,Votaciones!$D$2:$D$341,"Disenso restrictivo")&gt;0,"▲",IF(COUNTIFS(Votaciones!$A$2:$A$341,E$31,Votaciones!$B$2:$B$341,$M35,Votaciones!$D$2:$D$341,"Disenso acomodaticio")&gt;0,"▼","?"))),IF(COUNTIFS(Participacion_Junta!$A$2:$A$341,E$31,Participacion_Junta!$B$2:$B$341,$M35)&gt;0,"○","?"))))</x:f>
        <x:v>●</x:v>
      </x:c>
      <x:c r="F35" s="39" t="str">
        <x:f>IF($A35="","",IF(F$31="","",IF(COUNTIFS(Votaciones!$A$2:$A$341,F$31,Votaciones!$B$2:$B$341,$M35)&gt;0,IF(COUNTIFS(Votaciones!$A$2:$A$341,F$31,Votaciones!$B$2:$B$341,$M35,Votaciones!$D$2:$D$341,"Consenso")&gt;0,"●",IF(COUNTIFS(Votaciones!$A$2:$A$341,F$31,Votaciones!$B$2:$B$341,$M35,Votaciones!$D$2:$D$341,"Disenso restrictivo")&gt;0,"▲",IF(COUNTIFS(Votaciones!$A$2:$A$341,F$31,Votaciones!$B$2:$B$341,$M35,Votaciones!$D$2:$D$341,"Disenso acomodaticio")&gt;0,"▼","?"))),IF(COUNTIFS(Participacion_Junta!$A$2:$A$341,F$31,Participacion_Junta!$B$2:$B$341,$M35)&gt;0,"○","?"))))</x:f>
        <x:v>●</x:v>
      </x:c>
      <x:c r="G35" s="40" t="str">
        <x:f>IF($A35="","",IF(G$31="","",IF(COUNTIFS(Votaciones!$A$2:$A$341,G$31,Votaciones!$B$2:$B$341,$M35)&gt;0,IF(COUNTIFS(Votaciones!$A$2:$A$341,G$31,Votaciones!$B$2:$B$341,$M35,Votaciones!$D$2:$D$341,"Consenso")&gt;0,"●",IF(COUNTIFS(Votaciones!$A$2:$A$341,G$31,Votaciones!$B$2:$B$341,$M35,Votaciones!$D$2:$D$341,"Disenso restrictivo")&gt;0,"▲",IF(COUNTIFS(Votaciones!$A$2:$A$341,G$31,Votaciones!$B$2:$B$341,$M35,Votaciones!$D$2:$D$341,"Disenso acomodaticio")&gt;0,"▼","?"))),IF(COUNTIFS(Participacion_Junta!$A$2:$A$341,G$31,Participacion_Junta!$B$2:$B$341,$M35)&gt;0,"○","?"))))</x:f>
        <x:v>●</x:v>
      </x:c>
      <x:c r="H35" s="39" t="str">
        <x:f>IF($A35="","",IF(H$31="","",IF(COUNTIFS(Votaciones!$A$2:$A$341,H$31,Votaciones!$B$2:$B$341,$M35)&gt;0,IF(COUNTIFS(Votaciones!$A$2:$A$341,H$31,Votaciones!$B$2:$B$341,$M35,Votaciones!$D$2:$D$341,"Consenso")&gt;0,"●",IF(COUNTIFS(Votaciones!$A$2:$A$341,H$31,Votaciones!$B$2:$B$341,$M35,Votaciones!$D$2:$D$341,"Disenso restrictivo")&gt;0,"▲",IF(COUNTIFS(Votaciones!$A$2:$A$341,H$31,Votaciones!$B$2:$B$341,$M35,Votaciones!$D$2:$D$341,"Disenso acomodaticio")&gt;0,"▼","?"))),IF(COUNTIFS(Participacion_Junta!$A$2:$A$341,H$31,Participacion_Junta!$B$2:$B$341,$M35)&gt;0,"○","?"))))</x:f>
        <x:v>●</x:v>
      </x:c>
      <x:c r="I35" s="39" t="str">
        <x:f>IF($A35="","",IF(I$31="","",IF(COUNTIFS(Votaciones!$A$2:$A$341,I$31,Votaciones!$B$2:$B$341,$M35)&gt;0,IF(COUNTIFS(Votaciones!$A$2:$A$341,I$31,Votaciones!$B$2:$B$341,$M35,Votaciones!$D$2:$D$341,"Consenso")&gt;0,"●",IF(COUNTIFS(Votaciones!$A$2:$A$341,I$31,Votaciones!$B$2:$B$341,$M35,Votaciones!$D$2:$D$341,"Disenso restrictivo")&gt;0,"▲",IF(COUNTIFS(Votaciones!$A$2:$A$341,I$31,Votaciones!$B$2:$B$341,$M35,Votaciones!$D$2:$D$341,"Disenso acomodaticio")&gt;0,"▼","?"))),IF(COUNTIFS(Participacion_Junta!$A$2:$A$341,I$31,Participacion_Junta!$B$2:$B$341,$M35)&gt;0,"○","?"))))</x:f>
        <x:v>●</x:v>
      </x:c>
      <x:c r="J35" s="39" t="str">
        <x:f>IF($A35="","",IF(J$31="","",IF(COUNTIFS(Votaciones!$A$2:$A$341,J$31,Votaciones!$B$2:$B$341,$M35)&gt;0,IF(COUNTIFS(Votaciones!$A$2:$A$341,J$31,Votaciones!$B$2:$B$341,$M35,Votaciones!$D$2:$D$341,"Consenso")&gt;0,"●",IF(COUNTIFS(Votaciones!$A$2:$A$341,J$31,Votaciones!$B$2:$B$341,$M35,Votaciones!$D$2:$D$341,"Disenso restrictivo")&gt;0,"▲",IF(COUNTIFS(Votaciones!$A$2:$A$341,J$31,Votaciones!$B$2:$B$341,$M35,Votaciones!$D$2:$D$341,"Disenso acomodaticio")&gt;0,"▼","?"))),IF(COUNTIFS(Participacion_Junta!$A$2:$A$341,J$31,Participacion_Junta!$B$2:$B$341,$M35)&gt;0,"○","?"))))</x:f>
        <x:v>●</x:v>
      </x:c>
      <x:c r="K35" s="39" t="str">
        <x:f>IF($A35="","",IF(K$31="","",IF(COUNTIFS(Votaciones!$A$2:$A$341,K$31,Votaciones!$B$2:$B$341,$M35)&gt;0,IF(COUNTIFS(Votaciones!$A$2:$A$341,K$31,Votaciones!$B$2:$B$341,$M35,Votaciones!$D$2:$D$341,"Consenso")&gt;0,"●",IF(COUNTIFS(Votaciones!$A$2:$A$341,K$31,Votaciones!$B$2:$B$341,$M35,Votaciones!$D$2:$D$341,"Disenso restrictivo")&gt;0,"▲",IF(COUNTIFS(Votaciones!$A$2:$A$341,K$31,Votaciones!$B$2:$B$341,$M35,Votaciones!$D$2:$D$341,"Disenso acomodaticio")&gt;0,"▼","?"))),IF(COUNTIFS(Participacion_Junta!$A$2:$A$341,K$31,Participacion_Junta!$B$2:$B$341,$M35)&gt;0,"○","?"))))</x:f>
        <x:v>●</x:v>
      </x:c>
      <x:c r="L35" s="41" t="str">
        <x:f>IF($A35="","",IF(L$31="","",IF(COUNTIFS(Votaciones!$A$2:$A$341,L$31,Votaciones!$B$2:$B$341,$M35)&gt;0,IF(COUNTIFS(Votaciones!$A$2:$A$341,L$31,Votaciones!$B$2:$B$341,$M35,Votaciones!$D$2:$D$341,"Consenso")&gt;0,"●",IF(COUNTIFS(Votaciones!$A$2:$A$341,L$31,Votaciones!$B$2:$B$341,$M35,Votaciones!$D$2:$D$341,"Disenso restrictivo")&gt;0,"▲",IF(COUNTIFS(Votaciones!$A$2:$A$341,L$31,Votaciones!$B$2:$B$341,$M35,Votaciones!$D$2:$D$341,"Disenso acomodaticio")&gt;0,"▼","?"))),IF(COUNTIFS(Participacion_Junta!$A$2:$A$341,L$31,Participacion_Junta!$B$2:$B$341,$M35)&gt;0,"○","?"))))</x:f>
        <x:v>●</x:v>
      </x:c>
      <x:c r="M35" t="str">
        <x:f>IFERROR(INDEX($B$351:$B$586,MATCH($X$2,$A$351:$A$586,0)),"")</x:f>
        <x:v>P019</x:v>
      </x:c>
      <x:c r="Z35" t="str">
        <x:v>D20040528</x:v>
      </x:c>
      <x:c r="AA35" t="n">
        <x:v>38135</x:v>
      </x:c>
    </x:row>
    <x:row r="36" ht="22.950000762939453" customHeight="1">
      <x:c r="A36" s="24" t="str">
        <x:f>IF($M36="","",IFERROR(INDEX(Personas!$B$2:$B$30,MATCH($M36,Personas!$A$2:$A$30,0)),"?"))</x:f>
        <x:v>Jonathan Heath Constable</x:v>
      </x:c>
      <x:c r="B36" s="42" t="str">
        <x:f>IF($A36="","",IF(B$31="","",IF(COUNTIFS(Votaciones!$A$2:$A$341,B$31,Votaciones!$B$2:$B$341,$M36)&gt;0,IF(COUNTIFS(Votaciones!$A$2:$A$341,B$31,Votaciones!$B$2:$B$341,$M36,Votaciones!$D$2:$D$341,"Consenso")&gt;0,"●",IF(COUNTIFS(Votaciones!$A$2:$A$341,B$31,Votaciones!$B$2:$B$341,$M36,Votaciones!$D$2:$D$341,"Disenso restrictivo")&gt;0,"▲",IF(COUNTIFS(Votaciones!$A$2:$A$341,B$31,Votaciones!$B$2:$B$341,$M36,Votaciones!$D$2:$D$341,"Disenso acomodaticio")&gt;0,"▼","?"))),IF(COUNTIFS(Participacion_Junta!$A$2:$A$341,B$31,Participacion_Junta!$B$2:$B$341,$M36)&gt;0,"○","?"))))</x:f>
        <x:v>●</x:v>
      </x:c>
      <x:c r="C36" s="43" t="str">
        <x:f>IF($A36="","",IF(C$31="","",IF(COUNTIFS(Votaciones!$A$2:$A$341,C$31,Votaciones!$B$2:$B$341,$M36)&gt;0,IF(COUNTIFS(Votaciones!$A$2:$A$341,C$31,Votaciones!$B$2:$B$341,$M36,Votaciones!$D$2:$D$341,"Consenso")&gt;0,"●",IF(COUNTIFS(Votaciones!$A$2:$A$341,C$31,Votaciones!$B$2:$B$341,$M36,Votaciones!$D$2:$D$341,"Disenso restrictivo")&gt;0,"▲",IF(COUNTIFS(Votaciones!$A$2:$A$341,C$31,Votaciones!$B$2:$B$341,$M36,Votaciones!$D$2:$D$341,"Disenso acomodaticio")&gt;0,"▼","?"))),IF(COUNTIFS(Participacion_Junta!$A$2:$A$341,C$31,Participacion_Junta!$B$2:$B$341,$M36)&gt;0,"○","?"))))</x:f>
        <x:v>▲</x:v>
      </x:c>
      <x:c r="D36" s="43" t="str">
        <x:f>IF($A36="","",IF(D$31="","",IF(COUNTIFS(Votaciones!$A$2:$A$341,D$31,Votaciones!$B$2:$B$341,$M36)&gt;0,IF(COUNTIFS(Votaciones!$A$2:$A$341,D$31,Votaciones!$B$2:$B$341,$M36,Votaciones!$D$2:$D$341,"Consenso")&gt;0,"●",IF(COUNTIFS(Votaciones!$A$2:$A$341,D$31,Votaciones!$B$2:$B$341,$M36,Votaciones!$D$2:$D$341,"Disenso restrictivo")&gt;0,"▲",IF(COUNTIFS(Votaciones!$A$2:$A$341,D$31,Votaciones!$B$2:$B$341,$M36,Votaciones!$D$2:$D$341,"Disenso acomodaticio")&gt;0,"▼","?"))),IF(COUNTIFS(Participacion_Junta!$A$2:$A$341,D$31,Participacion_Junta!$B$2:$B$341,$M36)&gt;0,"○","?"))))</x:f>
        <x:v>▲</x:v>
      </x:c>
      <x:c r="E36" s="43" t="str">
        <x:f>IF($A36="","",IF(E$31="","",IF(COUNTIFS(Votaciones!$A$2:$A$341,E$31,Votaciones!$B$2:$B$341,$M36)&gt;0,IF(COUNTIFS(Votaciones!$A$2:$A$341,E$31,Votaciones!$B$2:$B$341,$M36,Votaciones!$D$2:$D$341,"Consenso")&gt;0,"●",IF(COUNTIFS(Votaciones!$A$2:$A$341,E$31,Votaciones!$B$2:$B$341,$M36,Votaciones!$D$2:$D$341,"Disenso restrictivo")&gt;0,"▲",IF(COUNTIFS(Votaciones!$A$2:$A$341,E$31,Votaciones!$B$2:$B$341,$M36,Votaciones!$D$2:$D$341,"Disenso acomodaticio")&gt;0,"▼","?"))),IF(COUNTIFS(Participacion_Junta!$A$2:$A$341,E$31,Participacion_Junta!$B$2:$B$341,$M36)&gt;0,"○","?"))))</x:f>
        <x:v>▲</x:v>
      </x:c>
      <x:c r="F36" s="43" t="str">
        <x:f>IF($A36="","",IF(F$31="","",IF(COUNTIFS(Votaciones!$A$2:$A$341,F$31,Votaciones!$B$2:$B$341,$M36)&gt;0,IF(COUNTIFS(Votaciones!$A$2:$A$341,F$31,Votaciones!$B$2:$B$341,$M36,Votaciones!$D$2:$D$341,"Consenso")&gt;0,"●",IF(COUNTIFS(Votaciones!$A$2:$A$341,F$31,Votaciones!$B$2:$B$341,$M36,Votaciones!$D$2:$D$341,"Disenso restrictivo")&gt;0,"▲",IF(COUNTIFS(Votaciones!$A$2:$A$341,F$31,Votaciones!$B$2:$B$341,$M36,Votaciones!$D$2:$D$341,"Disenso acomodaticio")&gt;0,"▼","?"))),IF(COUNTIFS(Participacion_Junta!$A$2:$A$341,F$31,Participacion_Junta!$B$2:$B$341,$M36)&gt;0,"○","?"))))</x:f>
        <x:v>▲</x:v>
      </x:c>
      <x:c r="G36" s="44" t="str">
        <x:f>IF($A36="","",IF(G$31="","",IF(COUNTIFS(Votaciones!$A$2:$A$341,G$31,Votaciones!$B$2:$B$341,$M36)&gt;0,IF(COUNTIFS(Votaciones!$A$2:$A$341,G$31,Votaciones!$B$2:$B$341,$M36,Votaciones!$D$2:$D$341,"Consenso")&gt;0,"●",IF(COUNTIFS(Votaciones!$A$2:$A$341,G$31,Votaciones!$B$2:$B$341,$M36,Votaciones!$D$2:$D$341,"Disenso restrictivo")&gt;0,"▲",IF(COUNTIFS(Votaciones!$A$2:$A$341,G$31,Votaciones!$B$2:$B$341,$M36,Votaciones!$D$2:$D$341,"Disenso acomodaticio")&gt;0,"▼","?"))),IF(COUNTIFS(Participacion_Junta!$A$2:$A$341,G$31,Participacion_Junta!$B$2:$B$341,$M36)&gt;0,"○","?"))))</x:f>
        <x:v>▲</x:v>
      </x:c>
      <x:c r="H36" s="43" t="str">
        <x:f>IF($A36="","",IF(H$31="","",IF(COUNTIFS(Votaciones!$A$2:$A$341,H$31,Votaciones!$B$2:$B$341,$M36)&gt;0,IF(COUNTIFS(Votaciones!$A$2:$A$341,H$31,Votaciones!$B$2:$B$341,$M36,Votaciones!$D$2:$D$341,"Consenso")&gt;0,"●",IF(COUNTIFS(Votaciones!$A$2:$A$341,H$31,Votaciones!$B$2:$B$341,$M36,Votaciones!$D$2:$D$341,"Disenso restrictivo")&gt;0,"▲",IF(COUNTIFS(Votaciones!$A$2:$A$341,H$31,Votaciones!$B$2:$B$341,$M36,Votaciones!$D$2:$D$341,"Disenso acomodaticio")&gt;0,"▼","?"))),IF(COUNTIFS(Participacion_Junta!$A$2:$A$341,H$31,Participacion_Junta!$B$2:$B$341,$M36)&gt;0,"○","?"))))</x:f>
        <x:v>●</x:v>
      </x:c>
      <x:c r="I36" s="43" t="str">
        <x:f>IF($A36="","",IF(I$31="","",IF(COUNTIFS(Votaciones!$A$2:$A$341,I$31,Votaciones!$B$2:$B$341,$M36)&gt;0,IF(COUNTIFS(Votaciones!$A$2:$A$341,I$31,Votaciones!$B$2:$B$341,$M36,Votaciones!$D$2:$D$341,"Consenso")&gt;0,"●",IF(COUNTIFS(Votaciones!$A$2:$A$341,I$31,Votaciones!$B$2:$B$341,$M36,Votaciones!$D$2:$D$341,"Disenso restrictivo")&gt;0,"▲",IF(COUNTIFS(Votaciones!$A$2:$A$341,I$31,Votaciones!$B$2:$B$341,$M36,Votaciones!$D$2:$D$341,"Disenso acomodaticio")&gt;0,"▼","?"))),IF(COUNTIFS(Participacion_Junta!$A$2:$A$341,I$31,Participacion_Junta!$B$2:$B$341,$M36)&gt;0,"○","?"))))</x:f>
        <x:v>▲</x:v>
      </x:c>
      <x:c r="J36" s="43" t="str">
        <x:f>IF($A36="","",IF(J$31="","",IF(COUNTIFS(Votaciones!$A$2:$A$341,J$31,Votaciones!$B$2:$B$341,$M36)&gt;0,IF(COUNTIFS(Votaciones!$A$2:$A$341,J$31,Votaciones!$B$2:$B$341,$M36,Votaciones!$D$2:$D$341,"Consenso")&gt;0,"●",IF(COUNTIFS(Votaciones!$A$2:$A$341,J$31,Votaciones!$B$2:$B$341,$M36,Votaciones!$D$2:$D$341,"Disenso restrictivo")&gt;0,"▲",IF(COUNTIFS(Votaciones!$A$2:$A$341,J$31,Votaciones!$B$2:$B$341,$M36,Votaciones!$D$2:$D$341,"Disenso acomodaticio")&gt;0,"▼","?"))),IF(COUNTIFS(Participacion_Junta!$A$2:$A$341,J$31,Participacion_Junta!$B$2:$B$341,$M36)&gt;0,"○","?"))))</x:f>
        <x:v>▲</x:v>
      </x:c>
      <x:c r="K36" s="43" t="str">
        <x:f>IF($A36="","",IF(K$31="","",IF(COUNTIFS(Votaciones!$A$2:$A$341,K$31,Votaciones!$B$2:$B$341,$M36)&gt;0,IF(COUNTIFS(Votaciones!$A$2:$A$341,K$31,Votaciones!$B$2:$B$341,$M36,Votaciones!$D$2:$D$341,"Consenso")&gt;0,"●",IF(COUNTIFS(Votaciones!$A$2:$A$341,K$31,Votaciones!$B$2:$B$341,$M36,Votaciones!$D$2:$D$341,"Disenso restrictivo")&gt;0,"▲",IF(COUNTIFS(Votaciones!$A$2:$A$341,K$31,Votaciones!$B$2:$B$341,$M36,Votaciones!$D$2:$D$341,"Disenso acomodaticio")&gt;0,"▼","?"))),IF(COUNTIFS(Participacion_Junta!$A$2:$A$341,K$31,Participacion_Junta!$B$2:$B$341,$M36)&gt;0,"○","?"))))</x:f>
        <x:v>●</x:v>
      </x:c>
      <x:c r="L36" s="45" t="str">
        <x:f>IF($A36="","",IF(L$31="","",IF(COUNTIFS(Votaciones!$A$2:$A$341,L$31,Votaciones!$B$2:$B$341,$M36)&gt;0,IF(COUNTIFS(Votaciones!$A$2:$A$341,L$31,Votaciones!$B$2:$B$341,$M36,Votaciones!$D$2:$D$341,"Consenso")&gt;0,"●",IF(COUNTIFS(Votaciones!$A$2:$A$341,L$31,Votaciones!$B$2:$B$341,$M36,Votaciones!$D$2:$D$341,"Disenso restrictivo")&gt;0,"▲",IF(COUNTIFS(Votaciones!$A$2:$A$341,L$31,Votaciones!$B$2:$B$341,$M36,Votaciones!$D$2:$D$341,"Disenso acomodaticio")&gt;0,"▼","?"))),IF(COUNTIFS(Participacion_Junta!$A$2:$A$341,L$31,Participacion_Junta!$B$2:$B$341,$M36)&gt;0,"○","?"))))</x:f>
        <x:v>●</x:v>
      </x:c>
      <x:c r="M36" t="str">
        <x:f>IFERROR(INDEX($C$351:$C$586,MATCH($X$2,$A$351:$A$586,0)),"")</x:f>
        <x:v>P017</x:v>
      </x:c>
      <x:c r="Z36" t="str">
        <x:v>D20040625</x:v>
      </x:c>
      <x:c r="AA36" t="n">
        <x:v>38163</x:v>
      </x:c>
    </x:row>
    <x:row r="37" ht="22.950000762939453" customHeight="1">
      <x:c r="A37" s="24" t="str">
        <x:f>IF($M37="","",IFERROR(INDEX(Personas!$B$2:$B$30,MATCH($M37,Personas!$A$2:$A$30,0)),"?"))</x:f>
        <x:v>Galia Borja Gómez</x:v>
      </x:c>
      <x:c r="B37" s="42" t="str">
        <x:f>IF($A37="","",IF(B$31="","",IF(COUNTIFS(Votaciones!$A$2:$A$341,B$31,Votaciones!$B$2:$B$341,$M37)&gt;0,IF(COUNTIFS(Votaciones!$A$2:$A$341,B$31,Votaciones!$B$2:$B$341,$M37,Votaciones!$D$2:$D$341,"Consenso")&gt;0,"●",IF(COUNTIFS(Votaciones!$A$2:$A$341,B$31,Votaciones!$B$2:$B$341,$M37,Votaciones!$D$2:$D$341,"Disenso restrictivo")&gt;0,"▲",IF(COUNTIFS(Votaciones!$A$2:$A$341,B$31,Votaciones!$B$2:$B$341,$M37,Votaciones!$D$2:$D$341,"Disenso acomodaticio")&gt;0,"▼","?"))),IF(COUNTIFS(Participacion_Junta!$A$2:$A$341,B$31,Participacion_Junta!$B$2:$B$341,$M37)&gt;0,"○","?"))))</x:f>
        <x:v>●</x:v>
      </x:c>
      <x:c r="C37" s="43" t="str">
        <x:f>IF($A37="","",IF(C$31="","",IF(COUNTIFS(Votaciones!$A$2:$A$341,C$31,Votaciones!$B$2:$B$341,$M37)&gt;0,IF(COUNTIFS(Votaciones!$A$2:$A$341,C$31,Votaciones!$B$2:$B$341,$M37,Votaciones!$D$2:$D$341,"Consenso")&gt;0,"●",IF(COUNTIFS(Votaciones!$A$2:$A$341,C$31,Votaciones!$B$2:$B$341,$M37,Votaciones!$D$2:$D$341,"Disenso restrictivo")&gt;0,"▲",IF(COUNTIFS(Votaciones!$A$2:$A$341,C$31,Votaciones!$B$2:$B$341,$M37,Votaciones!$D$2:$D$341,"Disenso acomodaticio")&gt;0,"▼","?"))),IF(COUNTIFS(Participacion_Junta!$A$2:$A$341,C$31,Participacion_Junta!$B$2:$B$341,$M37)&gt;0,"○","?"))))</x:f>
        <x:v>●</x:v>
      </x:c>
      <x:c r="D37" s="43" t="str">
        <x:f>IF($A37="","",IF(D$31="","",IF(COUNTIFS(Votaciones!$A$2:$A$341,D$31,Votaciones!$B$2:$B$341,$M37)&gt;0,IF(COUNTIFS(Votaciones!$A$2:$A$341,D$31,Votaciones!$B$2:$B$341,$M37,Votaciones!$D$2:$D$341,"Consenso")&gt;0,"●",IF(COUNTIFS(Votaciones!$A$2:$A$341,D$31,Votaciones!$B$2:$B$341,$M37,Votaciones!$D$2:$D$341,"Disenso restrictivo")&gt;0,"▲",IF(COUNTIFS(Votaciones!$A$2:$A$341,D$31,Votaciones!$B$2:$B$341,$M37,Votaciones!$D$2:$D$341,"Disenso acomodaticio")&gt;0,"▼","?"))),IF(COUNTIFS(Participacion_Junta!$A$2:$A$341,D$31,Participacion_Junta!$B$2:$B$341,$M37)&gt;0,"○","?"))))</x:f>
        <x:v>●</x:v>
      </x:c>
      <x:c r="E37" s="43" t="str">
        <x:f>IF($A37="","",IF(E$31="","",IF(COUNTIFS(Votaciones!$A$2:$A$341,E$31,Votaciones!$B$2:$B$341,$M37)&gt;0,IF(COUNTIFS(Votaciones!$A$2:$A$341,E$31,Votaciones!$B$2:$B$341,$M37,Votaciones!$D$2:$D$341,"Consenso")&gt;0,"●",IF(COUNTIFS(Votaciones!$A$2:$A$341,E$31,Votaciones!$B$2:$B$341,$M37,Votaciones!$D$2:$D$341,"Disenso restrictivo")&gt;0,"▲",IF(COUNTIFS(Votaciones!$A$2:$A$341,E$31,Votaciones!$B$2:$B$341,$M37,Votaciones!$D$2:$D$341,"Disenso acomodaticio")&gt;0,"▼","?"))),IF(COUNTIFS(Participacion_Junta!$A$2:$A$341,E$31,Participacion_Junta!$B$2:$B$341,$M37)&gt;0,"○","?"))))</x:f>
        <x:v>●</x:v>
      </x:c>
      <x:c r="F37" s="43" t="str">
        <x:f>IF($A37="","",IF(F$31="","",IF(COUNTIFS(Votaciones!$A$2:$A$341,F$31,Votaciones!$B$2:$B$341,$M37)&gt;0,IF(COUNTIFS(Votaciones!$A$2:$A$341,F$31,Votaciones!$B$2:$B$341,$M37,Votaciones!$D$2:$D$341,"Consenso")&gt;0,"●",IF(COUNTIFS(Votaciones!$A$2:$A$341,F$31,Votaciones!$B$2:$B$341,$M37,Votaciones!$D$2:$D$341,"Disenso restrictivo")&gt;0,"▲",IF(COUNTIFS(Votaciones!$A$2:$A$341,F$31,Votaciones!$B$2:$B$341,$M37,Votaciones!$D$2:$D$341,"Disenso acomodaticio")&gt;0,"▼","?"))),IF(COUNTIFS(Participacion_Junta!$A$2:$A$341,F$31,Participacion_Junta!$B$2:$B$341,$M37)&gt;0,"○","?"))))</x:f>
        <x:v>●</x:v>
      </x:c>
      <x:c r="G37" s="44" t="str">
        <x:f>IF($A37="","",IF(G$31="","",IF(COUNTIFS(Votaciones!$A$2:$A$341,G$31,Votaciones!$B$2:$B$341,$M37)&gt;0,IF(COUNTIFS(Votaciones!$A$2:$A$341,G$31,Votaciones!$B$2:$B$341,$M37,Votaciones!$D$2:$D$341,"Consenso")&gt;0,"●",IF(COUNTIFS(Votaciones!$A$2:$A$341,G$31,Votaciones!$B$2:$B$341,$M37,Votaciones!$D$2:$D$341,"Disenso restrictivo")&gt;0,"▲",IF(COUNTIFS(Votaciones!$A$2:$A$341,G$31,Votaciones!$B$2:$B$341,$M37,Votaciones!$D$2:$D$341,"Disenso acomodaticio")&gt;0,"▼","?"))),IF(COUNTIFS(Participacion_Junta!$A$2:$A$341,G$31,Participacion_Junta!$B$2:$B$341,$M37)&gt;0,"○","?"))))</x:f>
        <x:v>●</x:v>
      </x:c>
      <x:c r="H37" s="43" t="str">
        <x:f>IF($A37="","",IF(H$31="","",IF(COUNTIFS(Votaciones!$A$2:$A$341,H$31,Votaciones!$B$2:$B$341,$M37)&gt;0,IF(COUNTIFS(Votaciones!$A$2:$A$341,H$31,Votaciones!$B$2:$B$341,$M37,Votaciones!$D$2:$D$341,"Consenso")&gt;0,"●",IF(COUNTIFS(Votaciones!$A$2:$A$341,H$31,Votaciones!$B$2:$B$341,$M37,Votaciones!$D$2:$D$341,"Disenso restrictivo")&gt;0,"▲",IF(COUNTIFS(Votaciones!$A$2:$A$341,H$31,Votaciones!$B$2:$B$341,$M37,Votaciones!$D$2:$D$341,"Disenso acomodaticio")&gt;0,"▼","?"))),IF(COUNTIFS(Participacion_Junta!$A$2:$A$341,H$31,Participacion_Junta!$B$2:$B$341,$M37)&gt;0,"○","?"))))</x:f>
        <x:v>●</x:v>
      </x:c>
      <x:c r="I37" s="43" t="str">
        <x:f>IF($A37="","",IF(I$31="","",IF(COUNTIFS(Votaciones!$A$2:$A$341,I$31,Votaciones!$B$2:$B$341,$M37)&gt;0,IF(COUNTIFS(Votaciones!$A$2:$A$341,I$31,Votaciones!$B$2:$B$341,$M37,Votaciones!$D$2:$D$341,"Consenso")&gt;0,"●",IF(COUNTIFS(Votaciones!$A$2:$A$341,I$31,Votaciones!$B$2:$B$341,$M37,Votaciones!$D$2:$D$341,"Disenso restrictivo")&gt;0,"▲",IF(COUNTIFS(Votaciones!$A$2:$A$341,I$31,Votaciones!$B$2:$B$341,$M37,Votaciones!$D$2:$D$341,"Disenso acomodaticio")&gt;0,"▼","?"))),IF(COUNTIFS(Participacion_Junta!$A$2:$A$341,I$31,Participacion_Junta!$B$2:$B$341,$M37)&gt;0,"○","?"))))</x:f>
        <x:v>▲</x:v>
      </x:c>
      <x:c r="J37" s="43" t="str">
        <x:f>IF($A37="","",IF(J$31="","",IF(COUNTIFS(Votaciones!$A$2:$A$341,J$31,Votaciones!$B$2:$B$341,$M37)&gt;0,IF(COUNTIFS(Votaciones!$A$2:$A$341,J$31,Votaciones!$B$2:$B$341,$M37,Votaciones!$D$2:$D$341,"Consenso")&gt;0,"●",IF(COUNTIFS(Votaciones!$A$2:$A$341,J$31,Votaciones!$B$2:$B$341,$M37,Votaciones!$D$2:$D$341,"Disenso restrictivo")&gt;0,"▲",IF(COUNTIFS(Votaciones!$A$2:$A$341,J$31,Votaciones!$B$2:$B$341,$M37,Votaciones!$D$2:$D$341,"Disenso acomodaticio")&gt;0,"▼","?"))),IF(COUNTIFS(Participacion_Junta!$A$2:$A$341,J$31,Participacion_Junta!$B$2:$B$341,$M37)&gt;0,"○","?"))))</x:f>
        <x:v>▲</x:v>
      </x:c>
      <x:c r="K37" s="43" t="str">
        <x:f>IF($A37="","",IF(K$31="","",IF(COUNTIFS(Votaciones!$A$2:$A$341,K$31,Votaciones!$B$2:$B$341,$M37)&gt;0,IF(COUNTIFS(Votaciones!$A$2:$A$341,K$31,Votaciones!$B$2:$B$341,$M37,Votaciones!$D$2:$D$341,"Consenso")&gt;0,"●",IF(COUNTIFS(Votaciones!$A$2:$A$341,K$31,Votaciones!$B$2:$B$341,$M37,Votaciones!$D$2:$D$341,"Disenso restrictivo")&gt;0,"▲",IF(COUNTIFS(Votaciones!$A$2:$A$341,K$31,Votaciones!$B$2:$B$341,$M37,Votaciones!$D$2:$D$341,"Disenso acomodaticio")&gt;0,"▼","?"))),IF(COUNTIFS(Participacion_Junta!$A$2:$A$341,K$31,Participacion_Junta!$B$2:$B$341,$M37)&gt;0,"○","?"))))</x:f>
        <x:v>●</x:v>
      </x:c>
      <x:c r="L37" s="45" t="str">
        <x:f>IF($A37="","",IF(L$31="","",IF(COUNTIFS(Votaciones!$A$2:$A$341,L$31,Votaciones!$B$2:$B$341,$M37)&gt;0,IF(COUNTIFS(Votaciones!$A$2:$A$341,L$31,Votaciones!$B$2:$B$341,$M37,Votaciones!$D$2:$D$341,"Consenso")&gt;0,"●",IF(COUNTIFS(Votaciones!$A$2:$A$341,L$31,Votaciones!$B$2:$B$341,$M37,Votaciones!$D$2:$D$341,"Disenso restrictivo")&gt;0,"▲",IF(COUNTIFS(Votaciones!$A$2:$A$341,L$31,Votaciones!$B$2:$B$341,$M37,Votaciones!$D$2:$D$341,"Disenso acomodaticio")&gt;0,"▼","?"))),IF(COUNTIFS(Participacion_Junta!$A$2:$A$341,L$31,Participacion_Junta!$B$2:$B$341,$M37)&gt;0,"○","?"))))</x:f>
        <x:v>●</x:v>
      </x:c>
      <x:c r="M37" t="str">
        <x:f>IFERROR(INDEX($D$351:$D$586,MATCH($X$2,$A$351:$A$586,0)),"")</x:f>
        <x:v>P018</x:v>
      </x:c>
      <x:c r="Z37" t="str">
        <x:v>D20040723</x:v>
      </x:c>
      <x:c r="AA37" t="n">
        <x:v>38191</x:v>
      </x:c>
    </x:row>
    <x:row r="38" ht="22.950000762939453" customHeight="1">
      <x:c r="A38" s="24" t="str">
        <x:f>IF($M38="","",IFERROR(INDEX(Personas!$B$2:$B$30,MATCH($M38,Personas!$A$2:$A$30,0)),"?"))</x:f>
        <x:v>Omar Mejía Castelazo</x:v>
      </x:c>
      <x:c r="B38" s="42" t="str">
        <x:f>IF($A38="","",IF(B$31="","",IF(COUNTIFS(Votaciones!$A$2:$A$341,B$31,Votaciones!$B$2:$B$341,$M38)&gt;0,IF(COUNTIFS(Votaciones!$A$2:$A$341,B$31,Votaciones!$B$2:$B$341,$M38,Votaciones!$D$2:$D$341,"Consenso")&gt;0,"●",IF(COUNTIFS(Votaciones!$A$2:$A$341,B$31,Votaciones!$B$2:$B$341,$M38,Votaciones!$D$2:$D$341,"Disenso restrictivo")&gt;0,"▲",IF(COUNTIFS(Votaciones!$A$2:$A$341,B$31,Votaciones!$B$2:$B$341,$M38,Votaciones!$D$2:$D$341,"Disenso acomodaticio")&gt;0,"▼","?"))),IF(COUNTIFS(Participacion_Junta!$A$2:$A$341,B$31,Participacion_Junta!$B$2:$B$341,$M38)&gt;0,"○","?"))))</x:f>
        <x:v>●</x:v>
      </x:c>
      <x:c r="C38" s="43" t="str">
        <x:f>IF($A38="","",IF(C$31="","",IF(COUNTIFS(Votaciones!$A$2:$A$341,C$31,Votaciones!$B$2:$B$341,$M38)&gt;0,IF(COUNTIFS(Votaciones!$A$2:$A$341,C$31,Votaciones!$B$2:$B$341,$M38,Votaciones!$D$2:$D$341,"Consenso")&gt;0,"●",IF(COUNTIFS(Votaciones!$A$2:$A$341,C$31,Votaciones!$B$2:$B$341,$M38,Votaciones!$D$2:$D$341,"Disenso restrictivo")&gt;0,"▲",IF(COUNTIFS(Votaciones!$A$2:$A$341,C$31,Votaciones!$B$2:$B$341,$M38,Votaciones!$D$2:$D$341,"Disenso acomodaticio")&gt;0,"▼","?"))),IF(COUNTIFS(Participacion_Junta!$A$2:$A$341,C$31,Participacion_Junta!$B$2:$B$341,$M38)&gt;0,"○","?"))))</x:f>
        <x:v>●</x:v>
      </x:c>
      <x:c r="D38" s="43" t="str">
        <x:f>IF($A38="","",IF(D$31="","",IF(COUNTIFS(Votaciones!$A$2:$A$341,D$31,Votaciones!$B$2:$B$341,$M38)&gt;0,IF(COUNTIFS(Votaciones!$A$2:$A$341,D$31,Votaciones!$B$2:$B$341,$M38,Votaciones!$D$2:$D$341,"Consenso")&gt;0,"●",IF(COUNTIFS(Votaciones!$A$2:$A$341,D$31,Votaciones!$B$2:$B$341,$M38,Votaciones!$D$2:$D$341,"Disenso restrictivo")&gt;0,"▲",IF(COUNTIFS(Votaciones!$A$2:$A$341,D$31,Votaciones!$B$2:$B$341,$M38,Votaciones!$D$2:$D$341,"Disenso acomodaticio")&gt;0,"▼","?"))),IF(COUNTIFS(Participacion_Junta!$A$2:$A$341,D$31,Participacion_Junta!$B$2:$B$341,$M38)&gt;0,"○","?"))))</x:f>
        <x:v>●</x:v>
      </x:c>
      <x:c r="E38" s="43" t="str">
        <x:f>IF($A38="","",IF(E$31="","",IF(COUNTIFS(Votaciones!$A$2:$A$341,E$31,Votaciones!$B$2:$B$341,$M38)&gt;0,IF(COUNTIFS(Votaciones!$A$2:$A$341,E$31,Votaciones!$B$2:$B$341,$M38,Votaciones!$D$2:$D$341,"Consenso")&gt;0,"●",IF(COUNTIFS(Votaciones!$A$2:$A$341,E$31,Votaciones!$B$2:$B$341,$M38,Votaciones!$D$2:$D$341,"Disenso restrictivo")&gt;0,"▲",IF(COUNTIFS(Votaciones!$A$2:$A$341,E$31,Votaciones!$B$2:$B$341,$M38,Votaciones!$D$2:$D$341,"Disenso acomodaticio")&gt;0,"▼","?"))),IF(COUNTIFS(Participacion_Junta!$A$2:$A$341,E$31,Participacion_Junta!$B$2:$B$341,$M38)&gt;0,"○","?"))))</x:f>
        <x:v>●</x:v>
      </x:c>
      <x:c r="F38" s="43" t="str">
        <x:f>IF($A38="","",IF(F$31="","",IF(COUNTIFS(Votaciones!$A$2:$A$341,F$31,Votaciones!$B$2:$B$341,$M38)&gt;0,IF(COUNTIFS(Votaciones!$A$2:$A$341,F$31,Votaciones!$B$2:$B$341,$M38,Votaciones!$D$2:$D$341,"Consenso")&gt;0,"●",IF(COUNTIFS(Votaciones!$A$2:$A$341,F$31,Votaciones!$B$2:$B$341,$M38,Votaciones!$D$2:$D$341,"Disenso restrictivo")&gt;0,"▲",IF(COUNTIFS(Votaciones!$A$2:$A$341,F$31,Votaciones!$B$2:$B$341,$M38,Votaciones!$D$2:$D$341,"Disenso acomodaticio")&gt;0,"▼","?"))),IF(COUNTIFS(Participacion_Junta!$A$2:$A$341,F$31,Participacion_Junta!$B$2:$B$341,$M38)&gt;0,"○","?"))))</x:f>
        <x:v>●</x:v>
      </x:c>
      <x:c r="G38" s="44" t="str">
        <x:f>IF($A38="","",IF(G$31="","",IF(COUNTIFS(Votaciones!$A$2:$A$341,G$31,Votaciones!$B$2:$B$341,$M38)&gt;0,IF(COUNTIFS(Votaciones!$A$2:$A$341,G$31,Votaciones!$B$2:$B$341,$M38,Votaciones!$D$2:$D$341,"Consenso")&gt;0,"●",IF(COUNTIFS(Votaciones!$A$2:$A$341,G$31,Votaciones!$B$2:$B$341,$M38,Votaciones!$D$2:$D$341,"Disenso restrictivo")&gt;0,"▲",IF(COUNTIFS(Votaciones!$A$2:$A$341,G$31,Votaciones!$B$2:$B$341,$M38,Votaciones!$D$2:$D$341,"Disenso acomodaticio")&gt;0,"▼","?"))),IF(COUNTIFS(Participacion_Junta!$A$2:$A$341,G$31,Participacion_Junta!$B$2:$B$341,$M38)&gt;0,"○","?"))))</x:f>
        <x:v>●</x:v>
      </x:c>
      <x:c r="H38" s="43" t="str">
        <x:f>IF($A38="","",IF(H$31="","",IF(COUNTIFS(Votaciones!$A$2:$A$341,H$31,Votaciones!$B$2:$B$341,$M38)&gt;0,IF(COUNTIFS(Votaciones!$A$2:$A$341,H$31,Votaciones!$B$2:$B$341,$M38,Votaciones!$D$2:$D$341,"Consenso")&gt;0,"●",IF(COUNTIFS(Votaciones!$A$2:$A$341,H$31,Votaciones!$B$2:$B$341,$M38,Votaciones!$D$2:$D$341,"Disenso restrictivo")&gt;0,"▲",IF(COUNTIFS(Votaciones!$A$2:$A$341,H$31,Votaciones!$B$2:$B$341,$M38,Votaciones!$D$2:$D$341,"Disenso acomodaticio")&gt;0,"▼","?"))),IF(COUNTIFS(Participacion_Junta!$A$2:$A$341,H$31,Participacion_Junta!$B$2:$B$341,$M38)&gt;0,"○","?"))))</x:f>
        <x:v>●</x:v>
      </x:c>
      <x:c r="I38" s="43" t="str">
        <x:f>IF($A38="","",IF(I$31="","",IF(COUNTIFS(Votaciones!$A$2:$A$341,I$31,Votaciones!$B$2:$B$341,$M38)&gt;0,IF(COUNTIFS(Votaciones!$A$2:$A$341,I$31,Votaciones!$B$2:$B$341,$M38,Votaciones!$D$2:$D$341,"Consenso")&gt;0,"●",IF(COUNTIFS(Votaciones!$A$2:$A$341,I$31,Votaciones!$B$2:$B$341,$M38,Votaciones!$D$2:$D$341,"Disenso restrictivo")&gt;0,"▲",IF(COUNTIFS(Votaciones!$A$2:$A$341,I$31,Votaciones!$B$2:$B$341,$M38,Votaciones!$D$2:$D$341,"Disenso acomodaticio")&gt;0,"▼","?"))),IF(COUNTIFS(Participacion_Junta!$A$2:$A$341,I$31,Participacion_Junta!$B$2:$B$341,$M38)&gt;0,"○","?"))))</x:f>
        <x:v>●</x:v>
      </x:c>
      <x:c r="J38" s="43" t="str">
        <x:f>IF($A38="","",IF(J$31="","",IF(COUNTIFS(Votaciones!$A$2:$A$341,J$31,Votaciones!$B$2:$B$341,$M38)&gt;0,IF(COUNTIFS(Votaciones!$A$2:$A$341,J$31,Votaciones!$B$2:$B$341,$M38,Votaciones!$D$2:$D$341,"Consenso")&gt;0,"●",IF(COUNTIFS(Votaciones!$A$2:$A$341,J$31,Votaciones!$B$2:$B$341,$M38,Votaciones!$D$2:$D$341,"Disenso restrictivo")&gt;0,"▲",IF(COUNTIFS(Votaciones!$A$2:$A$341,J$31,Votaciones!$B$2:$B$341,$M38,Votaciones!$D$2:$D$341,"Disenso acomodaticio")&gt;0,"▼","?"))),IF(COUNTIFS(Participacion_Junta!$A$2:$A$341,J$31,Participacion_Junta!$B$2:$B$341,$M38)&gt;0,"○","?"))))</x:f>
        <x:v>●</x:v>
      </x:c>
      <x:c r="K38" s="43" t="str">
        <x:f>IF($A38="","",IF(K$31="","",IF(COUNTIFS(Votaciones!$A$2:$A$341,K$31,Votaciones!$B$2:$B$341,$M38)&gt;0,IF(COUNTIFS(Votaciones!$A$2:$A$341,K$31,Votaciones!$B$2:$B$341,$M38,Votaciones!$D$2:$D$341,"Consenso")&gt;0,"●",IF(COUNTIFS(Votaciones!$A$2:$A$341,K$31,Votaciones!$B$2:$B$341,$M38,Votaciones!$D$2:$D$341,"Disenso restrictivo")&gt;0,"▲",IF(COUNTIFS(Votaciones!$A$2:$A$341,K$31,Votaciones!$B$2:$B$341,$M38,Votaciones!$D$2:$D$341,"Disenso acomodaticio")&gt;0,"▼","?"))),IF(COUNTIFS(Participacion_Junta!$A$2:$A$341,K$31,Participacion_Junta!$B$2:$B$341,$M38)&gt;0,"○","?"))))</x:f>
        <x:v>●</x:v>
      </x:c>
      <x:c r="L38" s="45" t="str">
        <x:f>IF($A38="","",IF(L$31="","",IF(COUNTIFS(Votaciones!$A$2:$A$341,L$31,Votaciones!$B$2:$B$341,$M38)&gt;0,IF(COUNTIFS(Votaciones!$A$2:$A$341,L$31,Votaciones!$B$2:$B$341,$M38,Votaciones!$D$2:$D$341,"Consenso")&gt;0,"●",IF(COUNTIFS(Votaciones!$A$2:$A$341,L$31,Votaciones!$B$2:$B$341,$M38,Votaciones!$D$2:$D$341,"Disenso restrictivo")&gt;0,"▲",IF(COUNTIFS(Votaciones!$A$2:$A$341,L$31,Votaciones!$B$2:$B$341,$M38,Votaciones!$D$2:$D$341,"Disenso acomodaticio")&gt;0,"▼","?"))),IF(COUNTIFS(Participacion_Junta!$A$2:$A$341,L$31,Participacion_Junta!$B$2:$B$341,$M38)&gt;0,"○","?"))))</x:f>
        <x:v>●</x:v>
      </x:c>
      <x:c r="M38" t="str">
        <x:f>IFERROR(INDEX($E$351:$E$586,MATCH($X$2,$A$351:$A$586,0)),"")</x:f>
        <x:v>P020</x:v>
      </x:c>
      <x:c r="Z38" t="str">
        <x:v>D20040827</x:v>
      </x:c>
      <x:c r="AA38" t="n">
        <x:v>38226</x:v>
      </x:c>
    </x:row>
    <x:row r="39" ht="22.950000762939453" customHeight="1">
      <x:c r="A39" s="24" t="str">
        <x:f>IF($M39="","",IFERROR(INDEX(Personas!$B$2:$B$30,MATCH($M39,Personas!$A$2:$A$30,0)),"?"))</x:f>
        <x:v>José Gabriel Cuadra García</x:v>
      </x:c>
      <x:c r="B39" s="42" t="str">
        <x:f>IF($A39="","",IF(B$31="","",IF(COUNTIFS(Votaciones!$A$2:$A$341,B$31,Votaciones!$B$2:$B$341,$M39)&gt;0,IF(COUNTIFS(Votaciones!$A$2:$A$341,B$31,Votaciones!$B$2:$B$341,$M39,Votaciones!$D$2:$D$341,"Consenso")&gt;0,"●",IF(COUNTIFS(Votaciones!$A$2:$A$341,B$31,Votaciones!$B$2:$B$341,$M39,Votaciones!$D$2:$D$341,"Disenso restrictivo")&gt;0,"▲",IF(COUNTIFS(Votaciones!$A$2:$A$341,B$31,Votaciones!$B$2:$B$341,$M39,Votaciones!$D$2:$D$341,"Disenso acomodaticio")&gt;0,"▼","?"))),IF(COUNTIFS(Participacion_Junta!$A$2:$A$341,B$31,Participacion_Junta!$B$2:$B$341,$M39)&gt;0,"○","?"))))</x:f>
        <x:v>●</x:v>
      </x:c>
      <x:c r="C39" s="43" t="str">
        <x:f>IF($A39="","",IF(C$31="","",IF(COUNTIFS(Votaciones!$A$2:$A$341,C$31,Votaciones!$B$2:$B$341,$M39)&gt;0,IF(COUNTIFS(Votaciones!$A$2:$A$341,C$31,Votaciones!$B$2:$B$341,$M39,Votaciones!$D$2:$D$341,"Consenso")&gt;0,"●",IF(COUNTIFS(Votaciones!$A$2:$A$341,C$31,Votaciones!$B$2:$B$341,$M39,Votaciones!$D$2:$D$341,"Disenso restrictivo")&gt;0,"▲",IF(COUNTIFS(Votaciones!$A$2:$A$341,C$31,Votaciones!$B$2:$B$341,$M39,Votaciones!$D$2:$D$341,"Disenso acomodaticio")&gt;0,"▼","?"))),IF(COUNTIFS(Participacion_Junta!$A$2:$A$341,C$31,Participacion_Junta!$B$2:$B$341,$M39)&gt;0,"○","?"))))</x:f>
        <x:v>●</x:v>
      </x:c>
      <x:c r="D39" s="43" t="str">
        <x:f>IF($A39="","",IF(D$31="","",IF(COUNTIFS(Votaciones!$A$2:$A$341,D$31,Votaciones!$B$2:$B$341,$M39)&gt;0,IF(COUNTIFS(Votaciones!$A$2:$A$341,D$31,Votaciones!$B$2:$B$341,$M39,Votaciones!$D$2:$D$341,"Consenso")&gt;0,"●",IF(COUNTIFS(Votaciones!$A$2:$A$341,D$31,Votaciones!$B$2:$B$341,$M39,Votaciones!$D$2:$D$341,"Disenso restrictivo")&gt;0,"▲",IF(COUNTIFS(Votaciones!$A$2:$A$341,D$31,Votaciones!$B$2:$B$341,$M39,Votaciones!$D$2:$D$341,"Disenso acomodaticio")&gt;0,"▼","?"))),IF(COUNTIFS(Participacion_Junta!$A$2:$A$341,D$31,Participacion_Junta!$B$2:$B$341,$M39)&gt;0,"○","?"))))</x:f>
        <x:v>●</x:v>
      </x:c>
      <x:c r="E39" s="43" t="str">
        <x:f>IF($A39="","",IF(E$31="","",IF(COUNTIFS(Votaciones!$A$2:$A$341,E$31,Votaciones!$B$2:$B$341,$M39)&gt;0,IF(COUNTIFS(Votaciones!$A$2:$A$341,E$31,Votaciones!$B$2:$B$341,$M39,Votaciones!$D$2:$D$341,"Consenso")&gt;0,"●",IF(COUNTIFS(Votaciones!$A$2:$A$341,E$31,Votaciones!$B$2:$B$341,$M39,Votaciones!$D$2:$D$341,"Disenso restrictivo")&gt;0,"▲",IF(COUNTIFS(Votaciones!$A$2:$A$341,E$31,Votaciones!$B$2:$B$341,$M39,Votaciones!$D$2:$D$341,"Disenso acomodaticio")&gt;0,"▼","?"))),IF(COUNTIFS(Participacion_Junta!$A$2:$A$341,E$31,Participacion_Junta!$B$2:$B$341,$M39)&gt;0,"○","?"))))</x:f>
        <x:v>●</x:v>
      </x:c>
      <x:c r="F39" s="43" t="str">
        <x:f>IF($A39="","",IF(F$31="","",IF(COUNTIFS(Votaciones!$A$2:$A$341,F$31,Votaciones!$B$2:$B$341,$M39)&gt;0,IF(COUNTIFS(Votaciones!$A$2:$A$341,F$31,Votaciones!$B$2:$B$341,$M39,Votaciones!$D$2:$D$341,"Consenso")&gt;0,"●",IF(COUNTIFS(Votaciones!$A$2:$A$341,F$31,Votaciones!$B$2:$B$341,$M39,Votaciones!$D$2:$D$341,"Disenso restrictivo")&gt;0,"▲",IF(COUNTIFS(Votaciones!$A$2:$A$341,F$31,Votaciones!$B$2:$B$341,$M39,Votaciones!$D$2:$D$341,"Disenso acomodaticio")&gt;0,"▼","?"))),IF(COUNTIFS(Participacion_Junta!$A$2:$A$341,F$31,Participacion_Junta!$B$2:$B$341,$M39)&gt;0,"○","?"))))</x:f>
        <x:v>●</x:v>
      </x:c>
      <x:c r="G39" s="44" t="str">
        <x:f>IF($A39="","",IF(G$31="","",IF(COUNTIFS(Votaciones!$A$2:$A$341,G$31,Votaciones!$B$2:$B$341,$M39)&gt;0,IF(COUNTIFS(Votaciones!$A$2:$A$341,G$31,Votaciones!$B$2:$B$341,$M39,Votaciones!$D$2:$D$341,"Consenso")&gt;0,"●",IF(COUNTIFS(Votaciones!$A$2:$A$341,G$31,Votaciones!$B$2:$B$341,$M39,Votaciones!$D$2:$D$341,"Disenso restrictivo")&gt;0,"▲",IF(COUNTIFS(Votaciones!$A$2:$A$341,G$31,Votaciones!$B$2:$B$341,$M39,Votaciones!$D$2:$D$341,"Disenso acomodaticio")&gt;0,"▼","?"))),IF(COUNTIFS(Participacion_Junta!$A$2:$A$341,G$31,Participacion_Junta!$B$2:$B$341,$M39)&gt;0,"○","?"))))</x:f>
        <x:v>●</x:v>
      </x:c>
      <x:c r="H39" s="43" t="str">
        <x:f>IF($A39="","",IF(H$31="","",IF(COUNTIFS(Votaciones!$A$2:$A$341,H$31,Votaciones!$B$2:$B$341,$M39)&gt;0,IF(COUNTIFS(Votaciones!$A$2:$A$341,H$31,Votaciones!$B$2:$B$341,$M39,Votaciones!$D$2:$D$341,"Consenso")&gt;0,"●",IF(COUNTIFS(Votaciones!$A$2:$A$341,H$31,Votaciones!$B$2:$B$341,$M39,Votaciones!$D$2:$D$341,"Disenso restrictivo")&gt;0,"▲",IF(COUNTIFS(Votaciones!$A$2:$A$341,H$31,Votaciones!$B$2:$B$341,$M39,Votaciones!$D$2:$D$341,"Disenso acomodaticio")&gt;0,"▼","?"))),IF(COUNTIFS(Participacion_Junta!$A$2:$A$341,H$31,Participacion_Junta!$B$2:$B$341,$M39)&gt;0,"○","?"))))</x:f>
        <x:v>●</x:v>
      </x:c>
      <x:c r="I39" s="43" t="str">
        <x:f>IF($A39="","",IF(I$31="","",IF(COUNTIFS(Votaciones!$A$2:$A$341,I$31,Votaciones!$B$2:$B$341,$M39)&gt;0,IF(COUNTIFS(Votaciones!$A$2:$A$341,I$31,Votaciones!$B$2:$B$341,$M39,Votaciones!$D$2:$D$341,"Consenso")&gt;0,"●",IF(COUNTIFS(Votaciones!$A$2:$A$341,I$31,Votaciones!$B$2:$B$341,$M39,Votaciones!$D$2:$D$341,"Disenso restrictivo")&gt;0,"▲",IF(COUNTIFS(Votaciones!$A$2:$A$341,I$31,Votaciones!$B$2:$B$341,$M39,Votaciones!$D$2:$D$341,"Disenso acomodaticio")&gt;0,"▼","?"))),IF(COUNTIFS(Participacion_Junta!$A$2:$A$341,I$31,Participacion_Junta!$B$2:$B$341,$M39)&gt;0,"○","?"))))</x:f>
        <x:v>●</x:v>
      </x:c>
      <x:c r="J39" s="43" t="str">
        <x:f>IF($A39="","",IF(J$31="","",IF(COUNTIFS(Votaciones!$A$2:$A$341,J$31,Votaciones!$B$2:$B$341,$M39)&gt;0,IF(COUNTIFS(Votaciones!$A$2:$A$341,J$31,Votaciones!$B$2:$B$341,$M39,Votaciones!$D$2:$D$341,"Consenso")&gt;0,"●",IF(COUNTIFS(Votaciones!$A$2:$A$341,J$31,Votaciones!$B$2:$B$341,$M39,Votaciones!$D$2:$D$341,"Disenso restrictivo")&gt;0,"▲",IF(COUNTIFS(Votaciones!$A$2:$A$341,J$31,Votaciones!$B$2:$B$341,$M39,Votaciones!$D$2:$D$341,"Disenso acomodaticio")&gt;0,"▼","?"))),IF(COUNTIFS(Participacion_Junta!$A$2:$A$341,J$31,Participacion_Junta!$B$2:$B$341,$M39)&gt;0,"○","?"))))</x:f>
        <x:v>●</x:v>
      </x:c>
      <x:c r="K39" s="43" t="str">
        <x:f>IF($A39="","",IF(K$31="","",IF(COUNTIFS(Votaciones!$A$2:$A$341,K$31,Votaciones!$B$2:$B$341,$M39)&gt;0,IF(COUNTIFS(Votaciones!$A$2:$A$341,K$31,Votaciones!$B$2:$B$341,$M39,Votaciones!$D$2:$D$341,"Consenso")&gt;0,"●",IF(COUNTIFS(Votaciones!$A$2:$A$341,K$31,Votaciones!$B$2:$B$341,$M39,Votaciones!$D$2:$D$341,"Disenso restrictivo")&gt;0,"▲",IF(COUNTIFS(Votaciones!$A$2:$A$341,K$31,Votaciones!$B$2:$B$341,$M39,Votaciones!$D$2:$D$341,"Disenso acomodaticio")&gt;0,"▼","?"))),IF(COUNTIFS(Participacion_Junta!$A$2:$A$341,K$31,Participacion_Junta!$B$2:$B$341,$M39)&gt;0,"○","?"))))</x:f>
        <x:v>●</x:v>
      </x:c>
      <x:c r="L39" s="45" t="str">
        <x:f>IF($A39="","",IF(L$31="","",IF(COUNTIFS(Votaciones!$A$2:$A$341,L$31,Votaciones!$B$2:$B$341,$M39)&gt;0,IF(COUNTIFS(Votaciones!$A$2:$A$341,L$31,Votaciones!$B$2:$B$341,$M39,Votaciones!$D$2:$D$341,"Consenso")&gt;0,"●",IF(COUNTIFS(Votaciones!$A$2:$A$341,L$31,Votaciones!$B$2:$B$341,$M39,Votaciones!$D$2:$D$341,"Disenso restrictivo")&gt;0,"▲",IF(COUNTIFS(Votaciones!$A$2:$A$341,L$31,Votaciones!$B$2:$B$341,$M39,Votaciones!$D$2:$D$341,"Disenso acomodaticio")&gt;0,"▼","?"))),IF(COUNTIFS(Participacion_Junta!$A$2:$A$341,L$31,Participacion_Junta!$B$2:$B$341,$M39)&gt;0,"○","?"))))</x:f>
        <x:v>●</x:v>
      </x:c>
      <x:c r="M39" t="str">
        <x:f>IFERROR(INDEX($F$351:$F$586,MATCH($X$2,$A$351:$A$586,0)),"")</x:f>
        <x:v>P021</x:v>
      </x:c>
      <x:c r="Z39" t="str">
        <x:v>D20040924</x:v>
      </x:c>
      <x:c r="AA39" t="n">
        <x:v>38254</x:v>
      </x:c>
    </x:row>
    <x:row r="40" ht="22.950000762939453" customHeight="1">
      <x:c r="A40" s="24" t="str">
        <x:f>IF($M40="","",IFERROR(INDEX(Personas!$B$2:$B$30,MATCH($M40,Personas!$A$2:$A$30,0)),"?"))</x:f>
      </x:c>
      <x:c r="B40" s="42" t="str">
        <x:f>IF($A40="","",IF(B$31="","",IF(COUNTIFS(Votaciones!$A$2:$A$341,B$31,Votaciones!$B$2:$B$341,$M40)&gt;0,IF(COUNTIFS(Votaciones!$A$2:$A$341,B$31,Votaciones!$B$2:$B$341,$M40,Votaciones!$D$2:$D$341,"Consenso")&gt;0,"●",IF(COUNTIFS(Votaciones!$A$2:$A$341,B$31,Votaciones!$B$2:$B$341,$M40,Votaciones!$D$2:$D$341,"Disenso restrictivo")&gt;0,"▲",IF(COUNTIFS(Votaciones!$A$2:$A$341,B$31,Votaciones!$B$2:$B$341,$M40,Votaciones!$D$2:$D$341,"Disenso acomodaticio")&gt;0,"▼","?"))),IF(COUNTIFS(Participacion_Junta!$A$2:$A$341,B$31,Participacion_Junta!$B$2:$B$341,$M40)&gt;0,"○","?"))))</x:f>
      </x:c>
      <x:c r="C40" s="43" t="str">
        <x:f>IF($A40="","",IF(C$31="","",IF(COUNTIFS(Votaciones!$A$2:$A$341,C$31,Votaciones!$B$2:$B$341,$M40)&gt;0,IF(COUNTIFS(Votaciones!$A$2:$A$341,C$31,Votaciones!$B$2:$B$341,$M40,Votaciones!$D$2:$D$341,"Consenso")&gt;0,"●",IF(COUNTIFS(Votaciones!$A$2:$A$341,C$31,Votaciones!$B$2:$B$341,$M40,Votaciones!$D$2:$D$341,"Disenso restrictivo")&gt;0,"▲",IF(COUNTIFS(Votaciones!$A$2:$A$341,C$31,Votaciones!$B$2:$B$341,$M40,Votaciones!$D$2:$D$341,"Disenso acomodaticio")&gt;0,"▼","?"))),IF(COUNTIFS(Participacion_Junta!$A$2:$A$341,C$31,Participacion_Junta!$B$2:$B$341,$M40)&gt;0,"○","?"))))</x:f>
      </x:c>
      <x:c r="D40" s="43" t="str">
        <x:f>IF($A40="","",IF(D$31="","",IF(COUNTIFS(Votaciones!$A$2:$A$341,D$31,Votaciones!$B$2:$B$341,$M40)&gt;0,IF(COUNTIFS(Votaciones!$A$2:$A$341,D$31,Votaciones!$B$2:$B$341,$M40,Votaciones!$D$2:$D$341,"Consenso")&gt;0,"●",IF(COUNTIFS(Votaciones!$A$2:$A$341,D$31,Votaciones!$B$2:$B$341,$M40,Votaciones!$D$2:$D$341,"Disenso restrictivo")&gt;0,"▲",IF(COUNTIFS(Votaciones!$A$2:$A$341,D$31,Votaciones!$B$2:$B$341,$M40,Votaciones!$D$2:$D$341,"Disenso acomodaticio")&gt;0,"▼","?"))),IF(COUNTIFS(Participacion_Junta!$A$2:$A$341,D$31,Participacion_Junta!$B$2:$B$341,$M40)&gt;0,"○","?"))))</x:f>
      </x:c>
      <x:c r="E40" s="43" t="str">
        <x:f>IF($A40="","",IF(E$31="","",IF(COUNTIFS(Votaciones!$A$2:$A$341,E$31,Votaciones!$B$2:$B$341,$M40)&gt;0,IF(COUNTIFS(Votaciones!$A$2:$A$341,E$31,Votaciones!$B$2:$B$341,$M40,Votaciones!$D$2:$D$341,"Consenso")&gt;0,"●",IF(COUNTIFS(Votaciones!$A$2:$A$341,E$31,Votaciones!$B$2:$B$341,$M40,Votaciones!$D$2:$D$341,"Disenso restrictivo")&gt;0,"▲",IF(COUNTIFS(Votaciones!$A$2:$A$341,E$31,Votaciones!$B$2:$B$341,$M40,Votaciones!$D$2:$D$341,"Disenso acomodaticio")&gt;0,"▼","?"))),IF(COUNTIFS(Participacion_Junta!$A$2:$A$341,E$31,Participacion_Junta!$B$2:$B$341,$M40)&gt;0,"○","?"))))</x:f>
      </x:c>
      <x:c r="F40" s="43" t="str">
        <x:f>IF($A40="","",IF(F$31="","",IF(COUNTIFS(Votaciones!$A$2:$A$341,F$31,Votaciones!$B$2:$B$341,$M40)&gt;0,IF(COUNTIFS(Votaciones!$A$2:$A$341,F$31,Votaciones!$B$2:$B$341,$M40,Votaciones!$D$2:$D$341,"Consenso")&gt;0,"●",IF(COUNTIFS(Votaciones!$A$2:$A$341,F$31,Votaciones!$B$2:$B$341,$M40,Votaciones!$D$2:$D$341,"Disenso restrictivo")&gt;0,"▲",IF(COUNTIFS(Votaciones!$A$2:$A$341,F$31,Votaciones!$B$2:$B$341,$M40,Votaciones!$D$2:$D$341,"Disenso acomodaticio")&gt;0,"▼","?"))),IF(COUNTIFS(Participacion_Junta!$A$2:$A$341,F$31,Participacion_Junta!$B$2:$B$341,$M40)&gt;0,"○","?"))))</x:f>
      </x:c>
      <x:c r="G40" s="44" t="str">
        <x:f>IF($A40="","",IF(G$31="","",IF(COUNTIFS(Votaciones!$A$2:$A$341,G$31,Votaciones!$B$2:$B$341,$M40)&gt;0,IF(COUNTIFS(Votaciones!$A$2:$A$341,G$31,Votaciones!$B$2:$B$341,$M40,Votaciones!$D$2:$D$341,"Consenso")&gt;0,"●",IF(COUNTIFS(Votaciones!$A$2:$A$341,G$31,Votaciones!$B$2:$B$341,$M40,Votaciones!$D$2:$D$341,"Disenso restrictivo")&gt;0,"▲",IF(COUNTIFS(Votaciones!$A$2:$A$341,G$31,Votaciones!$B$2:$B$341,$M40,Votaciones!$D$2:$D$341,"Disenso acomodaticio")&gt;0,"▼","?"))),IF(COUNTIFS(Participacion_Junta!$A$2:$A$341,G$31,Participacion_Junta!$B$2:$B$341,$M40)&gt;0,"○","?"))))</x:f>
      </x:c>
      <x:c r="H40" s="43" t="str">
        <x:f>IF($A40="","",IF(H$31="","",IF(COUNTIFS(Votaciones!$A$2:$A$341,H$31,Votaciones!$B$2:$B$341,$M40)&gt;0,IF(COUNTIFS(Votaciones!$A$2:$A$341,H$31,Votaciones!$B$2:$B$341,$M40,Votaciones!$D$2:$D$341,"Consenso")&gt;0,"●",IF(COUNTIFS(Votaciones!$A$2:$A$341,H$31,Votaciones!$B$2:$B$341,$M40,Votaciones!$D$2:$D$341,"Disenso restrictivo")&gt;0,"▲",IF(COUNTIFS(Votaciones!$A$2:$A$341,H$31,Votaciones!$B$2:$B$341,$M40,Votaciones!$D$2:$D$341,"Disenso acomodaticio")&gt;0,"▼","?"))),IF(COUNTIFS(Participacion_Junta!$A$2:$A$341,H$31,Participacion_Junta!$B$2:$B$341,$M40)&gt;0,"○","?"))))</x:f>
      </x:c>
      <x:c r="I40" s="43" t="str">
        <x:f>IF($A40="","",IF(I$31="","",IF(COUNTIFS(Votaciones!$A$2:$A$341,I$31,Votaciones!$B$2:$B$341,$M40)&gt;0,IF(COUNTIFS(Votaciones!$A$2:$A$341,I$31,Votaciones!$B$2:$B$341,$M40,Votaciones!$D$2:$D$341,"Consenso")&gt;0,"●",IF(COUNTIFS(Votaciones!$A$2:$A$341,I$31,Votaciones!$B$2:$B$341,$M40,Votaciones!$D$2:$D$341,"Disenso restrictivo")&gt;0,"▲",IF(COUNTIFS(Votaciones!$A$2:$A$341,I$31,Votaciones!$B$2:$B$341,$M40,Votaciones!$D$2:$D$341,"Disenso acomodaticio")&gt;0,"▼","?"))),IF(COUNTIFS(Participacion_Junta!$A$2:$A$341,I$31,Participacion_Junta!$B$2:$B$341,$M40)&gt;0,"○","?"))))</x:f>
      </x:c>
      <x:c r="J40" s="43" t="str">
        <x:f>IF($A40="","",IF(J$31="","",IF(COUNTIFS(Votaciones!$A$2:$A$341,J$31,Votaciones!$B$2:$B$341,$M40)&gt;0,IF(COUNTIFS(Votaciones!$A$2:$A$341,J$31,Votaciones!$B$2:$B$341,$M40,Votaciones!$D$2:$D$341,"Consenso")&gt;0,"●",IF(COUNTIFS(Votaciones!$A$2:$A$341,J$31,Votaciones!$B$2:$B$341,$M40,Votaciones!$D$2:$D$341,"Disenso restrictivo")&gt;0,"▲",IF(COUNTIFS(Votaciones!$A$2:$A$341,J$31,Votaciones!$B$2:$B$341,$M40,Votaciones!$D$2:$D$341,"Disenso acomodaticio")&gt;0,"▼","?"))),IF(COUNTIFS(Participacion_Junta!$A$2:$A$341,J$31,Participacion_Junta!$B$2:$B$341,$M40)&gt;0,"○","?"))))</x:f>
      </x:c>
      <x:c r="K40" s="43" t="str">
        <x:f>IF($A40="","",IF(K$31="","",IF(COUNTIFS(Votaciones!$A$2:$A$341,K$31,Votaciones!$B$2:$B$341,$M40)&gt;0,IF(COUNTIFS(Votaciones!$A$2:$A$341,K$31,Votaciones!$B$2:$B$341,$M40,Votaciones!$D$2:$D$341,"Consenso")&gt;0,"●",IF(COUNTIFS(Votaciones!$A$2:$A$341,K$31,Votaciones!$B$2:$B$341,$M40,Votaciones!$D$2:$D$341,"Disenso restrictivo")&gt;0,"▲",IF(COUNTIFS(Votaciones!$A$2:$A$341,K$31,Votaciones!$B$2:$B$341,$M40,Votaciones!$D$2:$D$341,"Disenso acomodaticio")&gt;0,"▼","?"))),IF(COUNTIFS(Participacion_Junta!$A$2:$A$341,K$31,Participacion_Junta!$B$2:$B$341,$M40)&gt;0,"○","?"))))</x:f>
      </x:c>
      <x:c r="L40" s="45" t="str">
        <x:f>IF($A40="","",IF(L$31="","",IF(COUNTIFS(Votaciones!$A$2:$A$341,L$31,Votaciones!$B$2:$B$341,$M40)&gt;0,IF(COUNTIFS(Votaciones!$A$2:$A$341,L$31,Votaciones!$B$2:$B$341,$M40,Votaciones!$D$2:$D$341,"Consenso")&gt;0,"●",IF(COUNTIFS(Votaciones!$A$2:$A$341,L$31,Votaciones!$B$2:$B$341,$M40,Votaciones!$D$2:$D$341,"Disenso restrictivo")&gt;0,"▲",IF(COUNTIFS(Votaciones!$A$2:$A$341,L$31,Votaciones!$B$2:$B$341,$M40,Votaciones!$D$2:$D$341,"Disenso acomodaticio")&gt;0,"▼","?"))),IF(COUNTIFS(Participacion_Junta!$A$2:$A$341,L$31,Participacion_Junta!$B$2:$B$341,$M40)&gt;0,"○","?"))))</x:f>
      </x:c>
      <x:c r="M40" t="str">
        <x:f>IFERROR(INDEX($G$351:$G$586,MATCH($X$2,$A$351:$A$586,0)),"")</x:f>
      </x:c>
      <x:c r="Z40" t="str">
        <x:v>D20041022</x:v>
      </x:c>
      <x:c r="AA40" t="n">
        <x:v>38282</x:v>
      </x:c>
    </x:row>
    <x:row r="41" ht="22.950000762939453" customHeight="1">
      <x:c r="A41" s="24" t="str">
        <x:f>IF($M41="","",IFERROR(INDEX(Personas!$B$2:$B$30,MATCH($M41,Personas!$A$2:$A$30,0)),"?"))</x:f>
      </x:c>
      <x:c r="B41" s="42" t="str">
        <x:f>IF($A41="","",IF(B$31="","",IF(COUNTIFS(Votaciones!$A$2:$A$341,B$31,Votaciones!$B$2:$B$341,$M41)&gt;0,IF(COUNTIFS(Votaciones!$A$2:$A$341,B$31,Votaciones!$B$2:$B$341,$M41,Votaciones!$D$2:$D$341,"Consenso")&gt;0,"●",IF(COUNTIFS(Votaciones!$A$2:$A$341,B$31,Votaciones!$B$2:$B$341,$M41,Votaciones!$D$2:$D$341,"Disenso restrictivo")&gt;0,"▲",IF(COUNTIFS(Votaciones!$A$2:$A$341,B$31,Votaciones!$B$2:$B$341,$M41,Votaciones!$D$2:$D$341,"Disenso acomodaticio")&gt;0,"▼","?"))),IF(COUNTIFS(Participacion_Junta!$A$2:$A$341,B$31,Participacion_Junta!$B$2:$B$341,$M41)&gt;0,"○","?"))))</x:f>
      </x:c>
      <x:c r="C41" s="43" t="str">
        <x:f>IF($A41="","",IF(C$31="","",IF(COUNTIFS(Votaciones!$A$2:$A$341,C$31,Votaciones!$B$2:$B$341,$M41)&gt;0,IF(COUNTIFS(Votaciones!$A$2:$A$341,C$31,Votaciones!$B$2:$B$341,$M41,Votaciones!$D$2:$D$341,"Consenso")&gt;0,"●",IF(COUNTIFS(Votaciones!$A$2:$A$341,C$31,Votaciones!$B$2:$B$341,$M41,Votaciones!$D$2:$D$341,"Disenso restrictivo")&gt;0,"▲",IF(COUNTIFS(Votaciones!$A$2:$A$341,C$31,Votaciones!$B$2:$B$341,$M41,Votaciones!$D$2:$D$341,"Disenso acomodaticio")&gt;0,"▼","?"))),IF(COUNTIFS(Participacion_Junta!$A$2:$A$341,C$31,Participacion_Junta!$B$2:$B$341,$M41)&gt;0,"○","?"))))</x:f>
      </x:c>
      <x:c r="D41" s="43" t="str">
        <x:f>IF($A41="","",IF(D$31="","",IF(COUNTIFS(Votaciones!$A$2:$A$341,D$31,Votaciones!$B$2:$B$341,$M41)&gt;0,IF(COUNTIFS(Votaciones!$A$2:$A$341,D$31,Votaciones!$B$2:$B$341,$M41,Votaciones!$D$2:$D$341,"Consenso")&gt;0,"●",IF(COUNTIFS(Votaciones!$A$2:$A$341,D$31,Votaciones!$B$2:$B$341,$M41,Votaciones!$D$2:$D$341,"Disenso restrictivo")&gt;0,"▲",IF(COUNTIFS(Votaciones!$A$2:$A$341,D$31,Votaciones!$B$2:$B$341,$M41,Votaciones!$D$2:$D$341,"Disenso acomodaticio")&gt;0,"▼","?"))),IF(COUNTIFS(Participacion_Junta!$A$2:$A$341,D$31,Participacion_Junta!$B$2:$B$341,$M41)&gt;0,"○","?"))))</x:f>
      </x:c>
      <x:c r="E41" s="43" t="str">
        <x:f>IF($A41="","",IF(E$31="","",IF(COUNTIFS(Votaciones!$A$2:$A$341,E$31,Votaciones!$B$2:$B$341,$M41)&gt;0,IF(COUNTIFS(Votaciones!$A$2:$A$341,E$31,Votaciones!$B$2:$B$341,$M41,Votaciones!$D$2:$D$341,"Consenso")&gt;0,"●",IF(COUNTIFS(Votaciones!$A$2:$A$341,E$31,Votaciones!$B$2:$B$341,$M41,Votaciones!$D$2:$D$341,"Disenso restrictivo")&gt;0,"▲",IF(COUNTIFS(Votaciones!$A$2:$A$341,E$31,Votaciones!$B$2:$B$341,$M41,Votaciones!$D$2:$D$341,"Disenso acomodaticio")&gt;0,"▼","?"))),IF(COUNTIFS(Participacion_Junta!$A$2:$A$341,E$31,Participacion_Junta!$B$2:$B$341,$M41)&gt;0,"○","?"))))</x:f>
      </x:c>
      <x:c r="F41" s="43" t="str">
        <x:f>IF($A41="","",IF(F$31="","",IF(COUNTIFS(Votaciones!$A$2:$A$341,F$31,Votaciones!$B$2:$B$341,$M41)&gt;0,IF(COUNTIFS(Votaciones!$A$2:$A$341,F$31,Votaciones!$B$2:$B$341,$M41,Votaciones!$D$2:$D$341,"Consenso")&gt;0,"●",IF(COUNTIFS(Votaciones!$A$2:$A$341,F$31,Votaciones!$B$2:$B$341,$M41,Votaciones!$D$2:$D$341,"Disenso restrictivo")&gt;0,"▲",IF(COUNTIFS(Votaciones!$A$2:$A$341,F$31,Votaciones!$B$2:$B$341,$M41,Votaciones!$D$2:$D$341,"Disenso acomodaticio")&gt;0,"▼","?"))),IF(COUNTIFS(Participacion_Junta!$A$2:$A$341,F$31,Participacion_Junta!$B$2:$B$341,$M41)&gt;0,"○","?"))))</x:f>
      </x:c>
      <x:c r="G41" s="44" t="str">
        <x:f>IF($A41="","",IF(G$31="","",IF(COUNTIFS(Votaciones!$A$2:$A$341,G$31,Votaciones!$B$2:$B$341,$M41)&gt;0,IF(COUNTIFS(Votaciones!$A$2:$A$341,G$31,Votaciones!$B$2:$B$341,$M41,Votaciones!$D$2:$D$341,"Consenso")&gt;0,"●",IF(COUNTIFS(Votaciones!$A$2:$A$341,G$31,Votaciones!$B$2:$B$341,$M41,Votaciones!$D$2:$D$341,"Disenso restrictivo")&gt;0,"▲",IF(COUNTIFS(Votaciones!$A$2:$A$341,G$31,Votaciones!$B$2:$B$341,$M41,Votaciones!$D$2:$D$341,"Disenso acomodaticio")&gt;0,"▼","?"))),IF(COUNTIFS(Participacion_Junta!$A$2:$A$341,G$31,Participacion_Junta!$B$2:$B$341,$M41)&gt;0,"○","?"))))</x:f>
      </x:c>
      <x:c r="H41" s="43" t="str">
        <x:f>IF($A41="","",IF(H$31="","",IF(COUNTIFS(Votaciones!$A$2:$A$341,H$31,Votaciones!$B$2:$B$341,$M41)&gt;0,IF(COUNTIFS(Votaciones!$A$2:$A$341,H$31,Votaciones!$B$2:$B$341,$M41,Votaciones!$D$2:$D$341,"Consenso")&gt;0,"●",IF(COUNTIFS(Votaciones!$A$2:$A$341,H$31,Votaciones!$B$2:$B$341,$M41,Votaciones!$D$2:$D$341,"Disenso restrictivo")&gt;0,"▲",IF(COUNTIFS(Votaciones!$A$2:$A$341,H$31,Votaciones!$B$2:$B$341,$M41,Votaciones!$D$2:$D$341,"Disenso acomodaticio")&gt;0,"▼","?"))),IF(COUNTIFS(Participacion_Junta!$A$2:$A$341,H$31,Participacion_Junta!$B$2:$B$341,$M41)&gt;0,"○","?"))))</x:f>
      </x:c>
      <x:c r="I41" s="43" t="str">
        <x:f>IF($A41="","",IF(I$31="","",IF(COUNTIFS(Votaciones!$A$2:$A$341,I$31,Votaciones!$B$2:$B$341,$M41)&gt;0,IF(COUNTIFS(Votaciones!$A$2:$A$341,I$31,Votaciones!$B$2:$B$341,$M41,Votaciones!$D$2:$D$341,"Consenso")&gt;0,"●",IF(COUNTIFS(Votaciones!$A$2:$A$341,I$31,Votaciones!$B$2:$B$341,$M41,Votaciones!$D$2:$D$341,"Disenso restrictivo")&gt;0,"▲",IF(COUNTIFS(Votaciones!$A$2:$A$341,I$31,Votaciones!$B$2:$B$341,$M41,Votaciones!$D$2:$D$341,"Disenso acomodaticio")&gt;0,"▼","?"))),IF(COUNTIFS(Participacion_Junta!$A$2:$A$341,I$31,Participacion_Junta!$B$2:$B$341,$M41)&gt;0,"○","?"))))</x:f>
      </x:c>
      <x:c r="J41" s="43" t="str">
        <x:f>IF($A41="","",IF(J$31="","",IF(COUNTIFS(Votaciones!$A$2:$A$341,J$31,Votaciones!$B$2:$B$341,$M41)&gt;0,IF(COUNTIFS(Votaciones!$A$2:$A$341,J$31,Votaciones!$B$2:$B$341,$M41,Votaciones!$D$2:$D$341,"Consenso")&gt;0,"●",IF(COUNTIFS(Votaciones!$A$2:$A$341,J$31,Votaciones!$B$2:$B$341,$M41,Votaciones!$D$2:$D$341,"Disenso restrictivo")&gt;0,"▲",IF(COUNTIFS(Votaciones!$A$2:$A$341,J$31,Votaciones!$B$2:$B$341,$M41,Votaciones!$D$2:$D$341,"Disenso acomodaticio")&gt;0,"▼","?"))),IF(COUNTIFS(Participacion_Junta!$A$2:$A$341,J$31,Participacion_Junta!$B$2:$B$341,$M41)&gt;0,"○","?"))))</x:f>
      </x:c>
      <x:c r="K41" s="43" t="str">
        <x:f>IF($A41="","",IF(K$31="","",IF(COUNTIFS(Votaciones!$A$2:$A$341,K$31,Votaciones!$B$2:$B$341,$M41)&gt;0,IF(COUNTIFS(Votaciones!$A$2:$A$341,K$31,Votaciones!$B$2:$B$341,$M41,Votaciones!$D$2:$D$341,"Consenso")&gt;0,"●",IF(COUNTIFS(Votaciones!$A$2:$A$341,K$31,Votaciones!$B$2:$B$341,$M41,Votaciones!$D$2:$D$341,"Disenso restrictivo")&gt;0,"▲",IF(COUNTIFS(Votaciones!$A$2:$A$341,K$31,Votaciones!$B$2:$B$341,$M41,Votaciones!$D$2:$D$341,"Disenso acomodaticio")&gt;0,"▼","?"))),IF(COUNTIFS(Participacion_Junta!$A$2:$A$341,K$31,Participacion_Junta!$B$2:$B$341,$M41)&gt;0,"○","?"))))</x:f>
      </x:c>
      <x:c r="L41" s="45" t="str">
        <x:f>IF($A41="","",IF(L$31="","",IF(COUNTIFS(Votaciones!$A$2:$A$341,L$31,Votaciones!$B$2:$B$341,$M41)&gt;0,IF(COUNTIFS(Votaciones!$A$2:$A$341,L$31,Votaciones!$B$2:$B$341,$M41,Votaciones!$D$2:$D$341,"Consenso")&gt;0,"●",IF(COUNTIFS(Votaciones!$A$2:$A$341,L$31,Votaciones!$B$2:$B$341,$M41,Votaciones!$D$2:$D$341,"Disenso restrictivo")&gt;0,"▲",IF(COUNTIFS(Votaciones!$A$2:$A$341,L$31,Votaciones!$B$2:$B$341,$M41,Votaciones!$D$2:$D$341,"Disenso acomodaticio")&gt;0,"▼","?"))),IF(COUNTIFS(Participacion_Junta!$A$2:$A$341,L$31,Participacion_Junta!$B$2:$B$341,$M41)&gt;0,"○","?"))))</x:f>
      </x:c>
      <x:c r="M41" t="str">
        <x:f>IFERROR(INDEX($H$351:$H$586,MATCH($X$2,$A$351:$A$586,0)),"")</x:f>
      </x:c>
      <x:c r="Z41" t="str">
        <x:v>D20041126</x:v>
      </x:c>
      <x:c r="AA41" t="n">
        <x:v>38317</x:v>
      </x:c>
    </x:row>
    <x:row r="42" ht="22.950000762939453" customHeight="1">
      <x:c r="A42" s="24" t="str">
        <x:f>IF($M42="","",IFERROR(INDEX(Personas!$B$2:$B$30,MATCH($M42,Personas!$A$2:$A$30,0)),"?"))</x:f>
      </x:c>
      <x:c r="B42" s="42" t="str">
        <x:f>IF($A42="","",IF(B$31="","",IF(COUNTIFS(Votaciones!$A$2:$A$341,B$31,Votaciones!$B$2:$B$341,$M42)&gt;0,IF(COUNTIFS(Votaciones!$A$2:$A$341,B$31,Votaciones!$B$2:$B$341,$M42,Votaciones!$D$2:$D$341,"Consenso")&gt;0,"●",IF(COUNTIFS(Votaciones!$A$2:$A$341,B$31,Votaciones!$B$2:$B$341,$M42,Votaciones!$D$2:$D$341,"Disenso restrictivo")&gt;0,"▲",IF(COUNTIFS(Votaciones!$A$2:$A$341,B$31,Votaciones!$B$2:$B$341,$M42,Votaciones!$D$2:$D$341,"Disenso acomodaticio")&gt;0,"▼","?"))),IF(COUNTIFS(Participacion_Junta!$A$2:$A$341,B$31,Participacion_Junta!$B$2:$B$341,$M42)&gt;0,"○","?"))))</x:f>
      </x:c>
      <x:c r="C42" s="43" t="str">
        <x:f>IF($A42="","",IF(C$31="","",IF(COUNTIFS(Votaciones!$A$2:$A$341,C$31,Votaciones!$B$2:$B$341,$M42)&gt;0,IF(COUNTIFS(Votaciones!$A$2:$A$341,C$31,Votaciones!$B$2:$B$341,$M42,Votaciones!$D$2:$D$341,"Consenso")&gt;0,"●",IF(COUNTIFS(Votaciones!$A$2:$A$341,C$31,Votaciones!$B$2:$B$341,$M42,Votaciones!$D$2:$D$341,"Disenso restrictivo")&gt;0,"▲",IF(COUNTIFS(Votaciones!$A$2:$A$341,C$31,Votaciones!$B$2:$B$341,$M42,Votaciones!$D$2:$D$341,"Disenso acomodaticio")&gt;0,"▼","?"))),IF(COUNTIFS(Participacion_Junta!$A$2:$A$341,C$31,Participacion_Junta!$B$2:$B$341,$M42)&gt;0,"○","?"))))</x:f>
      </x:c>
      <x:c r="D42" s="43" t="str">
        <x:f>IF($A42="","",IF(D$31="","",IF(COUNTIFS(Votaciones!$A$2:$A$341,D$31,Votaciones!$B$2:$B$341,$M42)&gt;0,IF(COUNTIFS(Votaciones!$A$2:$A$341,D$31,Votaciones!$B$2:$B$341,$M42,Votaciones!$D$2:$D$341,"Consenso")&gt;0,"●",IF(COUNTIFS(Votaciones!$A$2:$A$341,D$31,Votaciones!$B$2:$B$341,$M42,Votaciones!$D$2:$D$341,"Disenso restrictivo")&gt;0,"▲",IF(COUNTIFS(Votaciones!$A$2:$A$341,D$31,Votaciones!$B$2:$B$341,$M42,Votaciones!$D$2:$D$341,"Disenso acomodaticio")&gt;0,"▼","?"))),IF(COUNTIFS(Participacion_Junta!$A$2:$A$341,D$31,Participacion_Junta!$B$2:$B$341,$M42)&gt;0,"○","?"))))</x:f>
      </x:c>
      <x:c r="E42" s="43" t="str">
        <x:f>IF($A42="","",IF(E$31="","",IF(COUNTIFS(Votaciones!$A$2:$A$341,E$31,Votaciones!$B$2:$B$341,$M42)&gt;0,IF(COUNTIFS(Votaciones!$A$2:$A$341,E$31,Votaciones!$B$2:$B$341,$M42,Votaciones!$D$2:$D$341,"Consenso")&gt;0,"●",IF(COUNTIFS(Votaciones!$A$2:$A$341,E$31,Votaciones!$B$2:$B$341,$M42,Votaciones!$D$2:$D$341,"Disenso restrictivo")&gt;0,"▲",IF(COUNTIFS(Votaciones!$A$2:$A$341,E$31,Votaciones!$B$2:$B$341,$M42,Votaciones!$D$2:$D$341,"Disenso acomodaticio")&gt;0,"▼","?"))),IF(COUNTIFS(Participacion_Junta!$A$2:$A$341,E$31,Participacion_Junta!$B$2:$B$341,$M42)&gt;0,"○","?"))))</x:f>
      </x:c>
      <x:c r="F42" s="43" t="str">
        <x:f>IF($A42="","",IF(F$31="","",IF(COUNTIFS(Votaciones!$A$2:$A$341,F$31,Votaciones!$B$2:$B$341,$M42)&gt;0,IF(COUNTIFS(Votaciones!$A$2:$A$341,F$31,Votaciones!$B$2:$B$341,$M42,Votaciones!$D$2:$D$341,"Consenso")&gt;0,"●",IF(COUNTIFS(Votaciones!$A$2:$A$341,F$31,Votaciones!$B$2:$B$341,$M42,Votaciones!$D$2:$D$341,"Disenso restrictivo")&gt;0,"▲",IF(COUNTIFS(Votaciones!$A$2:$A$341,F$31,Votaciones!$B$2:$B$341,$M42,Votaciones!$D$2:$D$341,"Disenso acomodaticio")&gt;0,"▼","?"))),IF(COUNTIFS(Participacion_Junta!$A$2:$A$341,F$31,Participacion_Junta!$B$2:$B$341,$M42)&gt;0,"○","?"))))</x:f>
      </x:c>
      <x:c r="G42" s="44" t="str">
        <x:f>IF($A42="","",IF(G$31="","",IF(COUNTIFS(Votaciones!$A$2:$A$341,G$31,Votaciones!$B$2:$B$341,$M42)&gt;0,IF(COUNTIFS(Votaciones!$A$2:$A$341,G$31,Votaciones!$B$2:$B$341,$M42,Votaciones!$D$2:$D$341,"Consenso")&gt;0,"●",IF(COUNTIFS(Votaciones!$A$2:$A$341,G$31,Votaciones!$B$2:$B$341,$M42,Votaciones!$D$2:$D$341,"Disenso restrictivo")&gt;0,"▲",IF(COUNTIFS(Votaciones!$A$2:$A$341,G$31,Votaciones!$B$2:$B$341,$M42,Votaciones!$D$2:$D$341,"Disenso acomodaticio")&gt;0,"▼","?"))),IF(COUNTIFS(Participacion_Junta!$A$2:$A$341,G$31,Participacion_Junta!$B$2:$B$341,$M42)&gt;0,"○","?"))))</x:f>
      </x:c>
      <x:c r="H42" s="43" t="str">
        <x:f>IF($A42="","",IF(H$31="","",IF(COUNTIFS(Votaciones!$A$2:$A$341,H$31,Votaciones!$B$2:$B$341,$M42)&gt;0,IF(COUNTIFS(Votaciones!$A$2:$A$341,H$31,Votaciones!$B$2:$B$341,$M42,Votaciones!$D$2:$D$341,"Consenso")&gt;0,"●",IF(COUNTIFS(Votaciones!$A$2:$A$341,H$31,Votaciones!$B$2:$B$341,$M42,Votaciones!$D$2:$D$341,"Disenso restrictivo")&gt;0,"▲",IF(COUNTIFS(Votaciones!$A$2:$A$341,H$31,Votaciones!$B$2:$B$341,$M42,Votaciones!$D$2:$D$341,"Disenso acomodaticio")&gt;0,"▼","?"))),IF(COUNTIFS(Participacion_Junta!$A$2:$A$341,H$31,Participacion_Junta!$B$2:$B$341,$M42)&gt;0,"○","?"))))</x:f>
      </x:c>
      <x:c r="I42" s="43" t="str">
        <x:f>IF($A42="","",IF(I$31="","",IF(COUNTIFS(Votaciones!$A$2:$A$341,I$31,Votaciones!$B$2:$B$341,$M42)&gt;0,IF(COUNTIFS(Votaciones!$A$2:$A$341,I$31,Votaciones!$B$2:$B$341,$M42,Votaciones!$D$2:$D$341,"Consenso")&gt;0,"●",IF(COUNTIFS(Votaciones!$A$2:$A$341,I$31,Votaciones!$B$2:$B$341,$M42,Votaciones!$D$2:$D$341,"Disenso restrictivo")&gt;0,"▲",IF(COUNTIFS(Votaciones!$A$2:$A$341,I$31,Votaciones!$B$2:$B$341,$M42,Votaciones!$D$2:$D$341,"Disenso acomodaticio")&gt;0,"▼","?"))),IF(COUNTIFS(Participacion_Junta!$A$2:$A$341,I$31,Participacion_Junta!$B$2:$B$341,$M42)&gt;0,"○","?"))))</x:f>
      </x:c>
      <x:c r="J42" s="43" t="str">
        <x:f>IF($A42="","",IF(J$31="","",IF(COUNTIFS(Votaciones!$A$2:$A$341,J$31,Votaciones!$B$2:$B$341,$M42)&gt;0,IF(COUNTIFS(Votaciones!$A$2:$A$341,J$31,Votaciones!$B$2:$B$341,$M42,Votaciones!$D$2:$D$341,"Consenso")&gt;0,"●",IF(COUNTIFS(Votaciones!$A$2:$A$341,J$31,Votaciones!$B$2:$B$341,$M42,Votaciones!$D$2:$D$341,"Disenso restrictivo")&gt;0,"▲",IF(COUNTIFS(Votaciones!$A$2:$A$341,J$31,Votaciones!$B$2:$B$341,$M42,Votaciones!$D$2:$D$341,"Disenso acomodaticio")&gt;0,"▼","?"))),IF(COUNTIFS(Participacion_Junta!$A$2:$A$341,J$31,Participacion_Junta!$B$2:$B$341,$M42)&gt;0,"○","?"))))</x:f>
      </x:c>
      <x:c r="K42" s="43" t="str">
        <x:f>IF($A42="","",IF(K$31="","",IF(COUNTIFS(Votaciones!$A$2:$A$341,K$31,Votaciones!$B$2:$B$341,$M42)&gt;0,IF(COUNTIFS(Votaciones!$A$2:$A$341,K$31,Votaciones!$B$2:$B$341,$M42,Votaciones!$D$2:$D$341,"Consenso")&gt;0,"●",IF(COUNTIFS(Votaciones!$A$2:$A$341,K$31,Votaciones!$B$2:$B$341,$M42,Votaciones!$D$2:$D$341,"Disenso restrictivo")&gt;0,"▲",IF(COUNTIFS(Votaciones!$A$2:$A$341,K$31,Votaciones!$B$2:$B$341,$M42,Votaciones!$D$2:$D$341,"Disenso acomodaticio")&gt;0,"▼","?"))),IF(COUNTIFS(Participacion_Junta!$A$2:$A$341,K$31,Participacion_Junta!$B$2:$B$341,$M42)&gt;0,"○","?"))))</x:f>
      </x:c>
      <x:c r="L42" s="45" t="str">
        <x:f>IF($A42="","",IF(L$31="","",IF(COUNTIFS(Votaciones!$A$2:$A$341,L$31,Votaciones!$B$2:$B$341,$M42)&gt;0,IF(COUNTIFS(Votaciones!$A$2:$A$341,L$31,Votaciones!$B$2:$B$341,$M42,Votaciones!$D$2:$D$341,"Consenso")&gt;0,"●",IF(COUNTIFS(Votaciones!$A$2:$A$341,L$31,Votaciones!$B$2:$B$341,$M42,Votaciones!$D$2:$D$341,"Disenso restrictivo")&gt;0,"▲",IF(COUNTIFS(Votaciones!$A$2:$A$341,L$31,Votaciones!$B$2:$B$341,$M42,Votaciones!$D$2:$D$341,"Disenso acomodaticio")&gt;0,"▼","?"))),IF(COUNTIFS(Participacion_Junta!$A$2:$A$341,L$31,Participacion_Junta!$B$2:$B$341,$M42)&gt;0,"○","?"))))</x:f>
      </x:c>
      <x:c r="M42" t="str">
        <x:f>IFERROR(INDEX($I$351:$I$586,MATCH($X$2,$A$351:$A$586,0)),"")</x:f>
      </x:c>
      <x:c r="Z42" t="str">
        <x:v>D20041210</x:v>
      </x:c>
      <x:c r="AA42" t="n">
        <x:v>38331</x:v>
      </x:c>
    </x:row>
    <x:row r="43" ht="22.950000762939453" customHeight="1">
      <x:c r="A43" s="24" t="str">
        <x:f>IF($M43="","",IFERROR(INDEX(Personas!$B$2:$B$30,MATCH($M43,Personas!$A$2:$A$30,0)),"?"))</x:f>
      </x:c>
      <x:c r="B43" s="42" t="str">
        <x:f>IF($A43="","",IF(B$31="","",IF(COUNTIFS(Votaciones!$A$2:$A$341,B$31,Votaciones!$B$2:$B$341,$M43)&gt;0,IF(COUNTIFS(Votaciones!$A$2:$A$341,B$31,Votaciones!$B$2:$B$341,$M43,Votaciones!$D$2:$D$341,"Consenso")&gt;0,"●",IF(COUNTIFS(Votaciones!$A$2:$A$341,B$31,Votaciones!$B$2:$B$341,$M43,Votaciones!$D$2:$D$341,"Disenso restrictivo")&gt;0,"▲",IF(COUNTIFS(Votaciones!$A$2:$A$341,B$31,Votaciones!$B$2:$B$341,$M43,Votaciones!$D$2:$D$341,"Disenso acomodaticio")&gt;0,"▼","?"))),IF(COUNTIFS(Participacion_Junta!$A$2:$A$341,B$31,Participacion_Junta!$B$2:$B$341,$M43)&gt;0,"○","?"))))</x:f>
      </x:c>
      <x:c r="C43" s="43" t="str">
        <x:f>IF($A43="","",IF(C$31="","",IF(COUNTIFS(Votaciones!$A$2:$A$341,C$31,Votaciones!$B$2:$B$341,$M43)&gt;0,IF(COUNTIFS(Votaciones!$A$2:$A$341,C$31,Votaciones!$B$2:$B$341,$M43,Votaciones!$D$2:$D$341,"Consenso")&gt;0,"●",IF(COUNTIFS(Votaciones!$A$2:$A$341,C$31,Votaciones!$B$2:$B$341,$M43,Votaciones!$D$2:$D$341,"Disenso restrictivo")&gt;0,"▲",IF(COUNTIFS(Votaciones!$A$2:$A$341,C$31,Votaciones!$B$2:$B$341,$M43,Votaciones!$D$2:$D$341,"Disenso acomodaticio")&gt;0,"▼","?"))),IF(COUNTIFS(Participacion_Junta!$A$2:$A$341,C$31,Participacion_Junta!$B$2:$B$341,$M43)&gt;0,"○","?"))))</x:f>
      </x:c>
      <x:c r="D43" s="43" t="str">
        <x:f>IF($A43="","",IF(D$31="","",IF(COUNTIFS(Votaciones!$A$2:$A$341,D$31,Votaciones!$B$2:$B$341,$M43)&gt;0,IF(COUNTIFS(Votaciones!$A$2:$A$341,D$31,Votaciones!$B$2:$B$341,$M43,Votaciones!$D$2:$D$341,"Consenso")&gt;0,"●",IF(COUNTIFS(Votaciones!$A$2:$A$341,D$31,Votaciones!$B$2:$B$341,$M43,Votaciones!$D$2:$D$341,"Disenso restrictivo")&gt;0,"▲",IF(COUNTIFS(Votaciones!$A$2:$A$341,D$31,Votaciones!$B$2:$B$341,$M43,Votaciones!$D$2:$D$341,"Disenso acomodaticio")&gt;0,"▼","?"))),IF(COUNTIFS(Participacion_Junta!$A$2:$A$341,D$31,Participacion_Junta!$B$2:$B$341,$M43)&gt;0,"○","?"))))</x:f>
      </x:c>
      <x:c r="E43" s="43" t="str">
        <x:f>IF($A43="","",IF(E$31="","",IF(COUNTIFS(Votaciones!$A$2:$A$341,E$31,Votaciones!$B$2:$B$341,$M43)&gt;0,IF(COUNTIFS(Votaciones!$A$2:$A$341,E$31,Votaciones!$B$2:$B$341,$M43,Votaciones!$D$2:$D$341,"Consenso")&gt;0,"●",IF(COUNTIFS(Votaciones!$A$2:$A$341,E$31,Votaciones!$B$2:$B$341,$M43,Votaciones!$D$2:$D$341,"Disenso restrictivo")&gt;0,"▲",IF(COUNTIFS(Votaciones!$A$2:$A$341,E$31,Votaciones!$B$2:$B$341,$M43,Votaciones!$D$2:$D$341,"Disenso acomodaticio")&gt;0,"▼","?"))),IF(COUNTIFS(Participacion_Junta!$A$2:$A$341,E$31,Participacion_Junta!$B$2:$B$341,$M43)&gt;0,"○","?"))))</x:f>
      </x:c>
      <x:c r="F43" s="43" t="str">
        <x:f>IF($A43="","",IF(F$31="","",IF(COUNTIFS(Votaciones!$A$2:$A$341,F$31,Votaciones!$B$2:$B$341,$M43)&gt;0,IF(COUNTIFS(Votaciones!$A$2:$A$341,F$31,Votaciones!$B$2:$B$341,$M43,Votaciones!$D$2:$D$341,"Consenso")&gt;0,"●",IF(COUNTIFS(Votaciones!$A$2:$A$341,F$31,Votaciones!$B$2:$B$341,$M43,Votaciones!$D$2:$D$341,"Disenso restrictivo")&gt;0,"▲",IF(COUNTIFS(Votaciones!$A$2:$A$341,F$31,Votaciones!$B$2:$B$341,$M43,Votaciones!$D$2:$D$341,"Disenso acomodaticio")&gt;0,"▼","?"))),IF(COUNTIFS(Participacion_Junta!$A$2:$A$341,F$31,Participacion_Junta!$B$2:$B$341,$M43)&gt;0,"○","?"))))</x:f>
      </x:c>
      <x:c r="G43" s="44" t="str">
        <x:f>IF($A43="","",IF(G$31="","",IF(COUNTIFS(Votaciones!$A$2:$A$341,G$31,Votaciones!$B$2:$B$341,$M43)&gt;0,IF(COUNTIFS(Votaciones!$A$2:$A$341,G$31,Votaciones!$B$2:$B$341,$M43,Votaciones!$D$2:$D$341,"Consenso")&gt;0,"●",IF(COUNTIFS(Votaciones!$A$2:$A$341,G$31,Votaciones!$B$2:$B$341,$M43,Votaciones!$D$2:$D$341,"Disenso restrictivo")&gt;0,"▲",IF(COUNTIFS(Votaciones!$A$2:$A$341,G$31,Votaciones!$B$2:$B$341,$M43,Votaciones!$D$2:$D$341,"Disenso acomodaticio")&gt;0,"▼","?"))),IF(COUNTIFS(Participacion_Junta!$A$2:$A$341,G$31,Participacion_Junta!$B$2:$B$341,$M43)&gt;0,"○","?"))))</x:f>
      </x:c>
      <x:c r="H43" s="43" t="str">
        <x:f>IF($A43="","",IF(H$31="","",IF(COUNTIFS(Votaciones!$A$2:$A$341,H$31,Votaciones!$B$2:$B$341,$M43)&gt;0,IF(COUNTIFS(Votaciones!$A$2:$A$341,H$31,Votaciones!$B$2:$B$341,$M43,Votaciones!$D$2:$D$341,"Consenso")&gt;0,"●",IF(COUNTIFS(Votaciones!$A$2:$A$341,H$31,Votaciones!$B$2:$B$341,$M43,Votaciones!$D$2:$D$341,"Disenso restrictivo")&gt;0,"▲",IF(COUNTIFS(Votaciones!$A$2:$A$341,H$31,Votaciones!$B$2:$B$341,$M43,Votaciones!$D$2:$D$341,"Disenso acomodaticio")&gt;0,"▼","?"))),IF(COUNTIFS(Participacion_Junta!$A$2:$A$341,H$31,Participacion_Junta!$B$2:$B$341,$M43)&gt;0,"○","?"))))</x:f>
      </x:c>
      <x:c r="I43" s="43" t="str">
        <x:f>IF($A43="","",IF(I$31="","",IF(COUNTIFS(Votaciones!$A$2:$A$341,I$31,Votaciones!$B$2:$B$341,$M43)&gt;0,IF(COUNTIFS(Votaciones!$A$2:$A$341,I$31,Votaciones!$B$2:$B$341,$M43,Votaciones!$D$2:$D$341,"Consenso")&gt;0,"●",IF(COUNTIFS(Votaciones!$A$2:$A$341,I$31,Votaciones!$B$2:$B$341,$M43,Votaciones!$D$2:$D$341,"Disenso restrictivo")&gt;0,"▲",IF(COUNTIFS(Votaciones!$A$2:$A$341,I$31,Votaciones!$B$2:$B$341,$M43,Votaciones!$D$2:$D$341,"Disenso acomodaticio")&gt;0,"▼","?"))),IF(COUNTIFS(Participacion_Junta!$A$2:$A$341,I$31,Participacion_Junta!$B$2:$B$341,$M43)&gt;0,"○","?"))))</x:f>
      </x:c>
      <x:c r="J43" s="43" t="str">
        <x:f>IF($A43="","",IF(J$31="","",IF(COUNTIFS(Votaciones!$A$2:$A$341,J$31,Votaciones!$B$2:$B$341,$M43)&gt;0,IF(COUNTIFS(Votaciones!$A$2:$A$341,J$31,Votaciones!$B$2:$B$341,$M43,Votaciones!$D$2:$D$341,"Consenso")&gt;0,"●",IF(COUNTIFS(Votaciones!$A$2:$A$341,J$31,Votaciones!$B$2:$B$341,$M43,Votaciones!$D$2:$D$341,"Disenso restrictivo")&gt;0,"▲",IF(COUNTIFS(Votaciones!$A$2:$A$341,J$31,Votaciones!$B$2:$B$341,$M43,Votaciones!$D$2:$D$341,"Disenso acomodaticio")&gt;0,"▼","?"))),IF(COUNTIFS(Participacion_Junta!$A$2:$A$341,J$31,Participacion_Junta!$B$2:$B$341,$M43)&gt;0,"○","?"))))</x:f>
      </x:c>
      <x:c r="K43" s="43" t="str">
        <x:f>IF($A43="","",IF(K$31="","",IF(COUNTIFS(Votaciones!$A$2:$A$341,K$31,Votaciones!$B$2:$B$341,$M43)&gt;0,IF(COUNTIFS(Votaciones!$A$2:$A$341,K$31,Votaciones!$B$2:$B$341,$M43,Votaciones!$D$2:$D$341,"Consenso")&gt;0,"●",IF(COUNTIFS(Votaciones!$A$2:$A$341,K$31,Votaciones!$B$2:$B$341,$M43,Votaciones!$D$2:$D$341,"Disenso restrictivo")&gt;0,"▲",IF(COUNTIFS(Votaciones!$A$2:$A$341,K$31,Votaciones!$B$2:$B$341,$M43,Votaciones!$D$2:$D$341,"Disenso acomodaticio")&gt;0,"▼","?"))),IF(COUNTIFS(Participacion_Junta!$A$2:$A$341,K$31,Participacion_Junta!$B$2:$B$341,$M43)&gt;0,"○","?"))))</x:f>
      </x:c>
      <x:c r="L43" s="45" t="str">
        <x:f>IF($A43="","",IF(L$31="","",IF(COUNTIFS(Votaciones!$A$2:$A$341,L$31,Votaciones!$B$2:$B$341,$M43)&gt;0,IF(COUNTIFS(Votaciones!$A$2:$A$341,L$31,Votaciones!$B$2:$B$341,$M43,Votaciones!$D$2:$D$341,"Consenso")&gt;0,"●",IF(COUNTIFS(Votaciones!$A$2:$A$341,L$31,Votaciones!$B$2:$B$341,$M43,Votaciones!$D$2:$D$341,"Disenso restrictivo")&gt;0,"▲",IF(COUNTIFS(Votaciones!$A$2:$A$341,L$31,Votaciones!$B$2:$B$341,$M43,Votaciones!$D$2:$D$341,"Disenso acomodaticio")&gt;0,"▼","?"))),IF(COUNTIFS(Participacion_Junta!$A$2:$A$341,L$31,Participacion_Junta!$B$2:$B$341,$M43)&gt;0,"○","?"))))</x:f>
      </x:c>
      <x:c r="M43" t="str">
        <x:f>IFERROR(INDEX($J$351:$J$586,MATCH($X$2,$A$351:$A$586,0)),"")</x:f>
      </x:c>
      <x:c r="Z43" t="str">
        <x:v>D20050128</x:v>
      </x:c>
      <x:c r="AA43" t="n">
        <x:v>38380</x:v>
      </x:c>
    </x:row>
    <x:row r="44" ht="22.950000762939453" customHeight="1">
      <x:c r="A44" s="24" t="str">
        <x:f>IF($M44="","",IFERROR(INDEX(Personas!$B$2:$B$30,MATCH($M44,Personas!$A$2:$A$30,0)),"?"))</x:f>
      </x:c>
      <x:c r="B44" s="46" t="str">
        <x:f>IF($A44="","",IF(B$31="","",IF(COUNTIFS(Votaciones!$A$2:$A$341,B$31,Votaciones!$B$2:$B$341,$M44)&gt;0,IF(COUNTIFS(Votaciones!$A$2:$A$341,B$31,Votaciones!$B$2:$B$341,$M44,Votaciones!$D$2:$D$341,"Consenso")&gt;0,"●",IF(COUNTIFS(Votaciones!$A$2:$A$341,B$31,Votaciones!$B$2:$B$341,$M44,Votaciones!$D$2:$D$341,"Disenso restrictivo")&gt;0,"▲",IF(COUNTIFS(Votaciones!$A$2:$A$341,B$31,Votaciones!$B$2:$B$341,$M44,Votaciones!$D$2:$D$341,"Disenso acomodaticio")&gt;0,"▼","?"))),IF(COUNTIFS(Participacion_Junta!$A$2:$A$341,B$31,Participacion_Junta!$B$2:$B$341,$M44)&gt;0,"○","?"))))</x:f>
      </x:c>
      <x:c r="C44" s="47" t="str">
        <x:f>IF($A44="","",IF(C$31="","",IF(COUNTIFS(Votaciones!$A$2:$A$341,C$31,Votaciones!$B$2:$B$341,$M44)&gt;0,IF(COUNTIFS(Votaciones!$A$2:$A$341,C$31,Votaciones!$B$2:$B$341,$M44,Votaciones!$D$2:$D$341,"Consenso")&gt;0,"●",IF(COUNTIFS(Votaciones!$A$2:$A$341,C$31,Votaciones!$B$2:$B$341,$M44,Votaciones!$D$2:$D$341,"Disenso restrictivo")&gt;0,"▲",IF(COUNTIFS(Votaciones!$A$2:$A$341,C$31,Votaciones!$B$2:$B$341,$M44,Votaciones!$D$2:$D$341,"Disenso acomodaticio")&gt;0,"▼","?"))),IF(COUNTIFS(Participacion_Junta!$A$2:$A$341,C$31,Participacion_Junta!$B$2:$B$341,$M44)&gt;0,"○","?"))))</x:f>
      </x:c>
      <x:c r="D44" s="47" t="str">
        <x:f>IF($A44="","",IF(D$31="","",IF(COUNTIFS(Votaciones!$A$2:$A$341,D$31,Votaciones!$B$2:$B$341,$M44)&gt;0,IF(COUNTIFS(Votaciones!$A$2:$A$341,D$31,Votaciones!$B$2:$B$341,$M44,Votaciones!$D$2:$D$341,"Consenso")&gt;0,"●",IF(COUNTIFS(Votaciones!$A$2:$A$341,D$31,Votaciones!$B$2:$B$341,$M44,Votaciones!$D$2:$D$341,"Disenso restrictivo")&gt;0,"▲",IF(COUNTIFS(Votaciones!$A$2:$A$341,D$31,Votaciones!$B$2:$B$341,$M44,Votaciones!$D$2:$D$341,"Disenso acomodaticio")&gt;0,"▼","?"))),IF(COUNTIFS(Participacion_Junta!$A$2:$A$341,D$31,Participacion_Junta!$B$2:$B$341,$M44)&gt;0,"○","?"))))</x:f>
      </x:c>
      <x:c r="E44" s="47" t="str">
        <x:f>IF($A44="","",IF(E$31="","",IF(COUNTIFS(Votaciones!$A$2:$A$341,E$31,Votaciones!$B$2:$B$341,$M44)&gt;0,IF(COUNTIFS(Votaciones!$A$2:$A$341,E$31,Votaciones!$B$2:$B$341,$M44,Votaciones!$D$2:$D$341,"Consenso")&gt;0,"●",IF(COUNTIFS(Votaciones!$A$2:$A$341,E$31,Votaciones!$B$2:$B$341,$M44,Votaciones!$D$2:$D$341,"Disenso restrictivo")&gt;0,"▲",IF(COUNTIFS(Votaciones!$A$2:$A$341,E$31,Votaciones!$B$2:$B$341,$M44,Votaciones!$D$2:$D$341,"Disenso acomodaticio")&gt;0,"▼","?"))),IF(COUNTIFS(Participacion_Junta!$A$2:$A$341,E$31,Participacion_Junta!$B$2:$B$341,$M44)&gt;0,"○","?"))))</x:f>
      </x:c>
      <x:c r="F44" s="47" t="str">
        <x:f>IF($A44="","",IF(F$31="","",IF(COUNTIFS(Votaciones!$A$2:$A$341,F$31,Votaciones!$B$2:$B$341,$M44)&gt;0,IF(COUNTIFS(Votaciones!$A$2:$A$341,F$31,Votaciones!$B$2:$B$341,$M44,Votaciones!$D$2:$D$341,"Consenso")&gt;0,"●",IF(COUNTIFS(Votaciones!$A$2:$A$341,F$31,Votaciones!$B$2:$B$341,$M44,Votaciones!$D$2:$D$341,"Disenso restrictivo")&gt;0,"▲",IF(COUNTIFS(Votaciones!$A$2:$A$341,F$31,Votaciones!$B$2:$B$341,$M44,Votaciones!$D$2:$D$341,"Disenso acomodaticio")&gt;0,"▼","?"))),IF(COUNTIFS(Participacion_Junta!$A$2:$A$341,F$31,Participacion_Junta!$B$2:$B$341,$M44)&gt;0,"○","?"))))</x:f>
      </x:c>
      <x:c r="G44" s="48" t="str">
        <x:f>IF($A44="","",IF(G$31="","",IF(COUNTIFS(Votaciones!$A$2:$A$341,G$31,Votaciones!$B$2:$B$341,$M44)&gt;0,IF(COUNTIFS(Votaciones!$A$2:$A$341,G$31,Votaciones!$B$2:$B$341,$M44,Votaciones!$D$2:$D$341,"Consenso")&gt;0,"●",IF(COUNTIFS(Votaciones!$A$2:$A$341,G$31,Votaciones!$B$2:$B$341,$M44,Votaciones!$D$2:$D$341,"Disenso restrictivo")&gt;0,"▲",IF(COUNTIFS(Votaciones!$A$2:$A$341,G$31,Votaciones!$B$2:$B$341,$M44,Votaciones!$D$2:$D$341,"Disenso acomodaticio")&gt;0,"▼","?"))),IF(COUNTIFS(Participacion_Junta!$A$2:$A$341,G$31,Participacion_Junta!$B$2:$B$341,$M44)&gt;0,"○","?"))))</x:f>
      </x:c>
      <x:c r="H44" s="47" t="str">
        <x:f>IF($A44="","",IF(H$31="","",IF(COUNTIFS(Votaciones!$A$2:$A$341,H$31,Votaciones!$B$2:$B$341,$M44)&gt;0,IF(COUNTIFS(Votaciones!$A$2:$A$341,H$31,Votaciones!$B$2:$B$341,$M44,Votaciones!$D$2:$D$341,"Consenso")&gt;0,"●",IF(COUNTIFS(Votaciones!$A$2:$A$341,H$31,Votaciones!$B$2:$B$341,$M44,Votaciones!$D$2:$D$341,"Disenso restrictivo")&gt;0,"▲",IF(COUNTIFS(Votaciones!$A$2:$A$341,H$31,Votaciones!$B$2:$B$341,$M44,Votaciones!$D$2:$D$341,"Disenso acomodaticio")&gt;0,"▼","?"))),IF(COUNTIFS(Participacion_Junta!$A$2:$A$341,H$31,Participacion_Junta!$B$2:$B$341,$M44)&gt;0,"○","?"))))</x:f>
      </x:c>
      <x:c r="I44" s="47" t="str">
        <x:f>IF($A44="","",IF(I$31="","",IF(COUNTIFS(Votaciones!$A$2:$A$341,I$31,Votaciones!$B$2:$B$341,$M44)&gt;0,IF(COUNTIFS(Votaciones!$A$2:$A$341,I$31,Votaciones!$B$2:$B$341,$M44,Votaciones!$D$2:$D$341,"Consenso")&gt;0,"●",IF(COUNTIFS(Votaciones!$A$2:$A$341,I$31,Votaciones!$B$2:$B$341,$M44,Votaciones!$D$2:$D$341,"Disenso restrictivo")&gt;0,"▲",IF(COUNTIFS(Votaciones!$A$2:$A$341,I$31,Votaciones!$B$2:$B$341,$M44,Votaciones!$D$2:$D$341,"Disenso acomodaticio")&gt;0,"▼","?"))),IF(COUNTIFS(Participacion_Junta!$A$2:$A$341,I$31,Participacion_Junta!$B$2:$B$341,$M44)&gt;0,"○","?"))))</x:f>
      </x:c>
      <x:c r="J44" s="47" t="str">
        <x:f>IF($A44="","",IF(J$31="","",IF(COUNTIFS(Votaciones!$A$2:$A$341,J$31,Votaciones!$B$2:$B$341,$M44)&gt;0,IF(COUNTIFS(Votaciones!$A$2:$A$341,J$31,Votaciones!$B$2:$B$341,$M44,Votaciones!$D$2:$D$341,"Consenso")&gt;0,"●",IF(COUNTIFS(Votaciones!$A$2:$A$341,J$31,Votaciones!$B$2:$B$341,$M44,Votaciones!$D$2:$D$341,"Disenso restrictivo")&gt;0,"▲",IF(COUNTIFS(Votaciones!$A$2:$A$341,J$31,Votaciones!$B$2:$B$341,$M44,Votaciones!$D$2:$D$341,"Disenso acomodaticio")&gt;0,"▼","?"))),IF(COUNTIFS(Participacion_Junta!$A$2:$A$341,J$31,Participacion_Junta!$B$2:$B$341,$M44)&gt;0,"○","?"))))</x:f>
      </x:c>
      <x:c r="K44" s="47" t="str">
        <x:f>IF($A44="","",IF(K$31="","",IF(COUNTIFS(Votaciones!$A$2:$A$341,K$31,Votaciones!$B$2:$B$341,$M44)&gt;0,IF(COUNTIFS(Votaciones!$A$2:$A$341,K$31,Votaciones!$B$2:$B$341,$M44,Votaciones!$D$2:$D$341,"Consenso")&gt;0,"●",IF(COUNTIFS(Votaciones!$A$2:$A$341,K$31,Votaciones!$B$2:$B$341,$M44,Votaciones!$D$2:$D$341,"Disenso restrictivo")&gt;0,"▲",IF(COUNTIFS(Votaciones!$A$2:$A$341,K$31,Votaciones!$B$2:$B$341,$M44,Votaciones!$D$2:$D$341,"Disenso acomodaticio")&gt;0,"▼","?"))),IF(COUNTIFS(Participacion_Junta!$A$2:$A$341,K$31,Participacion_Junta!$B$2:$B$341,$M44)&gt;0,"○","?"))))</x:f>
      </x:c>
      <x:c r="L44" s="49" t="str">
        <x:f>IF($A44="","",IF(L$31="","",IF(COUNTIFS(Votaciones!$A$2:$A$341,L$31,Votaciones!$B$2:$B$341,$M44)&gt;0,IF(COUNTIFS(Votaciones!$A$2:$A$341,L$31,Votaciones!$B$2:$B$341,$M44,Votaciones!$D$2:$D$341,"Consenso")&gt;0,"●",IF(COUNTIFS(Votaciones!$A$2:$A$341,L$31,Votaciones!$B$2:$B$341,$M44,Votaciones!$D$2:$D$341,"Disenso restrictivo")&gt;0,"▲",IF(COUNTIFS(Votaciones!$A$2:$A$341,L$31,Votaciones!$B$2:$B$341,$M44,Votaciones!$D$2:$D$341,"Disenso acomodaticio")&gt;0,"▼","?"))),IF(COUNTIFS(Participacion_Junta!$A$2:$A$341,L$31,Participacion_Junta!$B$2:$B$341,$M44)&gt;0,"○","?"))))</x:f>
      </x:c>
      <x:c r="M44" t="str">
        <x:f>IFERROR(INDEX($K$351:$K$586,MATCH($X$2,$A$351:$A$586,0)),"")</x:f>
      </x:c>
      <x:c r="Z44" t="str">
        <x:v>D20050225</x:v>
      </x:c>
      <x:c r="AA44" t="n">
        <x:v>38408</x:v>
      </x:c>
    </x:row>
    <x:row r="45">
      <x:c r="Z45" t="str">
        <x:v>D20050323</x:v>
      </x:c>
      <x:c r="AA45" t="n">
        <x:v>38434</x:v>
      </x:c>
    </x:row>
    <x:row r="46">
      <x:c r="A46" s="134" t="s">
        <x:v>883</x:v>
      </x:c>
      <x:c r="B46" s="134"/>
      <x:c r="C46" s="134"/>
      <x:c r="D46" s="134"/>
      <x:c r="E46" s="134"/>
      <x:c r="F46" s="134"/>
      <x:c r="G46" s="134"/>
      <x:c r="H46" s="134"/>
      <x:c r="I46" s="134"/>
      <x:c r="J46" s="134"/>
      <x:c r="K46" s="134"/>
      <x:c r="L46" s="134"/>
      <x:c r="Z46" t="str">
        <x:v>D20050422</x:v>
      </x:c>
      <x:c r="AA46" t="n">
        <x:v>38464</x:v>
      </x:c>
    </x:row>
    <x:row r="47">
      <x:c r="Z47" t="str">
        <x:v>D20050527</x:v>
      </x:c>
      <x:c r="AA47" t="n">
        <x:v>38499</x:v>
      </x:c>
    </x:row>
    <x:row r="48" ht="28.049999237060547" customHeight="1">
      <x:c r="A48" s="135" t="s">
        <x:v>884</x:v>
      </x:c>
      <x:c r="B48" s="135"/>
      <x:c r="C48" s="135"/>
      <x:c r="D48" s="135"/>
      <x:c r="E48" s="135"/>
      <x:c r="F48" s="135"/>
      <x:c r="G48" s="135"/>
      <x:c r="H48" s="135"/>
      <x:c r="I48" s="135"/>
      <x:c r="Z48" t="str">
        <x:v>D20050624</x:v>
      </x:c>
      <x:c r="AA48" t="n">
        <x:v>38527</x:v>
      </x:c>
    </x:row>
    <x:row r="49" ht="43.95000076293945" customHeight="1">
      <x:c r="A49" s="59" t="s">
        <x:v>882</x:v>
      </x:c>
      <x:c r="B49" s="59" t="s">
        <x:v>885</x:v>
      </x:c>
      <x:c r="C49" s="59" t="s">
        <x:v>886</x:v>
      </x:c>
      <x:c r="D49" s="59" t="s">
        <x:v>887</x:v>
      </x:c>
      <x:c r="E49" s="59" t="s">
        <x:v>888</x:v>
      </x:c>
      <x:c r="F49" s="59" t="s">
        <x:v>889</x:v>
      </x:c>
      <x:c r="G49" s="59" t="s">
        <x:v>890</x:v>
      </x:c>
      <x:c r="H49" s="59" t="s">
        <x:v>891</x:v>
      </x:c>
      <x:c r="I49" s="59" t="s">
        <x:v>892</x:v>
      </x:c>
      <x:c r="Z49" t="str">
        <x:v>D20050722</x:v>
      </x:c>
      <x:c r="AA49" t="n">
        <x:v>38555</x:v>
      </x:c>
    </x:row>
    <x:row r="50" ht="22.950000762939453" customHeight="1">
      <x:c r="A50" s="60" t="str">
        <x:f>IF(OR($M35="",NOT(COUNTIFS(Participacion_Junta!$B$2:$B$341,$M35,Participacion_Junta!$A$2:$A$341,"&gt;="&amp;"D"&amp;TEXT(EDATE($E$22,-12),"yyyymmdd"),Participacion_Junta!$A$2:$A$341,"&lt;="&amp;$X$2,Participacion_Junta!$D$2:$D$341,"Presente")&gt;0)),"",$A35)</x:f>
        <x:v>Victoria Rodríguez Ceja</x:v>
      </x:c>
      <x:c r="B50" s="63" t="n">
        <x:f>IF($A50="","",COUNTIFS(Votaciones!$B$2:$B$341,$M35,Votaciones!$A$2:$A$341,"&lt;="&amp;$X$2,Votaciones!$E$2:$E$341,"Público"))</x:f>
        <x:v>35</x:v>
      </x:c>
      <x:c r="C50" s="66" t="n">
        <x:f>IF($A50="","",IFERROR((COUNTIFS(Votaciones!$B$2:$B$341,$M35,Votaciones!$A$2:$A$341,"&lt;="&amp;$X$2,Votaciones!$E$2:$E$341,"Público",Votaciones!$D$2:$D$341,"Disenso restrictivo")+COUNTIFS(Votaciones!$B$2:$B$341,$M35,Votaciones!$A$2:$A$341,"&lt;="&amp;$X$2,Votaciones!$E$2:$E$341,"Público",Votaciones!$D$2:$D$341,"Disenso acomodaticio"))/$B50,0))</x:f>
        <x:v>0</x:v>
      </x:c>
      <x:c r="D50" s="66" t="n">
        <x:f>IF($A50="","",IFERROR(COUNTIFS(Votaciones!$B$2:$B$341,$M35,Votaciones!$A$2:$A$341,"&lt;="&amp;$X$2,Votaciones!$E$2:$E$341,"Público",Votaciones!$D$2:$D$341,"Disenso restrictivo")/$B50,0))</x:f>
        <x:v>0</x:v>
      </x:c>
      <x:c r="E50" s="66" t="n">
        <x:f>IF($A50="","",IFERROR(COUNTIFS(Votaciones!$B$2:$B$341,$M35,Votaciones!$A$2:$A$341,"&lt;="&amp;$X$2,Votaciones!$E$2:$E$341,"Público",Votaciones!$D$2:$D$341,"Disenso acomodaticio")/$B50,0))</x:f>
        <x:v>0</x:v>
      </x:c>
      <x:c r="F50" s="63" t="n">
        <x:f>IF($A50="","",COUNTIFS(Votaciones!$B$2:$B$341,$M35,Votaciones!$A$2:$A$341,"&gt;="&amp;"D"&amp;TEXT(EDATE($E$22,-12),"yyyymmdd"),Votaciones!$A$2:$A$341,"&lt;="&amp;$X$2,Votaciones!$E$2:$E$341,"Público"))</x:f>
        <x:v>9</x:v>
      </x:c>
      <x:c r="G50" s="66" t="n">
        <x:f>IF($A50="","",IFERROR((COUNTIFS(Votaciones!$B$2:$B$341,$M35,Votaciones!$A$2:$A$341,"&gt;="&amp;"D"&amp;TEXT(EDATE($E$22,-12),"yyyymmdd"),Votaciones!$A$2:$A$341,"&lt;="&amp;$X$2,Votaciones!$E$2:$E$341,"Público",Votaciones!$D$2:$D$341,"Disenso restrictivo")+COUNTIFS(Votaciones!$B$2:$B$341,$M35,Votaciones!$A$2:$A$341,"&gt;="&amp;"D"&amp;TEXT(EDATE($E$22,-12),"yyyymmdd"),Votaciones!$A$2:$A$341,"&lt;="&amp;$X$2,Votaciones!$E$2:$E$341,"Público",Votaciones!$D$2:$D$341,"Disenso acomodaticio"))/$F50,0))</x:f>
        <x:v>0</x:v>
      </x:c>
      <x:c r="H50" s="66" t="n">
        <x:f>IF($A50="","",IFERROR(COUNTIFS(Votaciones!$B$2:$B$341,$M35,Votaciones!$A$2:$A$341,"&gt;="&amp;"D"&amp;TEXT(EDATE($E$22,-12),"yyyymmdd"),Votaciones!$A$2:$A$341,"&lt;="&amp;$X$2,Votaciones!$E$2:$E$341,"Público",Votaciones!$D$2:$D$341,"Disenso restrictivo")/$F50,0))</x:f>
        <x:v>0</x:v>
      </x:c>
      <x:c r="I50" s="69" t="n">
        <x:f>IF($A50="","",IFERROR(COUNTIFS(Votaciones!$B$2:$B$341,$M35,Votaciones!$A$2:$A$341,"&gt;="&amp;"D"&amp;TEXT(EDATE($E$22,-12),"yyyymmdd"),Votaciones!$A$2:$A$341,"&lt;="&amp;$X$2,Votaciones!$E$2:$E$341,"Público",Votaciones!$D$2:$D$341,"Disenso acomodaticio")/$F50,0))</x:f>
        <x:v>0</x:v>
      </x:c>
      <x:c r="Z50" t="str">
        <x:v>D20050826</x:v>
      </x:c>
      <x:c r="AA50" t="n">
        <x:v>38590</x:v>
      </x:c>
    </x:row>
    <x:row r="51" ht="22.950000762939453" customHeight="1">
      <x:c r="A51" s="61" t="str">
        <x:f>IF(OR($M36="",NOT(COUNTIFS(Participacion_Junta!$B$2:$B$341,$M36,Participacion_Junta!$A$2:$A$341,"&gt;="&amp;"D"&amp;TEXT(EDATE($E$22,-12),"yyyymmdd"),Participacion_Junta!$A$2:$A$341,"&lt;="&amp;$X$2,Participacion_Junta!$D$2:$D$341,"Presente")&gt;0)),"",$A36)</x:f>
        <x:v>Jonathan Heath Constable</x:v>
      </x:c>
      <x:c r="B51" s="64" t="n">
        <x:f>IF($A51="","",COUNTIFS(Votaciones!$B$2:$B$341,$M36,Votaciones!$A$2:$A$341,"&lt;="&amp;$X$2,Votaciones!$E$2:$E$341,"Público"))</x:f>
        <x:v>60</x:v>
      </x:c>
      <x:c r="C51" s="67" t="n">
        <x:f>IF($A51="","",IFERROR((COUNTIFS(Votaciones!$B$2:$B$341,$M36,Votaciones!$A$2:$A$341,"&lt;="&amp;$X$2,Votaciones!$E$2:$E$341,"Público",Votaciones!$D$2:$D$341,"Disenso restrictivo")+COUNTIFS(Votaciones!$B$2:$B$341,$M36,Votaciones!$A$2:$A$341,"&lt;="&amp;$X$2,Votaciones!$E$2:$E$341,"Público",Votaciones!$D$2:$D$341,"Disenso acomodaticio"))/$B51,0))</x:f>
        <x:v>0.23333333333333334</x:v>
      </x:c>
      <x:c r="D51" s="67" t="n">
        <x:f>IF($A51="","",IFERROR(COUNTIFS(Votaciones!$B$2:$B$341,$M36,Votaciones!$A$2:$A$341,"&lt;="&amp;$X$2,Votaciones!$E$2:$E$341,"Público",Votaciones!$D$2:$D$341,"Disenso restrictivo")/$B51,0))</x:f>
        <x:v>0.16666666666666666</x:v>
      </x:c>
      <x:c r="E51" s="67" t="n">
        <x:f>IF($A51="","",IFERROR(COUNTIFS(Votaciones!$B$2:$B$341,$M36,Votaciones!$A$2:$A$341,"&lt;="&amp;$X$2,Votaciones!$E$2:$E$341,"Público",Votaciones!$D$2:$D$341,"Disenso acomodaticio")/$B51,0))</x:f>
        <x:v>0.06666666666666667</x:v>
      </x:c>
      <x:c r="F51" s="64" t="n">
        <x:f>IF($A51="","",COUNTIFS(Votaciones!$B$2:$B$341,$M36,Votaciones!$A$2:$A$341,"&gt;="&amp;"D"&amp;TEXT(EDATE($E$22,-12),"yyyymmdd"),Votaciones!$A$2:$A$341,"&lt;="&amp;$X$2,Votaciones!$E$2:$E$341,"Público"))</x:f>
        <x:v>9</x:v>
      </x:c>
      <x:c r="G51" s="67" t="n">
        <x:f>IF($A51="","",IFERROR((COUNTIFS(Votaciones!$B$2:$B$341,$M36,Votaciones!$A$2:$A$341,"&gt;="&amp;"D"&amp;TEXT(EDATE($E$22,-12),"yyyymmdd"),Votaciones!$A$2:$A$341,"&lt;="&amp;$X$2,Votaciones!$E$2:$E$341,"Público",Votaciones!$D$2:$D$341,"Disenso restrictivo")+COUNTIFS(Votaciones!$B$2:$B$341,$M36,Votaciones!$A$2:$A$341,"&gt;="&amp;"D"&amp;TEXT(EDATE($E$22,-12),"yyyymmdd"),Votaciones!$A$2:$A$341,"&lt;="&amp;$X$2,Votaciones!$E$2:$E$341,"Público",Votaciones!$D$2:$D$341,"Disenso acomodaticio"))/$F51,0))</x:f>
        <x:v>0.7777777777777778</x:v>
      </x:c>
      <x:c r="H51" s="67" t="n">
        <x:f>IF($A51="","",IFERROR(COUNTIFS(Votaciones!$B$2:$B$341,$M36,Votaciones!$A$2:$A$341,"&gt;="&amp;"D"&amp;TEXT(EDATE($E$22,-12),"yyyymmdd"),Votaciones!$A$2:$A$341,"&lt;="&amp;$X$2,Votaciones!$E$2:$E$341,"Público",Votaciones!$D$2:$D$341,"Disenso restrictivo")/$F51,0))</x:f>
        <x:v>0.7777777777777778</x:v>
      </x:c>
      <x:c r="I51" s="70" t="n">
        <x:f>IF($A51="","",IFERROR(COUNTIFS(Votaciones!$B$2:$B$341,$M36,Votaciones!$A$2:$A$341,"&gt;="&amp;"D"&amp;TEXT(EDATE($E$22,-12),"yyyymmdd"),Votaciones!$A$2:$A$341,"&lt;="&amp;$X$2,Votaciones!$E$2:$E$341,"Público",Votaciones!$D$2:$D$341,"Disenso acomodaticio")/$F51,0))</x:f>
        <x:v>0</x:v>
      </x:c>
      <x:c r="Z51" t="str">
        <x:v>D20050923</x:v>
      </x:c>
      <x:c r="AA51" t="n">
        <x:v>38618</x:v>
      </x:c>
    </x:row>
    <x:row r="52" ht="22.950000762939453" customHeight="1">
      <x:c r="A52" s="61" t="str">
        <x:f>IF(OR($M37="",NOT(COUNTIFS(Participacion_Junta!$B$2:$B$341,$M37,Participacion_Junta!$A$2:$A$341,"&gt;="&amp;"D"&amp;TEXT(EDATE($E$22,-12),"yyyymmdd"),Participacion_Junta!$A$2:$A$341,"&lt;="&amp;$X$2,Participacion_Junta!$D$2:$D$341,"Presente")&gt;0)),"",$A37)</x:f>
        <x:v>Galia Borja Gómez</x:v>
      </x:c>
      <x:c r="B52" s="64" t="n">
        <x:f>IF($A52="","",COUNTIFS(Votaciones!$B$2:$B$341,$M37,Votaciones!$A$2:$A$341,"&lt;="&amp;$X$2,Votaciones!$E$2:$E$341,"Público"))</x:f>
        <x:v>43</x:v>
      </x:c>
      <x:c r="C52" s="67" t="n">
        <x:f>IF($A52="","",IFERROR((COUNTIFS(Votaciones!$B$2:$B$341,$M37,Votaciones!$A$2:$A$341,"&lt;="&amp;$X$2,Votaciones!$E$2:$E$341,"Público",Votaciones!$D$2:$D$341,"Disenso restrictivo")+COUNTIFS(Votaciones!$B$2:$B$341,$M37,Votaciones!$A$2:$A$341,"&lt;="&amp;$X$2,Votaciones!$E$2:$E$341,"Público",Votaciones!$D$2:$D$341,"Disenso acomodaticio"))/$B52,0))</x:f>
        <x:v>0.09302325581395349</x:v>
      </x:c>
      <x:c r="D52" s="67" t="n">
        <x:f>IF($A52="","",IFERROR(COUNTIFS(Votaciones!$B$2:$B$341,$M37,Votaciones!$A$2:$A$341,"&lt;="&amp;$X$2,Votaciones!$E$2:$E$341,"Público",Votaciones!$D$2:$D$341,"Disenso restrictivo")/$B52,0))</x:f>
        <x:v>0.046511627906976744</x:v>
      </x:c>
      <x:c r="E52" s="67" t="n">
        <x:f>IF($A52="","",IFERROR(COUNTIFS(Votaciones!$B$2:$B$341,$M37,Votaciones!$A$2:$A$341,"&lt;="&amp;$X$2,Votaciones!$E$2:$E$341,"Público",Votaciones!$D$2:$D$341,"Disenso acomodaticio")/$B52,0))</x:f>
        <x:v>0.046511627906976744</x:v>
      </x:c>
      <x:c r="F52" s="64" t="n">
        <x:f>IF($A52="","",COUNTIFS(Votaciones!$B$2:$B$341,$M37,Votaciones!$A$2:$A$341,"&gt;="&amp;"D"&amp;TEXT(EDATE($E$22,-12),"yyyymmdd"),Votaciones!$A$2:$A$341,"&lt;="&amp;$X$2,Votaciones!$E$2:$E$341,"Público"))</x:f>
        <x:v>9</x:v>
      </x:c>
      <x:c r="G52" s="67" t="n">
        <x:f>IF($A52="","",IFERROR((COUNTIFS(Votaciones!$B$2:$B$341,$M37,Votaciones!$A$2:$A$341,"&gt;="&amp;"D"&amp;TEXT(EDATE($E$22,-12),"yyyymmdd"),Votaciones!$A$2:$A$341,"&lt;="&amp;$X$2,Votaciones!$E$2:$E$341,"Público",Votaciones!$D$2:$D$341,"Disenso restrictivo")+COUNTIFS(Votaciones!$B$2:$B$341,$M37,Votaciones!$A$2:$A$341,"&gt;="&amp;"D"&amp;TEXT(EDATE($E$22,-12),"yyyymmdd"),Votaciones!$A$2:$A$341,"&lt;="&amp;$X$2,Votaciones!$E$2:$E$341,"Público",Votaciones!$D$2:$D$341,"Disenso acomodaticio"))/$F52,0))</x:f>
        <x:v>0.2222222222222222</x:v>
      </x:c>
      <x:c r="H52" s="67" t="n">
        <x:f>IF($A52="","",IFERROR(COUNTIFS(Votaciones!$B$2:$B$341,$M37,Votaciones!$A$2:$A$341,"&gt;="&amp;"D"&amp;TEXT(EDATE($E$22,-12),"yyyymmdd"),Votaciones!$A$2:$A$341,"&lt;="&amp;$X$2,Votaciones!$E$2:$E$341,"Público",Votaciones!$D$2:$D$341,"Disenso restrictivo")/$F52,0))</x:f>
        <x:v>0.2222222222222222</x:v>
      </x:c>
      <x:c r="I52" s="70" t="n">
        <x:f>IF($A52="","",IFERROR(COUNTIFS(Votaciones!$B$2:$B$341,$M37,Votaciones!$A$2:$A$341,"&gt;="&amp;"D"&amp;TEXT(EDATE($E$22,-12),"yyyymmdd"),Votaciones!$A$2:$A$341,"&lt;="&amp;$X$2,Votaciones!$E$2:$E$341,"Público",Votaciones!$D$2:$D$341,"Disenso acomodaticio")/$F52,0))</x:f>
        <x:v>0</x:v>
      </x:c>
      <x:c r="N52" s="161"/>
      <x:c r="Z52" t="str">
        <x:v>D20051028</x:v>
      </x:c>
      <x:c r="AA52" t="n">
        <x:v>38653</x:v>
      </x:c>
    </x:row>
    <x:row r="53" ht="22.950000762939453" customHeight="1">
      <x:c r="A53" s="61" t="str">
        <x:f>IF(OR($M38="",NOT(COUNTIFS(Participacion_Junta!$B$2:$B$341,$M38,Participacion_Junta!$A$2:$A$341,"&gt;="&amp;"D"&amp;TEXT(EDATE($E$22,-12),"yyyymmdd"),Participacion_Junta!$A$2:$A$341,"&lt;="&amp;$X$2,Participacion_Junta!$D$2:$D$341,"Presente")&gt;0)),"",$A38)</x:f>
        <x:v>Omar Mejía Castelazo</x:v>
      </x:c>
      <x:c r="B53" s="64" t="n">
        <x:f>IF($A53="","",COUNTIFS(Votaciones!$B$2:$B$341,$M38,Votaciones!$A$2:$A$341,"&lt;="&amp;$X$2,Votaciones!$E$2:$E$341,"Público"))</x:f>
        <x:v>27</x:v>
      </x:c>
      <x:c r="C53" s="67" t="n">
        <x:f>IF($A53="","",IFERROR((COUNTIFS(Votaciones!$B$2:$B$341,$M38,Votaciones!$A$2:$A$341,"&lt;="&amp;$X$2,Votaciones!$E$2:$E$341,"Público",Votaciones!$D$2:$D$341,"Disenso restrictivo")+COUNTIFS(Votaciones!$B$2:$B$341,$M38,Votaciones!$A$2:$A$341,"&lt;="&amp;$X$2,Votaciones!$E$2:$E$341,"Público",Votaciones!$D$2:$D$341,"Disenso acomodaticio"))/$B53,0))</x:f>
        <x:v>0.037037037037037035</x:v>
      </x:c>
      <x:c r="D53" s="67" t="n">
        <x:f>IF($A53="","",IFERROR(COUNTIFS(Votaciones!$B$2:$B$341,$M38,Votaciones!$A$2:$A$341,"&lt;="&amp;$X$2,Votaciones!$E$2:$E$341,"Público",Votaciones!$D$2:$D$341,"Disenso restrictivo")/$B53,0))</x:f>
        <x:v>0</x:v>
      </x:c>
      <x:c r="E53" s="67" t="n">
        <x:f>IF($A53="","",IFERROR(COUNTIFS(Votaciones!$B$2:$B$341,$M38,Votaciones!$A$2:$A$341,"&lt;="&amp;$X$2,Votaciones!$E$2:$E$341,"Público",Votaciones!$D$2:$D$341,"Disenso acomodaticio")/$B53,0))</x:f>
        <x:v>0.037037037037037035</x:v>
      </x:c>
      <x:c r="F53" s="64" t="n">
        <x:f>IF($A53="","",COUNTIFS(Votaciones!$B$2:$B$341,$M38,Votaciones!$A$2:$A$341,"&gt;="&amp;"D"&amp;TEXT(EDATE($E$22,-12),"yyyymmdd"),Votaciones!$A$2:$A$341,"&lt;="&amp;$X$2,Votaciones!$E$2:$E$341,"Público"))</x:f>
        <x:v>9</x:v>
      </x:c>
      <x:c r="G53" s="67" t="n">
        <x:f>IF($A53="","",IFERROR((COUNTIFS(Votaciones!$B$2:$B$341,$M38,Votaciones!$A$2:$A$341,"&gt;="&amp;"D"&amp;TEXT(EDATE($E$22,-12),"yyyymmdd"),Votaciones!$A$2:$A$341,"&lt;="&amp;$X$2,Votaciones!$E$2:$E$341,"Público",Votaciones!$D$2:$D$341,"Disenso restrictivo")+COUNTIFS(Votaciones!$B$2:$B$341,$M38,Votaciones!$A$2:$A$341,"&gt;="&amp;"D"&amp;TEXT(EDATE($E$22,-12),"yyyymmdd"),Votaciones!$A$2:$A$341,"&lt;="&amp;$X$2,Votaciones!$E$2:$E$341,"Público",Votaciones!$D$2:$D$341,"Disenso acomodaticio"))/$F53,0))</x:f>
        <x:v>0</x:v>
      </x:c>
      <x:c r="H53" s="67" t="n">
        <x:f>IF($A53="","",IFERROR(COUNTIFS(Votaciones!$B$2:$B$341,$M38,Votaciones!$A$2:$A$341,"&gt;="&amp;"D"&amp;TEXT(EDATE($E$22,-12),"yyyymmdd"),Votaciones!$A$2:$A$341,"&lt;="&amp;$X$2,Votaciones!$E$2:$E$341,"Público",Votaciones!$D$2:$D$341,"Disenso restrictivo")/$F53,0))</x:f>
        <x:v>0</x:v>
      </x:c>
      <x:c r="I53" s="70" t="n">
        <x:f>IF($A53="","",IFERROR(COUNTIFS(Votaciones!$B$2:$B$341,$M38,Votaciones!$A$2:$A$341,"&gt;="&amp;"D"&amp;TEXT(EDATE($E$22,-12),"yyyymmdd"),Votaciones!$A$2:$A$341,"&lt;="&amp;$X$2,Votaciones!$E$2:$E$341,"Público",Votaciones!$D$2:$D$341,"Disenso acomodaticio")/$F53,0))</x:f>
        <x:v>0</x:v>
      </x:c>
      <x:c r="N53" s="162"/>
      <x:c r="Z53" t="str">
        <x:v>D20051125</x:v>
      </x:c>
      <x:c r="AA53" t="n">
        <x:v>38681</x:v>
      </x:c>
    </x:row>
    <x:row r="54" ht="22.950000762939453" customHeight="1">
      <x:c r="A54" s="61" t="str">
        <x:f>IF(OR($M39="",NOT(COUNTIFS(Participacion_Junta!$B$2:$B$341,$M39,Participacion_Junta!$A$2:$A$341,"&gt;="&amp;"D"&amp;TEXT(EDATE($E$22,-12),"yyyymmdd"),Participacion_Junta!$A$2:$A$341,"&lt;="&amp;$X$2,Participacion_Junta!$D$2:$D$341,"Presente")&gt;0)),"",$A39)</x:f>
        <x:v>José Gabriel Cuadra García</x:v>
      </x:c>
      <x:c r="B54" s="64" t="n">
        <x:f>IF($A54="","",COUNTIFS(Votaciones!$B$2:$B$341,$M39,Votaciones!$A$2:$A$341,"&lt;="&amp;$X$2,Votaciones!$E$2:$E$341,"Público"))</x:f>
        <x:v>11</x:v>
      </x:c>
      <x:c r="C54" s="67" t="n">
        <x:f>IF($A54="","",IFERROR((COUNTIFS(Votaciones!$B$2:$B$341,$M39,Votaciones!$A$2:$A$341,"&lt;="&amp;$X$2,Votaciones!$E$2:$E$341,"Público",Votaciones!$D$2:$D$341,"Disenso restrictivo")+COUNTIFS(Votaciones!$B$2:$B$341,$M39,Votaciones!$A$2:$A$341,"&lt;="&amp;$X$2,Votaciones!$E$2:$E$341,"Público",Votaciones!$D$2:$D$341,"Disenso acomodaticio"))/$B54,0))</x:f>
        <x:v>0</x:v>
      </x:c>
      <x:c r="D54" s="67" t="n">
        <x:f>IF($A54="","",IFERROR(COUNTIFS(Votaciones!$B$2:$B$341,$M39,Votaciones!$A$2:$A$341,"&lt;="&amp;$X$2,Votaciones!$E$2:$E$341,"Público",Votaciones!$D$2:$D$341,"Disenso restrictivo")/$B54,0))</x:f>
        <x:v>0</x:v>
      </x:c>
      <x:c r="E54" s="67" t="n">
        <x:f>IF($A54="","",IFERROR(COUNTIFS(Votaciones!$B$2:$B$341,$M39,Votaciones!$A$2:$A$341,"&lt;="&amp;$X$2,Votaciones!$E$2:$E$341,"Público",Votaciones!$D$2:$D$341,"Disenso acomodaticio")/$B54,0))</x:f>
        <x:v>0</x:v>
      </x:c>
      <x:c r="F54" s="64" t="n">
        <x:f>IF($A54="","",COUNTIFS(Votaciones!$B$2:$B$341,$M39,Votaciones!$A$2:$A$341,"&gt;="&amp;"D"&amp;TEXT(EDATE($E$22,-12),"yyyymmdd"),Votaciones!$A$2:$A$341,"&lt;="&amp;$X$2,Votaciones!$E$2:$E$341,"Público"))</x:f>
        <x:v>9</x:v>
      </x:c>
      <x:c r="G54" s="67" t="n">
        <x:f>IF($A54="","",IFERROR((COUNTIFS(Votaciones!$B$2:$B$341,$M39,Votaciones!$A$2:$A$341,"&gt;="&amp;"D"&amp;TEXT(EDATE($E$22,-12),"yyyymmdd"),Votaciones!$A$2:$A$341,"&lt;="&amp;$X$2,Votaciones!$E$2:$E$341,"Público",Votaciones!$D$2:$D$341,"Disenso restrictivo")+COUNTIFS(Votaciones!$B$2:$B$341,$M39,Votaciones!$A$2:$A$341,"&gt;="&amp;"D"&amp;TEXT(EDATE($E$22,-12),"yyyymmdd"),Votaciones!$A$2:$A$341,"&lt;="&amp;$X$2,Votaciones!$E$2:$E$341,"Público",Votaciones!$D$2:$D$341,"Disenso acomodaticio"))/$F54,0))</x:f>
        <x:v>0</x:v>
      </x:c>
      <x:c r="H54" s="67" t="n">
        <x:f>IF($A54="","",IFERROR(COUNTIFS(Votaciones!$B$2:$B$341,$M39,Votaciones!$A$2:$A$341,"&gt;="&amp;"D"&amp;TEXT(EDATE($E$22,-12),"yyyymmdd"),Votaciones!$A$2:$A$341,"&lt;="&amp;$X$2,Votaciones!$E$2:$E$341,"Público",Votaciones!$D$2:$D$341,"Disenso restrictivo")/$F54,0))</x:f>
        <x:v>0</x:v>
      </x:c>
      <x:c r="I54" s="70" t="n">
        <x:f>IF($A54="","",IFERROR(COUNTIFS(Votaciones!$B$2:$B$341,$M39,Votaciones!$A$2:$A$341,"&gt;="&amp;"D"&amp;TEXT(EDATE($E$22,-12),"yyyymmdd"),Votaciones!$A$2:$A$341,"&lt;="&amp;$X$2,Votaciones!$E$2:$E$341,"Público",Votaciones!$D$2:$D$341,"Disenso acomodaticio")/$F54,0))</x:f>
        <x:v>0</x:v>
      </x:c>
      <x:c r="Z54" t="str">
        <x:v>D20051209</x:v>
      </x:c>
      <x:c r="AA54" t="n">
        <x:v>38695</x:v>
      </x:c>
    </x:row>
    <x:row r="55" ht="22.950000762939453" customHeight="1">
      <x:c r="A55" s="61" t="str">
        <x:f>IF(OR($M40="",NOT(COUNTIFS(Participacion_Junta!$B$2:$B$341,$M40,Participacion_Junta!$A$2:$A$341,"&gt;="&amp;"D"&amp;TEXT(EDATE($E$22,-12),"yyyymmdd"),Participacion_Junta!$A$2:$A$341,"&lt;="&amp;$X$2,Participacion_Junta!$D$2:$D$341,"Presente")&gt;0)),"",$A40)</x:f>
      </x:c>
      <x:c r="B55" s="64" t="str">
        <x:f>IF($A55="","",COUNTIFS(Votaciones!$B$2:$B$341,$M40,Votaciones!$A$2:$A$341,"&lt;="&amp;$X$2,Votaciones!$E$2:$E$341,"Público"))</x:f>
      </x:c>
      <x:c r="C55" s="67" t="str">
        <x:f>IF($A55="","",IFERROR((COUNTIFS(Votaciones!$B$2:$B$341,$M40,Votaciones!$A$2:$A$341,"&lt;="&amp;$X$2,Votaciones!$E$2:$E$341,"Público",Votaciones!$D$2:$D$341,"Disenso restrictivo")+COUNTIFS(Votaciones!$B$2:$B$341,$M40,Votaciones!$A$2:$A$341,"&lt;="&amp;$X$2,Votaciones!$E$2:$E$341,"Público",Votaciones!$D$2:$D$341,"Disenso acomodaticio"))/$B55,0))</x:f>
      </x:c>
      <x:c r="D55" s="67" t="str">
        <x:f>IF($A55="","",IFERROR(COUNTIFS(Votaciones!$B$2:$B$341,$M40,Votaciones!$A$2:$A$341,"&lt;="&amp;$X$2,Votaciones!$E$2:$E$341,"Público",Votaciones!$D$2:$D$341,"Disenso restrictivo")/$B55,0))</x:f>
      </x:c>
      <x:c r="E55" s="67" t="str">
        <x:f>IF($A55="","",IFERROR(COUNTIFS(Votaciones!$B$2:$B$341,$M40,Votaciones!$A$2:$A$341,"&lt;="&amp;$X$2,Votaciones!$E$2:$E$341,"Público",Votaciones!$D$2:$D$341,"Disenso acomodaticio")/$B55,0))</x:f>
      </x:c>
      <x:c r="F55" s="64" t="str">
        <x:f>IF($A55="","",COUNTIFS(Votaciones!$B$2:$B$341,$M40,Votaciones!$A$2:$A$341,"&gt;="&amp;"D"&amp;TEXT(EDATE($E$22,-12),"yyyymmdd"),Votaciones!$A$2:$A$341,"&lt;="&amp;$X$2,Votaciones!$E$2:$E$341,"Público"))</x:f>
      </x:c>
      <x:c r="G55" s="67" t="str">
        <x:f>IF($A55="","",IFERROR((COUNTIFS(Votaciones!$B$2:$B$341,$M40,Votaciones!$A$2:$A$341,"&gt;="&amp;"D"&amp;TEXT(EDATE($E$22,-12),"yyyymmdd"),Votaciones!$A$2:$A$341,"&lt;="&amp;$X$2,Votaciones!$E$2:$E$341,"Público",Votaciones!$D$2:$D$341,"Disenso restrictivo")+COUNTIFS(Votaciones!$B$2:$B$341,$M40,Votaciones!$A$2:$A$341,"&gt;="&amp;"D"&amp;TEXT(EDATE($E$22,-12),"yyyymmdd"),Votaciones!$A$2:$A$341,"&lt;="&amp;$X$2,Votaciones!$E$2:$E$341,"Público",Votaciones!$D$2:$D$341,"Disenso acomodaticio"))/$F55,0))</x:f>
      </x:c>
      <x:c r="H55" s="67" t="str">
        <x:f>IF($A55="","",IFERROR(COUNTIFS(Votaciones!$B$2:$B$341,$M40,Votaciones!$A$2:$A$341,"&gt;="&amp;"D"&amp;TEXT(EDATE($E$22,-12),"yyyymmdd"),Votaciones!$A$2:$A$341,"&lt;="&amp;$X$2,Votaciones!$E$2:$E$341,"Público",Votaciones!$D$2:$D$341,"Disenso restrictivo")/$F55,0))</x:f>
      </x:c>
      <x:c r="I55" s="70" t="str">
        <x:f>IF($A55="","",IFERROR(COUNTIFS(Votaciones!$B$2:$B$341,$M40,Votaciones!$A$2:$A$341,"&gt;="&amp;"D"&amp;TEXT(EDATE($E$22,-12),"yyyymmdd"),Votaciones!$A$2:$A$341,"&lt;="&amp;$X$2,Votaciones!$E$2:$E$341,"Público",Votaciones!$D$2:$D$341,"Disenso acomodaticio")/$F55,0))</x:f>
      </x:c>
      <x:c r="Z55" t="str">
        <x:v>D20060127</x:v>
      </x:c>
      <x:c r="AA55" t="n">
        <x:v>38744</x:v>
      </x:c>
    </x:row>
    <x:row r="56" ht="22.950000762939453" customHeight="1">
      <x:c r="A56" s="61" t="str">
        <x:f>IF(OR($M41="",NOT(COUNTIFS(Participacion_Junta!$B$2:$B$341,$M41,Participacion_Junta!$A$2:$A$341,"&gt;="&amp;"D"&amp;TEXT(EDATE($E$22,-12),"yyyymmdd"),Participacion_Junta!$A$2:$A$341,"&lt;="&amp;$X$2,Participacion_Junta!$D$2:$D$341,"Presente")&gt;0)),"",$A41)</x:f>
      </x:c>
      <x:c r="B56" s="64" t="str">
        <x:f>IF($A56="","",COUNTIFS(Votaciones!$B$2:$B$341,$M41,Votaciones!$A$2:$A$341,"&lt;="&amp;$X$2,Votaciones!$E$2:$E$341,"Público"))</x:f>
      </x:c>
      <x:c r="C56" s="67" t="str">
        <x:f>IF($A56="","",IFERROR((COUNTIFS(Votaciones!$B$2:$B$341,$M41,Votaciones!$A$2:$A$341,"&lt;="&amp;$X$2,Votaciones!$E$2:$E$341,"Público",Votaciones!$D$2:$D$341,"Disenso restrictivo")+COUNTIFS(Votaciones!$B$2:$B$341,$M41,Votaciones!$A$2:$A$341,"&lt;="&amp;$X$2,Votaciones!$E$2:$E$341,"Público",Votaciones!$D$2:$D$341,"Disenso acomodaticio"))/$B56,0))</x:f>
      </x:c>
      <x:c r="D56" s="67" t="str">
        <x:f>IF($A56="","",IFERROR(COUNTIFS(Votaciones!$B$2:$B$341,$M41,Votaciones!$A$2:$A$341,"&lt;="&amp;$X$2,Votaciones!$E$2:$E$341,"Público",Votaciones!$D$2:$D$341,"Disenso restrictivo")/$B56,0))</x:f>
      </x:c>
      <x:c r="E56" s="67" t="str">
        <x:f>IF($A56="","",IFERROR(COUNTIFS(Votaciones!$B$2:$B$341,$M41,Votaciones!$A$2:$A$341,"&lt;="&amp;$X$2,Votaciones!$E$2:$E$341,"Público",Votaciones!$D$2:$D$341,"Disenso acomodaticio")/$B56,0))</x:f>
      </x:c>
      <x:c r="F56" s="64" t="str">
        <x:f>IF($A56="","",COUNTIFS(Votaciones!$B$2:$B$341,$M41,Votaciones!$A$2:$A$341,"&gt;="&amp;"D"&amp;TEXT(EDATE($E$22,-12),"yyyymmdd"),Votaciones!$A$2:$A$341,"&lt;="&amp;$X$2,Votaciones!$E$2:$E$341,"Público"))</x:f>
      </x:c>
      <x:c r="G56" s="67" t="str">
        <x:f>IF($A56="","",IFERROR((COUNTIFS(Votaciones!$B$2:$B$341,$M41,Votaciones!$A$2:$A$341,"&gt;="&amp;"D"&amp;TEXT(EDATE($E$22,-12),"yyyymmdd"),Votaciones!$A$2:$A$341,"&lt;="&amp;$X$2,Votaciones!$E$2:$E$341,"Público",Votaciones!$D$2:$D$341,"Disenso restrictivo")+COUNTIFS(Votaciones!$B$2:$B$341,$M41,Votaciones!$A$2:$A$341,"&gt;="&amp;"D"&amp;TEXT(EDATE($E$22,-12),"yyyymmdd"),Votaciones!$A$2:$A$341,"&lt;="&amp;$X$2,Votaciones!$E$2:$E$341,"Público",Votaciones!$D$2:$D$341,"Disenso acomodaticio"))/$F56,0))</x:f>
      </x:c>
      <x:c r="H56" s="67" t="str">
        <x:f>IF($A56="","",IFERROR(COUNTIFS(Votaciones!$B$2:$B$341,$M41,Votaciones!$A$2:$A$341,"&gt;="&amp;"D"&amp;TEXT(EDATE($E$22,-12),"yyyymmdd"),Votaciones!$A$2:$A$341,"&lt;="&amp;$X$2,Votaciones!$E$2:$E$341,"Público",Votaciones!$D$2:$D$341,"Disenso restrictivo")/$F56,0))</x:f>
      </x:c>
      <x:c r="I56" s="70" t="str">
        <x:f>IF($A56="","",IFERROR(COUNTIFS(Votaciones!$B$2:$B$341,$M41,Votaciones!$A$2:$A$341,"&gt;="&amp;"D"&amp;TEXT(EDATE($E$22,-12),"yyyymmdd"),Votaciones!$A$2:$A$341,"&lt;="&amp;$X$2,Votaciones!$E$2:$E$341,"Público",Votaciones!$D$2:$D$341,"Disenso acomodaticio")/$F56,0))</x:f>
      </x:c>
      <x:c r="Z56" t="str">
        <x:v>D20060224</x:v>
      </x:c>
      <x:c r="AA56" t="n">
        <x:v>38772</x:v>
      </x:c>
    </x:row>
    <x:row r="57" ht="22.950000762939453" customHeight="1">
      <x:c r="A57" s="61" t="str">
        <x:f>IF(OR($M42="",NOT(COUNTIFS(Participacion_Junta!$B$2:$B$341,$M42,Participacion_Junta!$A$2:$A$341,"&gt;="&amp;"D"&amp;TEXT(EDATE($E$22,-12),"yyyymmdd"),Participacion_Junta!$A$2:$A$341,"&lt;="&amp;$X$2,Participacion_Junta!$D$2:$D$341,"Presente")&gt;0)),"",$A42)</x:f>
      </x:c>
      <x:c r="B57" s="64" t="str">
        <x:f>IF($A57="","",COUNTIFS(Votaciones!$B$2:$B$341,$M42,Votaciones!$A$2:$A$341,"&lt;="&amp;$X$2,Votaciones!$E$2:$E$341,"Público"))</x:f>
      </x:c>
      <x:c r="C57" s="67" t="str">
        <x:f>IF($A57="","",IFERROR((COUNTIFS(Votaciones!$B$2:$B$341,$M42,Votaciones!$A$2:$A$341,"&lt;="&amp;$X$2,Votaciones!$E$2:$E$341,"Público",Votaciones!$D$2:$D$341,"Disenso restrictivo")+COUNTIFS(Votaciones!$B$2:$B$341,$M42,Votaciones!$A$2:$A$341,"&lt;="&amp;$X$2,Votaciones!$E$2:$E$341,"Público",Votaciones!$D$2:$D$341,"Disenso acomodaticio"))/$B57,0))</x:f>
      </x:c>
      <x:c r="D57" s="67" t="str">
        <x:f>IF($A57="","",IFERROR(COUNTIFS(Votaciones!$B$2:$B$341,$M42,Votaciones!$A$2:$A$341,"&lt;="&amp;$X$2,Votaciones!$E$2:$E$341,"Público",Votaciones!$D$2:$D$341,"Disenso restrictivo")/$B57,0))</x:f>
      </x:c>
      <x:c r="E57" s="67" t="str">
        <x:f>IF($A57="","",IFERROR(COUNTIFS(Votaciones!$B$2:$B$341,$M42,Votaciones!$A$2:$A$341,"&lt;="&amp;$X$2,Votaciones!$E$2:$E$341,"Público",Votaciones!$D$2:$D$341,"Disenso acomodaticio")/$B57,0))</x:f>
      </x:c>
      <x:c r="F57" s="64" t="str">
        <x:f>IF($A57="","",COUNTIFS(Votaciones!$B$2:$B$341,$M42,Votaciones!$A$2:$A$341,"&gt;="&amp;"D"&amp;TEXT(EDATE($E$22,-12),"yyyymmdd"),Votaciones!$A$2:$A$341,"&lt;="&amp;$X$2,Votaciones!$E$2:$E$341,"Público"))</x:f>
      </x:c>
      <x:c r="G57" s="67" t="str">
        <x:f>IF($A57="","",IFERROR((COUNTIFS(Votaciones!$B$2:$B$341,$M42,Votaciones!$A$2:$A$341,"&gt;="&amp;"D"&amp;TEXT(EDATE($E$22,-12),"yyyymmdd"),Votaciones!$A$2:$A$341,"&lt;="&amp;$X$2,Votaciones!$E$2:$E$341,"Público",Votaciones!$D$2:$D$341,"Disenso restrictivo")+COUNTIFS(Votaciones!$B$2:$B$341,$M42,Votaciones!$A$2:$A$341,"&gt;="&amp;"D"&amp;TEXT(EDATE($E$22,-12),"yyyymmdd"),Votaciones!$A$2:$A$341,"&lt;="&amp;$X$2,Votaciones!$E$2:$E$341,"Público",Votaciones!$D$2:$D$341,"Disenso acomodaticio"))/$F57,0))</x:f>
      </x:c>
      <x:c r="H57" s="67" t="str">
        <x:f>IF($A57="","",IFERROR(COUNTIFS(Votaciones!$B$2:$B$341,$M42,Votaciones!$A$2:$A$341,"&gt;="&amp;"D"&amp;TEXT(EDATE($E$22,-12),"yyyymmdd"),Votaciones!$A$2:$A$341,"&lt;="&amp;$X$2,Votaciones!$E$2:$E$341,"Público",Votaciones!$D$2:$D$341,"Disenso restrictivo")/$F57,0))</x:f>
      </x:c>
      <x:c r="I57" s="70" t="str">
        <x:f>IF($A57="","",IFERROR(COUNTIFS(Votaciones!$B$2:$B$341,$M42,Votaciones!$A$2:$A$341,"&gt;="&amp;"D"&amp;TEXT(EDATE($E$22,-12),"yyyymmdd"),Votaciones!$A$2:$A$341,"&lt;="&amp;$X$2,Votaciones!$E$2:$E$341,"Público",Votaciones!$D$2:$D$341,"Disenso acomodaticio")/$F57,0))</x:f>
      </x:c>
      <x:c r="Z57" t="str">
        <x:v>D20060324</x:v>
      </x:c>
      <x:c r="AA57" t="n">
        <x:v>38800</x:v>
      </x:c>
    </x:row>
    <x:row r="58" ht="22.950000762939453" customHeight="1">
      <x:c r="A58" s="61" t="str">
        <x:f>IF(OR($M43="",NOT(COUNTIFS(Participacion_Junta!$B$2:$B$341,$M43,Participacion_Junta!$A$2:$A$341,"&gt;="&amp;"D"&amp;TEXT(EDATE($E$22,-12),"yyyymmdd"),Participacion_Junta!$A$2:$A$341,"&lt;="&amp;$X$2,Participacion_Junta!$D$2:$D$341,"Presente")&gt;0)),"",$A43)</x:f>
      </x:c>
      <x:c r="B58" s="64" t="str">
        <x:f>IF($A58="","",COUNTIFS(Votaciones!$B$2:$B$341,$M43,Votaciones!$A$2:$A$341,"&lt;="&amp;$X$2,Votaciones!$E$2:$E$341,"Público"))</x:f>
      </x:c>
      <x:c r="C58" s="67" t="str">
        <x:f>IF($A58="","",IFERROR((COUNTIFS(Votaciones!$B$2:$B$341,$M43,Votaciones!$A$2:$A$341,"&lt;="&amp;$X$2,Votaciones!$E$2:$E$341,"Público",Votaciones!$D$2:$D$341,"Disenso restrictivo")+COUNTIFS(Votaciones!$B$2:$B$341,$M43,Votaciones!$A$2:$A$341,"&lt;="&amp;$X$2,Votaciones!$E$2:$E$341,"Público",Votaciones!$D$2:$D$341,"Disenso acomodaticio"))/$B58,0))</x:f>
      </x:c>
      <x:c r="D58" s="67" t="str">
        <x:f>IF($A58="","",IFERROR(COUNTIFS(Votaciones!$B$2:$B$341,$M43,Votaciones!$A$2:$A$341,"&lt;="&amp;$X$2,Votaciones!$E$2:$E$341,"Público",Votaciones!$D$2:$D$341,"Disenso restrictivo")/$B58,0))</x:f>
      </x:c>
      <x:c r="E58" s="67" t="str">
        <x:f>IF($A58="","",IFERROR(COUNTIFS(Votaciones!$B$2:$B$341,$M43,Votaciones!$A$2:$A$341,"&lt;="&amp;$X$2,Votaciones!$E$2:$E$341,"Público",Votaciones!$D$2:$D$341,"Disenso acomodaticio")/$B58,0))</x:f>
      </x:c>
      <x:c r="F58" s="64" t="str">
        <x:f>IF($A58="","",COUNTIFS(Votaciones!$B$2:$B$341,$M43,Votaciones!$A$2:$A$341,"&gt;="&amp;"D"&amp;TEXT(EDATE($E$22,-12),"yyyymmdd"),Votaciones!$A$2:$A$341,"&lt;="&amp;$X$2,Votaciones!$E$2:$E$341,"Público"))</x:f>
      </x:c>
      <x:c r="G58" s="67" t="str">
        <x:f>IF($A58="","",IFERROR((COUNTIFS(Votaciones!$B$2:$B$341,$M43,Votaciones!$A$2:$A$341,"&gt;="&amp;"D"&amp;TEXT(EDATE($E$22,-12),"yyyymmdd"),Votaciones!$A$2:$A$341,"&lt;="&amp;$X$2,Votaciones!$E$2:$E$341,"Público",Votaciones!$D$2:$D$341,"Disenso restrictivo")+COUNTIFS(Votaciones!$B$2:$B$341,$M43,Votaciones!$A$2:$A$341,"&gt;="&amp;"D"&amp;TEXT(EDATE($E$22,-12),"yyyymmdd"),Votaciones!$A$2:$A$341,"&lt;="&amp;$X$2,Votaciones!$E$2:$E$341,"Público",Votaciones!$D$2:$D$341,"Disenso acomodaticio"))/$F58,0))</x:f>
      </x:c>
      <x:c r="H58" s="67" t="str">
        <x:f>IF($A58="","",IFERROR(COUNTIFS(Votaciones!$B$2:$B$341,$M43,Votaciones!$A$2:$A$341,"&gt;="&amp;"D"&amp;TEXT(EDATE($E$22,-12),"yyyymmdd"),Votaciones!$A$2:$A$341,"&lt;="&amp;$X$2,Votaciones!$E$2:$E$341,"Público",Votaciones!$D$2:$D$341,"Disenso restrictivo")/$F58,0))</x:f>
      </x:c>
      <x:c r="I58" s="70" t="str">
        <x:f>IF($A58="","",IFERROR(COUNTIFS(Votaciones!$B$2:$B$341,$M43,Votaciones!$A$2:$A$341,"&gt;="&amp;"D"&amp;TEXT(EDATE($E$22,-12),"yyyymmdd"),Votaciones!$A$2:$A$341,"&lt;="&amp;$X$2,Votaciones!$E$2:$E$341,"Público",Votaciones!$D$2:$D$341,"Disenso acomodaticio")/$F58,0))</x:f>
      </x:c>
      <x:c r="Z58" t="str">
        <x:v>D20060421</x:v>
      </x:c>
      <x:c r="AA58" t="n">
        <x:v>38828</x:v>
      </x:c>
    </x:row>
    <x:row r="59" ht="22.950000762939453" customHeight="1">
      <x:c r="A59" s="62" t="str">
        <x:f>IF(OR($M44="",NOT(COUNTIFS(Participacion_Junta!$B$2:$B$341,$M44,Participacion_Junta!$A$2:$A$341,"&gt;="&amp;"D"&amp;TEXT(EDATE($E$22,-12),"yyyymmdd"),Participacion_Junta!$A$2:$A$341,"&lt;="&amp;$X$2,Participacion_Junta!$D$2:$D$341,"Presente")&gt;0)),"",$A44)</x:f>
      </x:c>
      <x:c r="B59" s="65" t="str">
        <x:f>IF($A59="","",COUNTIFS(Votaciones!$B$2:$B$341,$M44,Votaciones!$A$2:$A$341,"&lt;="&amp;$X$2,Votaciones!$E$2:$E$341,"Público"))</x:f>
      </x:c>
      <x:c r="C59" s="68" t="str">
        <x:f>IF($A59="","",IFERROR((COUNTIFS(Votaciones!$B$2:$B$341,$M44,Votaciones!$A$2:$A$341,"&lt;="&amp;$X$2,Votaciones!$E$2:$E$341,"Público",Votaciones!$D$2:$D$341,"Disenso restrictivo")+COUNTIFS(Votaciones!$B$2:$B$341,$M44,Votaciones!$A$2:$A$341,"&lt;="&amp;$X$2,Votaciones!$E$2:$E$341,"Público",Votaciones!$D$2:$D$341,"Disenso acomodaticio"))/$B59,0))</x:f>
      </x:c>
      <x:c r="D59" s="68" t="str">
        <x:f>IF($A59="","",IFERROR(COUNTIFS(Votaciones!$B$2:$B$341,$M44,Votaciones!$A$2:$A$341,"&lt;="&amp;$X$2,Votaciones!$E$2:$E$341,"Público",Votaciones!$D$2:$D$341,"Disenso restrictivo")/$B59,0))</x:f>
      </x:c>
      <x:c r="E59" s="68" t="str">
        <x:f>IF($A59="","",IFERROR(COUNTIFS(Votaciones!$B$2:$B$341,$M44,Votaciones!$A$2:$A$341,"&lt;="&amp;$X$2,Votaciones!$E$2:$E$341,"Público",Votaciones!$D$2:$D$341,"Disenso acomodaticio")/$B59,0))</x:f>
      </x:c>
      <x:c r="F59" s="65" t="str">
        <x:f>IF($A59="","",COUNTIFS(Votaciones!$B$2:$B$341,$M44,Votaciones!$A$2:$A$341,"&gt;="&amp;"D"&amp;TEXT(EDATE($E$22,-12),"yyyymmdd"),Votaciones!$A$2:$A$341,"&lt;="&amp;$X$2,Votaciones!$E$2:$E$341,"Público"))</x:f>
      </x:c>
      <x:c r="G59" s="68" t="str">
        <x:f>IF($A59="","",IFERROR((COUNTIFS(Votaciones!$B$2:$B$341,$M44,Votaciones!$A$2:$A$341,"&gt;="&amp;"D"&amp;TEXT(EDATE($E$22,-12),"yyyymmdd"),Votaciones!$A$2:$A$341,"&lt;="&amp;$X$2,Votaciones!$E$2:$E$341,"Público",Votaciones!$D$2:$D$341,"Disenso restrictivo")+COUNTIFS(Votaciones!$B$2:$B$341,$M44,Votaciones!$A$2:$A$341,"&gt;="&amp;"D"&amp;TEXT(EDATE($E$22,-12),"yyyymmdd"),Votaciones!$A$2:$A$341,"&lt;="&amp;$X$2,Votaciones!$E$2:$E$341,"Público",Votaciones!$D$2:$D$341,"Disenso acomodaticio"))/$F59,0))</x:f>
      </x:c>
      <x:c r="H59" s="68" t="str">
        <x:f>IF($A59="","",IFERROR(COUNTIFS(Votaciones!$B$2:$B$341,$M44,Votaciones!$A$2:$A$341,"&gt;="&amp;"D"&amp;TEXT(EDATE($E$22,-12),"yyyymmdd"),Votaciones!$A$2:$A$341,"&lt;="&amp;$X$2,Votaciones!$E$2:$E$341,"Público",Votaciones!$D$2:$D$341,"Disenso restrictivo")/$F59,0))</x:f>
      </x:c>
      <x:c r="I59" s="71" t="str">
        <x:f>IF($A59="","",IFERROR(COUNTIFS(Votaciones!$B$2:$B$341,$M44,Votaciones!$A$2:$A$341,"&gt;="&amp;"D"&amp;TEXT(EDATE($E$22,-12),"yyyymmdd"),Votaciones!$A$2:$A$341,"&lt;="&amp;$X$2,Votaciones!$E$2:$E$341,"Público",Votaciones!$D$2:$D$341,"Disenso acomodaticio")/$F59,0))</x:f>
      </x:c>
      <x:c r="Z59" t="str">
        <x:v>D20060526</x:v>
      </x:c>
      <x:c r="AA59" t="n">
        <x:v>38863</x:v>
      </x:c>
    </x:row>
    <x:row r="60">
      <x:c r="Z60" t="str">
        <x:v>D20060623</x:v>
      </x:c>
      <x:c r="AA60" t="n">
        <x:v>38891</x:v>
      </x:c>
    </x:row>
    <x:row r="61">
      <x:c r="Z61" t="str">
        <x:v>D20060728</x:v>
      </x:c>
      <x:c r="AA61" t="n">
        <x:v>38926</x:v>
      </x:c>
    </x:row>
    <x:row r="62">
      <x:c r="Z62" t="str">
        <x:v>D20060825</x:v>
      </x:c>
      <x:c r="AA62" t="n">
        <x:v>38954</x:v>
      </x:c>
    </x:row>
    <x:row r="63">
      <x:c r="Z63" t="str">
        <x:v>D20060922</x:v>
      </x:c>
      <x:c r="AA63" t="n">
        <x:v>38982</x:v>
      </x:c>
    </x:row>
    <x:row r="64">
      <x:c r="Z64" t="str">
        <x:v>D20061027</x:v>
      </x:c>
      <x:c r="AA64" t="n">
        <x:v>39017</x:v>
      </x:c>
    </x:row>
    <x:row r="65">
      <x:c r="Z65" t="str">
        <x:v>D20061124</x:v>
      </x:c>
      <x:c r="AA65" t="n">
        <x:v>39045</x:v>
      </x:c>
    </x:row>
    <x:row r="66">
      <x:c r="Z66" t="str">
        <x:v>D20061208</x:v>
      </x:c>
      <x:c r="AA66" t="n">
        <x:v>39059</x:v>
      </x:c>
    </x:row>
    <x:row r="67">
      <x:c r="Z67" t="str">
        <x:v>D20070126</x:v>
      </x:c>
      <x:c r="AA67" t="n">
        <x:v>39108</x:v>
      </x:c>
    </x:row>
    <x:row r="68">
      <x:c r="Z68" t="str">
        <x:v>D20070223</x:v>
      </x:c>
      <x:c r="AA68" t="n">
        <x:v>39136</x:v>
      </x:c>
    </x:row>
    <x:row r="69">
      <x:c r="Z69" t="str">
        <x:v>D20070323</x:v>
      </x:c>
      <x:c r="AA69" t="n">
        <x:v>39164</x:v>
      </x:c>
    </x:row>
    <x:row r="70">
      <x:c r="Z70" t="str">
        <x:v>D20070427</x:v>
      </x:c>
      <x:c r="AA70" t="n">
        <x:v>39199</x:v>
      </x:c>
    </x:row>
    <x:row r="71">
      <x:c r="Z71" t="str">
        <x:v>D20070525</x:v>
      </x:c>
      <x:c r="AA71" t="n">
        <x:v>39227</x:v>
      </x:c>
    </x:row>
    <x:row r="72">
      <x:c r="Z72" t="str">
        <x:v>D20070622</x:v>
      </x:c>
      <x:c r="AA72" t="n">
        <x:v>39255</x:v>
      </x:c>
    </x:row>
    <x:row r="73">
      <x:c r="Z73" t="str">
        <x:v>D20070727</x:v>
      </x:c>
      <x:c r="AA73" t="n">
        <x:v>39290</x:v>
      </x:c>
    </x:row>
    <x:row r="74">
      <x:c r="Z74" t="str">
        <x:v>D20070824</x:v>
      </x:c>
      <x:c r="AA74" t="n">
        <x:v>39318</x:v>
      </x:c>
    </x:row>
    <x:row r="75">
      <x:c r="Z75" t="str">
        <x:v>D20070921</x:v>
      </x:c>
      <x:c r="AA75" t="n">
        <x:v>39346</x:v>
      </x:c>
    </x:row>
    <x:row r="76">
      <x:c r="Z76" t="str">
        <x:v>D20071026</x:v>
      </x:c>
      <x:c r="AA76" t="n">
        <x:v>39381</x:v>
      </x:c>
    </x:row>
    <x:row r="77">
      <x:c r="Z77" t="str">
        <x:v>D20071123</x:v>
      </x:c>
      <x:c r="AA77" t="n">
        <x:v>39409</x:v>
      </x:c>
    </x:row>
    <x:row r="78">
      <x:c r="Z78" t="str">
        <x:v>D20071207</x:v>
      </x:c>
      <x:c r="AA78" t="n">
        <x:v>39423</x:v>
      </x:c>
    </x:row>
    <x:row r="79">
      <x:c r="Z79" t="str">
        <x:v>D20080118</x:v>
      </x:c>
      <x:c r="AA79" t="n">
        <x:v>39465</x:v>
      </x:c>
    </x:row>
    <x:row r="80">
      <x:c r="A80" s="50" t="s">
        <x:v>871</x:v>
      </x:c>
      <x:c r="B80" s="50" t="s">
        <x:v>177</x:v>
      </x:c>
      <x:c r="C80" s="50" t="s">
        <x:v>893</x:v>
      </x:c>
      <x:c r="Z80" t="str">
        <x:v>D20080215</x:v>
      </x:c>
      <x:c r="AA80" t="n">
        <x:v>39493</x:v>
      </x:c>
    </x:row>
    <x:row r="81">
      <x:c r="A81" s="51" t="str">
        <x:f>TEXT(Decisiones!B80,"yyyy-mm")</x:f>
        <x:v>2008-02</x:v>
      </x:c>
      <x:c r="B81" s="52" t="n">
        <x:f>Decisiones!H80</x:f>
        <x:v>7.5</x:v>
      </x:c>
      <x:c r="C81" s="53" t="n">
        <x:f>IF(Decisiones!K80="",0,Decisiones!K80)</x:f>
        <x:v>0</x:v>
      </x:c>
      <x:c r="Z81" t="str">
        <x:v>D20080314</x:v>
      </x:c>
      <x:c r="AA81" t="n">
        <x:v>39521</x:v>
      </x:c>
    </x:row>
    <x:row r="82">
      <x:c r="A82" s="51" t="str">
        <x:f>TEXT(Decisiones!B81,"yyyy-mm")</x:f>
        <x:v>2008-03</x:v>
      </x:c>
      <x:c r="B82" s="52" t="n">
        <x:f>Decisiones!H81</x:f>
        <x:v>7.5</x:v>
      </x:c>
      <x:c r="C82" s="53" t="n">
        <x:f>IF(Decisiones!K81="",0,Decisiones!K81)</x:f>
        <x:v>0</x:v>
      </x:c>
      <x:c r="Z82" t="str">
        <x:v>D20080418</x:v>
      </x:c>
      <x:c r="AA82" t="n">
        <x:v>39556</x:v>
      </x:c>
    </x:row>
    <x:row r="83">
      <x:c r="A83" s="51" t="str">
        <x:f>TEXT(Decisiones!B82,"yyyy-mm")</x:f>
        <x:v>2008-04</x:v>
      </x:c>
      <x:c r="B83" s="52" t="n">
        <x:f>Decisiones!H82</x:f>
        <x:v>7.5</x:v>
      </x:c>
      <x:c r="C83" s="53" t="n">
        <x:f>IF(Decisiones!K82="",0,Decisiones!K82)</x:f>
        <x:v>0</x:v>
      </x:c>
      <x:c r="Z83" t="str">
        <x:v>D20080516</x:v>
      </x:c>
      <x:c r="AA83" t="n">
        <x:v>39584</x:v>
      </x:c>
    </x:row>
    <x:row r="84">
      <x:c r="A84" s="51" t="str">
        <x:f>TEXT(Decisiones!B83,"yyyy-mm")</x:f>
        <x:v>2008-05</x:v>
      </x:c>
      <x:c r="B84" s="52" t="n">
        <x:f>Decisiones!H83</x:f>
        <x:v>7.5</x:v>
      </x:c>
      <x:c r="C84" s="53" t="n">
        <x:f>IF(Decisiones!K83="",0,Decisiones!K83)</x:f>
        <x:v>0</x:v>
      </x:c>
      <x:c r="Z84" t="str">
        <x:v>D20080620</x:v>
      </x:c>
      <x:c r="AA84" t="n">
        <x:v>39619</x:v>
      </x:c>
    </x:row>
    <x:row r="85">
      <x:c r="A85" s="51" t="str">
        <x:f>TEXT(Decisiones!B84,"yyyy-mm")</x:f>
        <x:v>2008-06</x:v>
      </x:c>
      <x:c r="B85" s="52" t="n">
        <x:f>Decisiones!H84</x:f>
        <x:v>7.75</x:v>
      </x:c>
      <x:c r="C85" s="53" t="n">
        <x:f>IF(Decisiones!K84="",0,Decisiones!K84)</x:f>
        <x:v>0</x:v>
      </x:c>
      <x:c r="Z85" t="str">
        <x:v>D20080718</x:v>
      </x:c>
      <x:c r="AA85" t="n">
        <x:v>39647</x:v>
      </x:c>
    </x:row>
    <x:row r="86">
      <x:c r="A86" s="51" t="str">
        <x:f>TEXT(Decisiones!B85,"yyyy-mm")</x:f>
        <x:v>2008-07</x:v>
      </x:c>
      <x:c r="B86" s="52" t="n">
        <x:f>Decisiones!H85</x:f>
        <x:v>8</x:v>
      </x:c>
      <x:c r="C86" s="53" t="n">
        <x:f>IF(Decisiones!K85="",0,Decisiones!K85)</x:f>
        <x:v>0</x:v>
      </x:c>
      <x:c r="Z86" t="str">
        <x:v>D20080815</x:v>
      </x:c>
      <x:c r="AA86" t="n">
        <x:v>39675</x:v>
      </x:c>
    </x:row>
    <x:row r="87">
      <x:c r="A87" s="51" t="str">
        <x:f>TEXT(Decisiones!B86,"yyyy-mm")</x:f>
        <x:v>2008-08</x:v>
      </x:c>
      <x:c r="B87" s="52" t="n">
        <x:f>Decisiones!H86</x:f>
        <x:v>8.25</x:v>
      </x:c>
      <x:c r="C87" s="53" t="n">
        <x:f>IF(Decisiones!K86="",0,Decisiones!K86)</x:f>
        <x:v>0</x:v>
      </x:c>
      <x:c r="Z87" t="str">
        <x:v>D20080919</x:v>
      </x:c>
      <x:c r="AA87" t="n">
        <x:v>39710</x:v>
      </x:c>
    </x:row>
    <x:row r="88">
      <x:c r="A88" s="51" t="str">
        <x:f>TEXT(Decisiones!B87,"yyyy-mm")</x:f>
        <x:v>2008-09</x:v>
      </x:c>
      <x:c r="B88" s="52" t="n">
        <x:f>Decisiones!H87</x:f>
        <x:v>8.25</x:v>
      </x:c>
      <x:c r="C88" s="53" t="n">
        <x:f>IF(Decisiones!K87="",0,Decisiones!K87)</x:f>
        <x:v>0</x:v>
      </x:c>
      <x:c r="Z88" t="str">
        <x:v>D20081017</x:v>
      </x:c>
      <x:c r="AA88" t="n">
        <x:v>39738</x:v>
      </x:c>
    </x:row>
    <x:row r="89">
      <x:c r="A89" s="51" t="str">
        <x:f>TEXT(Decisiones!B88,"yyyy-mm")</x:f>
        <x:v>2008-10</x:v>
      </x:c>
      <x:c r="B89" s="52" t="n">
        <x:f>Decisiones!H88</x:f>
        <x:v>8.25</x:v>
      </x:c>
      <x:c r="C89" s="53" t="n">
        <x:f>IF(Decisiones!K88="",0,Decisiones!K88)</x:f>
        <x:v>0</x:v>
      </x:c>
      <x:c r="Z89" t="str">
        <x:v>D20081128</x:v>
      </x:c>
      <x:c r="AA89" t="n">
        <x:v>39780</x:v>
      </x:c>
    </x:row>
    <x:row r="90">
      <x:c r="A90" s="51" t="str">
        <x:f>TEXT(Decisiones!B89,"yyyy-mm")</x:f>
        <x:v>2008-11</x:v>
      </x:c>
      <x:c r="B90" s="52" t="n">
        <x:f>Decisiones!H89</x:f>
        <x:v>8.25</x:v>
      </x:c>
      <x:c r="C90" s="53" t="n">
        <x:f>IF(Decisiones!K89="",0,Decisiones!K89)</x:f>
        <x:v>0</x:v>
      </x:c>
      <x:c r="Z90" t="str">
        <x:v>D20090116</x:v>
      </x:c>
      <x:c r="AA90" t="n">
        <x:v>39829</x:v>
      </x:c>
    </x:row>
    <x:row r="91">
      <x:c r="A91" s="51" t="str">
        <x:f>TEXT(Decisiones!B90,"yyyy-mm")</x:f>
        <x:v>2009-01</x:v>
      </x:c>
      <x:c r="B91" s="52" t="n">
        <x:f>Decisiones!H90</x:f>
        <x:v>7.75</x:v>
      </x:c>
      <x:c r="C91" s="53" t="n">
        <x:f>IF(Decisiones!K90="",0,Decisiones!K90)</x:f>
        <x:v>0</x:v>
      </x:c>
      <x:c r="Z91" t="str">
        <x:v>D20090220</x:v>
      </x:c>
      <x:c r="AA91" t="n">
        <x:v>39864</x:v>
      </x:c>
    </x:row>
    <x:row r="92">
      <x:c r="A92" s="51" t="str">
        <x:f>TEXT(Decisiones!B91,"yyyy-mm")</x:f>
        <x:v>2009-02</x:v>
      </x:c>
      <x:c r="B92" s="52" t="n">
        <x:f>Decisiones!H91</x:f>
        <x:v>7.5</x:v>
      </x:c>
      <x:c r="C92" s="53" t="n">
        <x:f>IF(Decisiones!K91="",0,Decisiones!K91)</x:f>
        <x:v>0</x:v>
      </x:c>
      <x:c r="Z92" t="str">
        <x:v>D20090320</x:v>
      </x:c>
      <x:c r="AA92" t="n">
        <x:v>39892</x:v>
      </x:c>
    </x:row>
    <x:row r="93">
      <x:c r="A93" s="51" t="str">
        <x:f>TEXT(Decisiones!B92,"yyyy-mm")</x:f>
        <x:v>2009-03</x:v>
      </x:c>
      <x:c r="B93" s="52" t="n">
        <x:f>Decisiones!H92</x:f>
        <x:v>6.75</x:v>
      </x:c>
      <x:c r="C93" s="53" t="n">
        <x:f>IF(Decisiones!K92="",0,Decisiones!K92)</x:f>
        <x:v>0</x:v>
      </x:c>
      <x:c r="Z93" t="str">
        <x:v>D20090417</x:v>
      </x:c>
      <x:c r="AA93" t="n">
        <x:v>39920</x:v>
      </x:c>
    </x:row>
    <x:row r="94">
      <x:c r="A94" s="51" t="str">
        <x:f>TEXT(Decisiones!B93,"yyyy-mm")</x:f>
        <x:v>2009-04</x:v>
      </x:c>
      <x:c r="B94" s="52" t="n">
        <x:f>Decisiones!H93</x:f>
        <x:v>6</x:v>
      </x:c>
      <x:c r="C94" s="53" t="n">
        <x:f>IF(Decisiones!K93="",0,Decisiones!K93)</x:f>
        <x:v>0</x:v>
      </x:c>
      <x:c r="Z94" t="str">
        <x:v>D20090515</x:v>
      </x:c>
      <x:c r="AA94" t="n">
        <x:v>39948</x:v>
      </x:c>
    </x:row>
    <x:row r="95">
      <x:c r="A95" s="51" t="str">
        <x:f>TEXT(Decisiones!B94,"yyyy-mm")</x:f>
        <x:v>2009-05</x:v>
      </x:c>
      <x:c r="B95" s="52" t="n">
        <x:f>Decisiones!H94</x:f>
        <x:v>5.25</x:v>
      </x:c>
      <x:c r="C95" s="53" t="n">
        <x:f>IF(Decisiones!K94="",0,Decisiones!K94)</x:f>
        <x:v>0</x:v>
      </x:c>
      <x:c r="Z95" t="str">
        <x:v>D20090619</x:v>
      </x:c>
      <x:c r="AA95" t="n">
        <x:v>39983</x:v>
      </x:c>
    </x:row>
    <x:row r="96">
      <x:c r="A96" s="51" t="str">
        <x:f>TEXT(Decisiones!B95,"yyyy-mm")</x:f>
        <x:v>2009-06</x:v>
      </x:c>
      <x:c r="B96" s="52" t="n">
        <x:f>Decisiones!H95</x:f>
        <x:v>4.75</x:v>
      </x:c>
      <x:c r="C96" s="53" t="n">
        <x:f>IF(Decisiones!K95="",0,Decisiones!K95)</x:f>
        <x:v>0</x:v>
      </x:c>
      <x:c r="Z96" t="str">
        <x:v>D20090717</x:v>
      </x:c>
      <x:c r="AA96" t="n">
        <x:v>40011</x:v>
      </x:c>
    </x:row>
    <x:row r="97">
      <x:c r="A97" s="51" t="str">
        <x:f>TEXT(Decisiones!B96,"yyyy-mm")</x:f>
        <x:v>2009-07</x:v>
      </x:c>
      <x:c r="B97" s="52" t="n">
        <x:f>Decisiones!H96</x:f>
        <x:v>4.5</x:v>
      </x:c>
      <x:c r="C97" s="53" t="n">
        <x:f>IF(Decisiones!K96="",0,Decisiones!K96)</x:f>
        <x:v>0</x:v>
      </x:c>
      <x:c r="Z97" t="str">
        <x:v>D20090821</x:v>
      </x:c>
      <x:c r="AA97" t="n">
        <x:v>40046</x:v>
      </x:c>
    </x:row>
    <x:row r="98">
      <x:c r="A98" s="51" t="str">
        <x:f>TEXT(Decisiones!B97,"yyyy-mm")</x:f>
        <x:v>2009-08</x:v>
      </x:c>
      <x:c r="B98" s="52" t="n">
        <x:f>Decisiones!H97</x:f>
        <x:v>4.5</x:v>
      </x:c>
      <x:c r="C98" s="53" t="n">
        <x:f>IF(Decisiones!K97="",0,Decisiones!K97)</x:f>
        <x:v>0</x:v>
      </x:c>
      <x:c r="Z98" t="str">
        <x:v>D20090918</x:v>
      </x:c>
      <x:c r="AA98" t="n">
        <x:v>40074</x:v>
      </x:c>
    </x:row>
    <x:row r="99">
      <x:c r="A99" s="51" t="str">
        <x:f>TEXT(Decisiones!B98,"yyyy-mm")</x:f>
        <x:v>2009-09</x:v>
      </x:c>
      <x:c r="B99" s="52" t="n">
        <x:f>Decisiones!H98</x:f>
        <x:v>4.5</x:v>
      </x:c>
      <x:c r="C99" s="53" t="n">
        <x:f>IF(Decisiones!K98="",0,Decisiones!K98)</x:f>
        <x:v>0</x:v>
      </x:c>
      <x:c r="Z99" t="str">
        <x:v>D20091016</x:v>
      </x:c>
      <x:c r="AA99" t="n">
        <x:v>40102</x:v>
      </x:c>
    </x:row>
    <x:row r="100">
      <x:c r="A100" s="51" t="str">
        <x:f>TEXT(Decisiones!B99,"yyyy-mm")</x:f>
        <x:v>2009-10</x:v>
      </x:c>
      <x:c r="B100" s="52" t="n">
        <x:f>Decisiones!H99</x:f>
        <x:v>4.5</x:v>
      </x:c>
      <x:c r="C100" s="53" t="n">
        <x:f>IF(Decisiones!K99="",0,Decisiones!K99)</x:f>
        <x:v>0</x:v>
      </x:c>
      <x:c r="Z100" t="str">
        <x:v>D20091127</x:v>
      </x:c>
      <x:c r="AA100" t="n">
        <x:v>40144</x:v>
      </x:c>
    </x:row>
    <x:row r="101">
      <x:c r="A101" s="51" t="str">
        <x:f>TEXT(Decisiones!B100,"yyyy-mm")</x:f>
        <x:v>2009-11</x:v>
      </x:c>
      <x:c r="B101" s="52" t="n">
        <x:f>Decisiones!H100</x:f>
        <x:v>4.5</x:v>
      </x:c>
      <x:c r="C101" s="53" t="n">
        <x:f>IF(Decisiones!K100="",0,Decisiones!K100)</x:f>
        <x:v>0</x:v>
      </x:c>
      <x:c r="Z101" t="str">
        <x:v>D20100115</x:v>
      </x:c>
      <x:c r="AA101" t="n">
        <x:v>40193</x:v>
      </x:c>
    </x:row>
    <x:row r="102">
      <x:c r="A102" s="51" t="str">
        <x:f>TEXT(Decisiones!B101,"yyyy-mm")</x:f>
        <x:v>2010-01</x:v>
      </x:c>
      <x:c r="B102" s="52" t="n">
        <x:f>Decisiones!H101</x:f>
        <x:v>4.5</x:v>
      </x:c>
      <x:c r="C102" s="53" t="n">
        <x:f>IF(Decisiones!K101="",0,Decisiones!K101)</x:f>
        <x:v>0</x:v>
      </x:c>
      <x:c r="Z102" t="str">
        <x:v>D20100219</x:v>
      </x:c>
      <x:c r="AA102" t="n">
        <x:v>40228</x:v>
      </x:c>
    </x:row>
    <x:row r="103">
      <x:c r="A103" s="51" t="str">
        <x:f>TEXT(Decisiones!B102,"yyyy-mm")</x:f>
        <x:v>2010-02</x:v>
      </x:c>
      <x:c r="B103" s="52" t="n">
        <x:f>Decisiones!H102</x:f>
        <x:v>4.5</x:v>
      </x:c>
      <x:c r="C103" s="53" t="n">
        <x:f>IF(Decisiones!K102="",0,Decisiones!K102)</x:f>
        <x:v>0</x:v>
      </x:c>
      <x:c r="Z103" t="str">
        <x:v>D20100319</x:v>
      </x:c>
      <x:c r="AA103" t="n">
        <x:v>40256</x:v>
      </x:c>
    </x:row>
    <x:row r="104">
      <x:c r="A104" s="51" t="str">
        <x:f>TEXT(Decisiones!B103,"yyyy-mm")</x:f>
        <x:v>2010-03</x:v>
      </x:c>
      <x:c r="B104" s="52" t="n">
        <x:f>Decisiones!H103</x:f>
        <x:v>4.5</x:v>
      </x:c>
      <x:c r="C104" s="53" t="n">
        <x:f>IF(Decisiones!K103="",0,Decisiones!K103)</x:f>
        <x:v>0</x:v>
      </x:c>
      <x:c r="Z104" t="str">
        <x:v>D20100416</x:v>
      </x:c>
      <x:c r="AA104" t="n">
        <x:v>40284</x:v>
      </x:c>
    </x:row>
    <x:row r="105">
      <x:c r="A105" s="51" t="str">
        <x:f>TEXT(Decisiones!B104,"yyyy-mm")</x:f>
        <x:v>2010-04</x:v>
      </x:c>
      <x:c r="B105" s="52" t="n">
        <x:f>Decisiones!H104</x:f>
        <x:v>4.5</x:v>
      </x:c>
      <x:c r="C105" s="53" t="n">
        <x:f>IF(Decisiones!K104="",0,Decisiones!K104)</x:f>
        <x:v>0</x:v>
      </x:c>
      <x:c r="Z105" t="str">
        <x:v>D20100521</x:v>
      </x:c>
      <x:c r="AA105" t="n">
        <x:v>40319</x:v>
      </x:c>
    </x:row>
    <x:row r="106">
      <x:c r="A106" s="51" t="str">
        <x:f>TEXT(Decisiones!B105,"yyyy-mm")</x:f>
        <x:v>2010-05</x:v>
      </x:c>
      <x:c r="B106" s="52" t="n">
        <x:f>Decisiones!H105</x:f>
        <x:v>4.5</x:v>
      </x:c>
      <x:c r="C106" s="53" t="n">
        <x:f>IF(Decisiones!K105="",0,Decisiones!K105)</x:f>
        <x:v>0</x:v>
      </x:c>
      <x:c r="Z106" t="str">
        <x:v>D20100618</x:v>
      </x:c>
      <x:c r="AA106" t="n">
        <x:v>40347</x:v>
      </x:c>
    </x:row>
    <x:row r="107">
      <x:c r="A107" s="51" t="str">
        <x:f>TEXT(Decisiones!B106,"yyyy-mm")</x:f>
        <x:v>2010-06</x:v>
      </x:c>
      <x:c r="B107" s="52" t="n">
        <x:f>Decisiones!H106</x:f>
        <x:v>4.5</x:v>
      </x:c>
      <x:c r="C107" s="53" t="n">
        <x:f>IF(Decisiones!K106="",0,Decisiones!K106)</x:f>
        <x:v>0</x:v>
      </x:c>
      <x:c r="Z107" t="str">
        <x:v>D20100716</x:v>
      </x:c>
      <x:c r="AA107" t="n">
        <x:v>40375</x:v>
      </x:c>
    </x:row>
    <x:row r="108">
      <x:c r="A108" s="51" t="str">
        <x:f>TEXT(Decisiones!B107,"yyyy-mm")</x:f>
        <x:v>2010-07</x:v>
      </x:c>
      <x:c r="B108" s="52" t="n">
        <x:f>Decisiones!H107</x:f>
        <x:v>4.5</x:v>
      </x:c>
      <x:c r="C108" s="53" t="n">
        <x:f>IF(Decisiones!K107="",0,Decisiones!K107)</x:f>
        <x:v>0</x:v>
      </x:c>
      <x:c r="Z108" t="str">
        <x:v>D20100820</x:v>
      </x:c>
      <x:c r="AA108" t="n">
        <x:v>40410</x:v>
      </x:c>
    </x:row>
    <x:row r="109">
      <x:c r="A109" s="51" t="str">
        <x:f>TEXT(Decisiones!B108,"yyyy-mm")</x:f>
        <x:v>2010-08</x:v>
      </x:c>
      <x:c r="B109" s="52" t="n">
        <x:f>Decisiones!H108</x:f>
        <x:v>4.5</x:v>
      </x:c>
      <x:c r="C109" s="53" t="n">
        <x:f>IF(Decisiones!K108="",0,Decisiones!K108)</x:f>
        <x:v>0</x:v>
      </x:c>
      <x:c r="Z109" t="str">
        <x:v>D20100924</x:v>
      </x:c>
      <x:c r="AA109" t="n">
        <x:v>40445</x:v>
      </x:c>
    </x:row>
    <x:row r="110">
      <x:c r="A110" s="51" t="str">
        <x:f>TEXT(Decisiones!B109,"yyyy-mm")</x:f>
        <x:v>2010-09</x:v>
      </x:c>
      <x:c r="B110" s="52" t="n">
        <x:f>Decisiones!H109</x:f>
        <x:v>4.5</x:v>
      </x:c>
      <x:c r="C110" s="53" t="n">
        <x:f>IF(Decisiones!K109="",0,Decisiones!K109)</x:f>
        <x:v>0</x:v>
      </x:c>
      <x:c r="Z110" t="str">
        <x:v>D20101015</x:v>
      </x:c>
      <x:c r="AA110" t="n">
        <x:v>40466</x:v>
      </x:c>
    </x:row>
    <x:row r="111">
      <x:c r="A111" s="51" t="str">
        <x:f>TEXT(Decisiones!B110,"yyyy-mm")</x:f>
        <x:v>2010-10</x:v>
      </x:c>
      <x:c r="B111" s="52" t="n">
        <x:f>Decisiones!H110</x:f>
        <x:v>4.5</x:v>
      </x:c>
      <x:c r="C111" s="53" t="n">
        <x:f>IF(Decisiones!K110="",0,Decisiones!K110)</x:f>
        <x:v>0</x:v>
      </x:c>
      <x:c r="Z111" t="str">
        <x:v>D20101126</x:v>
      </x:c>
      <x:c r="AA111" t="n">
        <x:v>40508</x:v>
      </x:c>
    </x:row>
    <x:row r="112">
      <x:c r="A112" s="51" t="str">
        <x:f>TEXT(Decisiones!B111,"yyyy-mm")</x:f>
        <x:v>2010-11</x:v>
      </x:c>
      <x:c r="B112" s="52" t="n">
        <x:f>Decisiones!H111</x:f>
        <x:v>4.5</x:v>
      </x:c>
      <x:c r="C112" s="53" t="n">
        <x:f>IF(Decisiones!K111="",0,Decisiones!K111)</x:f>
        <x:v>0</x:v>
      </x:c>
      <x:c r="Z112" t="str">
        <x:v>D20110121</x:v>
      </x:c>
      <x:c r="AA112" t="n">
        <x:v>40564</x:v>
      </x:c>
    </x:row>
    <x:row r="113">
      <x:c r="A113" s="51" t="str">
        <x:f>TEXT(Decisiones!B112,"yyyy-mm")</x:f>
        <x:v>2011-01</x:v>
      </x:c>
      <x:c r="B113" s="52" t="n">
        <x:f>Decisiones!H112</x:f>
        <x:v>4.5</x:v>
      </x:c>
      <x:c r="C113" s="53" t="n">
        <x:f>IF(Decisiones!K112="",0,Decisiones!K112)</x:f>
        <x:v>0</x:v>
      </x:c>
      <x:c r="Z113" t="str">
        <x:v>D20110304</x:v>
      </x:c>
      <x:c r="AA113" t="n">
        <x:v>40606</x:v>
      </x:c>
    </x:row>
    <x:row r="114">
      <x:c r="A114" s="51" t="str">
        <x:f>TEXT(Decisiones!B113,"yyyy-mm")</x:f>
        <x:v>2011-03</x:v>
      </x:c>
      <x:c r="B114" s="52" t="n">
        <x:f>Decisiones!H113</x:f>
        <x:v>4.5</x:v>
      </x:c>
      <x:c r="C114" s="53" t="n">
        <x:f>IF(Decisiones!K113="",0,Decisiones!K113)</x:f>
        <x:v>0</x:v>
      </x:c>
      <x:c r="Z114" t="str">
        <x:v>D20110415</x:v>
      </x:c>
      <x:c r="AA114" t="n">
        <x:v>40648</x:v>
      </x:c>
    </x:row>
    <x:row r="115">
      <x:c r="A115" s="51" t="str">
        <x:f>TEXT(Decisiones!B114,"yyyy-mm")</x:f>
        <x:v>2011-04</x:v>
      </x:c>
      <x:c r="B115" s="52" t="n">
        <x:f>Decisiones!H114</x:f>
        <x:v>4.5</x:v>
      </x:c>
      <x:c r="C115" s="53" t="n">
        <x:f>IF(Decisiones!K114="",0,Decisiones!K114)</x:f>
        <x:v>0</x:v>
      </x:c>
      <x:c r="Z115" t="str">
        <x:v>D20110527</x:v>
      </x:c>
      <x:c r="AA115" t="n">
        <x:v>40690</x:v>
      </x:c>
    </x:row>
    <x:row r="116">
      <x:c r="A116" s="51" t="str">
        <x:f>TEXT(Decisiones!B115,"yyyy-mm")</x:f>
        <x:v>2011-05</x:v>
      </x:c>
      <x:c r="B116" s="52" t="n">
        <x:f>Decisiones!H115</x:f>
        <x:v>4.5</x:v>
      </x:c>
      <x:c r="C116" s="53" t="n">
        <x:f>IF(Decisiones!K115="",0,Decisiones!K115)</x:f>
        <x:v>0</x:v>
      </x:c>
      <x:c r="Z116" t="str">
        <x:v>D20110708</x:v>
      </x:c>
      <x:c r="AA116" t="n">
        <x:v>40732</x:v>
      </x:c>
    </x:row>
    <x:row r="117">
      <x:c r="A117" s="51" t="str">
        <x:f>TEXT(Decisiones!B116,"yyyy-mm")</x:f>
        <x:v>2011-07</x:v>
      </x:c>
      <x:c r="B117" s="52" t="n">
        <x:f>Decisiones!H116</x:f>
        <x:v>4.5</x:v>
      </x:c>
      <x:c r="C117" s="53" t="n">
        <x:f>IF(Decisiones!K116="",0,Decisiones!K116)</x:f>
        <x:v>0</x:v>
      </x:c>
      <x:c r="Z117" t="str">
        <x:v>D20110826</x:v>
      </x:c>
      <x:c r="AA117" t="n">
        <x:v>40781</x:v>
      </x:c>
    </x:row>
    <x:row r="118">
      <x:c r="A118" s="51" t="str">
        <x:f>TEXT(Decisiones!B117,"yyyy-mm")</x:f>
        <x:v>2011-08</x:v>
      </x:c>
      <x:c r="B118" s="52" t="n">
        <x:f>Decisiones!H117</x:f>
        <x:v>4.5</x:v>
      </x:c>
      <x:c r="C118" s="53" t="n">
        <x:f>IF(Decisiones!K117="",0,Decisiones!K117)</x:f>
        <x:v>0</x:v>
      </x:c>
      <x:c r="Z118" t="str">
        <x:v>D20111014</x:v>
      </x:c>
      <x:c r="AA118" t="n">
        <x:v>40830</x:v>
      </x:c>
    </x:row>
    <x:row r="119">
      <x:c r="A119" s="51" t="str">
        <x:f>TEXT(Decisiones!B118,"yyyy-mm")</x:f>
        <x:v>2011-10</x:v>
      </x:c>
      <x:c r="B119" s="52" t="n">
        <x:f>Decisiones!H118</x:f>
        <x:v>4.5</x:v>
      </x:c>
      <x:c r="C119" s="53" t="n">
        <x:f>IF(Decisiones!K118="",0,Decisiones!K118)</x:f>
        <x:v>0</x:v>
      </x:c>
      <x:c r="Z119" t="str">
        <x:v>D20111202</x:v>
      </x:c>
      <x:c r="AA119" t="n">
        <x:v>40879</x:v>
      </x:c>
    </x:row>
    <x:row r="120">
      <x:c r="A120" s="51" t="str">
        <x:f>TEXT(Decisiones!B119,"yyyy-mm")</x:f>
        <x:v>2011-12</x:v>
      </x:c>
      <x:c r="B120" s="52" t="n">
        <x:f>Decisiones!H119</x:f>
        <x:v>4.5</x:v>
      </x:c>
      <x:c r="C120" s="53" t="n">
        <x:f>IF(Decisiones!K119="",0,Decisiones!K119)</x:f>
        <x:v>0</x:v>
      </x:c>
      <x:c r="Z120" t="str">
        <x:v>D20120120</x:v>
      </x:c>
      <x:c r="AA120" t="n">
        <x:v>40928</x:v>
      </x:c>
    </x:row>
    <x:row r="121">
      <x:c r="A121" s="51" t="str">
        <x:f>TEXT(Decisiones!B120,"yyyy-mm")</x:f>
        <x:v>2012-01</x:v>
      </x:c>
      <x:c r="B121" s="52" t="n">
        <x:f>Decisiones!H120</x:f>
        <x:v>4.5</x:v>
      </x:c>
      <x:c r="C121" s="53" t="n">
        <x:f>IF(Decisiones!K120="",0,Decisiones!K120)</x:f>
        <x:v>0</x:v>
      </x:c>
      <x:c r="Z121" t="str">
        <x:v>D20120316</x:v>
      </x:c>
      <x:c r="AA121" t="n">
        <x:v>40984</x:v>
      </x:c>
    </x:row>
    <x:row r="122">
      <x:c r="A122" s="51" t="str">
        <x:f>TEXT(Decisiones!B121,"yyyy-mm")</x:f>
        <x:v>2012-03</x:v>
      </x:c>
      <x:c r="B122" s="52" t="n">
        <x:f>Decisiones!H121</x:f>
        <x:v>4.5</x:v>
      </x:c>
      <x:c r="C122" s="53" t="n">
        <x:f>IF(Decisiones!K121="",0,Decisiones!K121)</x:f>
        <x:v>0</x:v>
      </x:c>
      <x:c r="Z122" t="str">
        <x:v>D20120427</x:v>
      </x:c>
      <x:c r="AA122" t="n">
        <x:v>41026</x:v>
      </x:c>
    </x:row>
    <x:row r="123">
      <x:c r="A123" s="51" t="str">
        <x:f>TEXT(Decisiones!B122,"yyyy-mm")</x:f>
        <x:v>2012-04</x:v>
      </x:c>
      <x:c r="B123" s="52" t="n">
        <x:f>Decisiones!H122</x:f>
        <x:v>4.5</x:v>
      </x:c>
      <x:c r="C123" s="53" t="n">
        <x:f>IF(Decisiones!K122="",0,Decisiones!K122)</x:f>
        <x:v>0</x:v>
      </x:c>
      <x:c r="Z123" t="str">
        <x:v>D20120608</x:v>
      </x:c>
      <x:c r="AA123" t="n">
        <x:v>41068</x:v>
      </x:c>
    </x:row>
    <x:row r="124">
      <x:c r="A124" s="51" t="str">
        <x:f>TEXT(Decisiones!B123,"yyyy-mm")</x:f>
        <x:v>2012-06</x:v>
      </x:c>
      <x:c r="B124" s="52" t="n">
        <x:f>Decisiones!H123</x:f>
        <x:v>4.5</x:v>
      </x:c>
      <x:c r="C124" s="53" t="n">
        <x:f>IF(Decisiones!K123="",0,Decisiones!K123)</x:f>
        <x:v>0</x:v>
      </x:c>
      <x:c r="Z124" t="str">
        <x:v>D20120720</x:v>
      </x:c>
      <x:c r="AA124" t="n">
        <x:v>41110</x:v>
      </x:c>
    </x:row>
    <x:row r="125">
      <x:c r="A125" s="51" t="str">
        <x:f>TEXT(Decisiones!B124,"yyyy-mm")</x:f>
        <x:v>2012-07</x:v>
      </x:c>
      <x:c r="B125" s="52" t="n">
        <x:f>Decisiones!H124</x:f>
        <x:v>4.5</x:v>
      </x:c>
      <x:c r="C125" s="53" t="n">
        <x:f>IF(Decisiones!K124="",0,Decisiones!K124)</x:f>
        <x:v>0</x:v>
      </x:c>
      <x:c r="Z125" t="str">
        <x:v>D20120907</x:v>
      </x:c>
      <x:c r="AA125" t="n">
        <x:v>41159</x:v>
      </x:c>
    </x:row>
    <x:row r="126">
      <x:c r="A126" s="51" t="str">
        <x:f>TEXT(Decisiones!B125,"yyyy-mm")</x:f>
        <x:v>2012-09</x:v>
      </x:c>
      <x:c r="B126" s="52" t="n">
        <x:f>Decisiones!H125</x:f>
        <x:v>4.5</x:v>
      </x:c>
      <x:c r="C126" s="53" t="n">
        <x:f>IF(Decisiones!K125="",0,Decisiones!K125)</x:f>
        <x:v>0</x:v>
      </x:c>
      <x:c r="Z126" t="str">
        <x:v>D20121026</x:v>
      </x:c>
      <x:c r="AA126" t="n">
        <x:v>41208</x:v>
      </x:c>
    </x:row>
    <x:row r="127">
      <x:c r="A127" s="51" t="str">
        <x:f>TEXT(Decisiones!B126,"yyyy-mm")</x:f>
        <x:v>2012-10</x:v>
      </x:c>
      <x:c r="B127" s="52" t="n">
        <x:f>Decisiones!H126</x:f>
        <x:v>4.5</x:v>
      </x:c>
      <x:c r="C127" s="53" t="n">
        <x:f>IF(Decisiones!K126="",0,Decisiones!K126)</x:f>
        <x:v>0</x:v>
      </x:c>
      <x:c r="Z127" t="str">
        <x:v>D20121130</x:v>
      </x:c>
      <x:c r="AA127" t="n">
        <x:v>41243</x:v>
      </x:c>
    </x:row>
    <x:row r="128">
      <x:c r="A128" s="51" t="str">
        <x:f>TEXT(Decisiones!B127,"yyyy-mm")</x:f>
        <x:v>2012-11</x:v>
      </x:c>
      <x:c r="B128" s="52" t="n">
        <x:f>Decisiones!H127</x:f>
        <x:v>4.5</x:v>
      </x:c>
      <x:c r="C128" s="53" t="n">
        <x:f>IF(Decisiones!K127="",0,Decisiones!K127)</x:f>
        <x:v>0</x:v>
      </x:c>
      <x:c r="Z128" t="str">
        <x:v>D20130118</x:v>
      </x:c>
      <x:c r="AA128" t="n">
        <x:v>41292</x:v>
      </x:c>
    </x:row>
    <x:row r="129">
      <x:c r="A129" s="51" t="str">
        <x:f>TEXT(Decisiones!B128,"yyyy-mm")</x:f>
        <x:v>2013-01</x:v>
      </x:c>
      <x:c r="B129" s="52" t="n">
        <x:f>Decisiones!H128</x:f>
        <x:v>4.5</x:v>
      </x:c>
      <x:c r="C129" s="53" t="n">
        <x:f>IF(Decisiones!K128="",0,Decisiones!K128)</x:f>
        <x:v>0</x:v>
      </x:c>
      <x:c r="Z129" t="str">
        <x:v>D20130308</x:v>
      </x:c>
      <x:c r="AA129" t="n">
        <x:v>41341</x:v>
      </x:c>
    </x:row>
    <x:row r="130">
      <x:c r="A130" s="51" t="str">
        <x:f>TEXT(Decisiones!B129,"yyyy-mm")</x:f>
        <x:v>2013-03</x:v>
      </x:c>
      <x:c r="B130" s="52" t="n">
        <x:f>Decisiones!H129</x:f>
        <x:v>4</x:v>
      </x:c>
      <x:c r="C130" s="53" t="n">
        <x:f>IF(Decisiones!K129="",0,Decisiones!K129)</x:f>
        <x:v>0</x:v>
      </x:c>
      <x:c r="Z130" t="str">
        <x:v>D20130426</x:v>
      </x:c>
      <x:c r="AA130" t="n">
        <x:v>41390</x:v>
      </x:c>
    </x:row>
    <x:row r="131">
      <x:c r="A131" s="51" t="str">
        <x:f>TEXT(Decisiones!B130,"yyyy-mm")</x:f>
        <x:v>2013-04</x:v>
      </x:c>
      <x:c r="B131" s="52" t="n">
        <x:f>Decisiones!H130</x:f>
        <x:v>4</x:v>
      </x:c>
      <x:c r="C131" s="53" t="n">
        <x:f>IF(Decisiones!K130="",0,Decisiones!K130)</x:f>
        <x:v>0</x:v>
      </x:c>
      <x:c r="Z131" t="str">
        <x:v>D20130607</x:v>
      </x:c>
      <x:c r="AA131" t="n">
        <x:v>41432</x:v>
      </x:c>
    </x:row>
    <x:row r="132">
      <x:c r="A132" s="51" t="str">
        <x:f>TEXT(Decisiones!B131,"yyyy-mm")</x:f>
        <x:v>2013-06</x:v>
      </x:c>
      <x:c r="B132" s="52" t="n">
        <x:f>Decisiones!H131</x:f>
        <x:v>4</x:v>
      </x:c>
      <x:c r="C132" s="53" t="n">
        <x:f>IF(Decisiones!K131="",0,Decisiones!K131)</x:f>
        <x:v>0</x:v>
      </x:c>
      <x:c r="Z132" t="str">
        <x:v>D20130712</x:v>
      </x:c>
      <x:c r="AA132" t="n">
        <x:v>41467</x:v>
      </x:c>
    </x:row>
    <x:row r="133">
      <x:c r="A133" s="51" t="str">
        <x:f>TEXT(Decisiones!B132,"yyyy-mm")</x:f>
        <x:v>2013-07</x:v>
      </x:c>
      <x:c r="B133" s="52" t="n">
        <x:f>Decisiones!H132</x:f>
        <x:v>4</x:v>
      </x:c>
      <x:c r="C133" s="53" t="n">
        <x:f>IF(Decisiones!K132="",0,Decisiones!K132)</x:f>
        <x:v>0</x:v>
      </x:c>
      <x:c r="Z133" t="str">
        <x:v>D20130906</x:v>
      </x:c>
      <x:c r="AA133" t="n">
        <x:v>41523</x:v>
      </x:c>
    </x:row>
    <x:row r="134">
      <x:c r="A134" s="51" t="str">
        <x:f>TEXT(Decisiones!B133,"yyyy-mm")</x:f>
        <x:v>2013-09</x:v>
      </x:c>
      <x:c r="B134" s="52" t="n">
        <x:f>Decisiones!H133</x:f>
        <x:v>3.75</x:v>
      </x:c>
      <x:c r="C134" s="53" t="n">
        <x:f>IF(Decisiones!K133="",0,Decisiones!K133)</x:f>
        <x:v>0</x:v>
      </x:c>
      <x:c r="Z134" t="str">
        <x:v>D20131025</x:v>
      </x:c>
      <x:c r="AA134" t="n">
        <x:v>41572</x:v>
      </x:c>
    </x:row>
    <x:row r="135">
      <x:c r="A135" s="51" t="str">
        <x:f>TEXT(Decisiones!B134,"yyyy-mm")</x:f>
        <x:v>2013-10</x:v>
      </x:c>
      <x:c r="B135" s="52" t="n">
        <x:f>Decisiones!H134</x:f>
        <x:v>3.5</x:v>
      </x:c>
      <x:c r="C135" s="53" t="n">
        <x:f>IF(Decisiones!K134="",0,Decisiones!K134)</x:f>
        <x:v>0</x:v>
      </x:c>
      <x:c r="Z135" t="str">
        <x:v>D20131206</x:v>
      </x:c>
      <x:c r="AA135" t="n">
        <x:v>41614</x:v>
      </x:c>
    </x:row>
    <x:row r="136">
      <x:c r="A136" s="51" t="str">
        <x:f>TEXT(Decisiones!B135,"yyyy-mm")</x:f>
        <x:v>2013-12</x:v>
      </x:c>
      <x:c r="B136" s="52" t="n">
        <x:f>Decisiones!H135</x:f>
        <x:v>3.5</x:v>
      </x:c>
      <x:c r="C136" s="53" t="n">
        <x:f>IF(Decisiones!K135="",0,Decisiones!K135)</x:f>
        <x:v>0</x:v>
      </x:c>
      <x:c r="Z136" t="str">
        <x:v>D20140131</x:v>
      </x:c>
      <x:c r="AA136" t="n">
        <x:v>41670</x:v>
      </x:c>
    </x:row>
    <x:row r="137">
      <x:c r="A137" s="51" t="str">
        <x:f>TEXT(Decisiones!B136,"yyyy-mm")</x:f>
        <x:v>2014-01</x:v>
      </x:c>
      <x:c r="B137" s="52" t="n">
        <x:f>Decisiones!H136</x:f>
        <x:v>3.5</x:v>
      </x:c>
      <x:c r="C137" s="53" t="n">
        <x:f>IF(Decisiones!K136="",0,Decisiones!K136)</x:f>
        <x:v>0</x:v>
      </x:c>
      <x:c r="Z137" t="str">
        <x:v>D20140321</x:v>
      </x:c>
      <x:c r="AA137" t="n">
        <x:v>41719</x:v>
      </x:c>
    </x:row>
    <x:row r="138">
      <x:c r="A138" s="51" t="str">
        <x:f>TEXT(Decisiones!B137,"yyyy-mm")</x:f>
        <x:v>2014-03</x:v>
      </x:c>
      <x:c r="B138" s="52" t="n">
        <x:f>Decisiones!H137</x:f>
        <x:v>3.5</x:v>
      </x:c>
      <x:c r="C138" s="53" t="n">
        <x:f>IF(Decisiones!K137="",0,Decisiones!K137)</x:f>
        <x:v>0</x:v>
      </x:c>
      <x:c r="Z138" t="str">
        <x:v>D20140425</x:v>
      </x:c>
      <x:c r="AA138" t="n">
        <x:v>41754</x:v>
      </x:c>
    </x:row>
    <x:row r="139">
      <x:c r="A139" s="51" t="str">
        <x:f>TEXT(Decisiones!B138,"yyyy-mm")</x:f>
        <x:v>2014-04</x:v>
      </x:c>
      <x:c r="B139" s="52" t="n">
        <x:f>Decisiones!H138</x:f>
        <x:v>3.5</x:v>
      </x:c>
      <x:c r="C139" s="53" t="n">
        <x:f>IF(Decisiones!K138="",0,Decisiones!K138)</x:f>
        <x:v>0</x:v>
      </x:c>
      <x:c r="Z139" t="str">
        <x:v>D20140606</x:v>
      </x:c>
      <x:c r="AA139" t="n">
        <x:v>41796</x:v>
      </x:c>
    </x:row>
    <x:row r="140">
      <x:c r="A140" s="51" t="str">
        <x:f>TEXT(Decisiones!B139,"yyyy-mm")</x:f>
        <x:v>2014-06</x:v>
      </x:c>
      <x:c r="B140" s="52" t="n">
        <x:f>Decisiones!H139</x:f>
        <x:v>3</x:v>
      </x:c>
      <x:c r="C140" s="53" t="n">
        <x:f>IF(Decisiones!K139="",0,Decisiones!K139)</x:f>
        <x:v>0</x:v>
      </x:c>
      <x:c r="Z140" t="str">
        <x:v>D20140711</x:v>
      </x:c>
      <x:c r="AA140" t="n">
        <x:v>41831</x:v>
      </x:c>
    </x:row>
    <x:row r="141">
      <x:c r="A141" s="51" t="str">
        <x:f>TEXT(Decisiones!B140,"yyyy-mm")</x:f>
        <x:v>2014-07</x:v>
      </x:c>
      <x:c r="B141" s="52" t="n">
        <x:f>Decisiones!H140</x:f>
        <x:v>3</x:v>
      </x:c>
      <x:c r="C141" s="53" t="n">
        <x:f>IF(Decisiones!K140="",0,Decisiones!K140)</x:f>
        <x:v>0</x:v>
      </x:c>
      <x:c r="Z141" t="str">
        <x:v>D20140905</x:v>
      </x:c>
      <x:c r="AA141" t="n">
        <x:v>41887</x:v>
      </x:c>
    </x:row>
    <x:row r="142">
      <x:c r="A142" s="51" t="str">
        <x:f>TEXT(Decisiones!B141,"yyyy-mm")</x:f>
        <x:v>2014-09</x:v>
      </x:c>
      <x:c r="B142" s="52" t="n">
        <x:f>Decisiones!H141</x:f>
        <x:v>3</x:v>
      </x:c>
      <x:c r="C142" s="53" t="n">
        <x:f>IF(Decisiones!K141="",0,Decisiones!K141)</x:f>
        <x:v>0</x:v>
      </x:c>
      <x:c r="Z142" t="str">
        <x:v>D20141031</x:v>
      </x:c>
      <x:c r="AA142" t="n">
        <x:v>41943</x:v>
      </x:c>
    </x:row>
    <x:row r="143">
      <x:c r="A143" s="51" t="str">
        <x:f>TEXT(Decisiones!B142,"yyyy-mm")</x:f>
        <x:v>2014-10</x:v>
      </x:c>
      <x:c r="B143" s="52" t="n">
        <x:f>Decisiones!H142</x:f>
        <x:v>3</x:v>
      </x:c>
      <x:c r="C143" s="53" t="n">
        <x:f>IF(Decisiones!K142="",0,Decisiones!K142)</x:f>
        <x:v>0</x:v>
      </x:c>
      <x:c r="Z143" t="str">
        <x:v>D20141205</x:v>
      </x:c>
      <x:c r="AA143" t="n">
        <x:v>41978</x:v>
      </x:c>
    </x:row>
    <x:row r="144">
      <x:c r="A144" s="51" t="str">
        <x:f>TEXT(Decisiones!B143,"yyyy-mm")</x:f>
        <x:v>2014-12</x:v>
      </x:c>
      <x:c r="B144" s="52" t="n">
        <x:f>Decisiones!H143</x:f>
        <x:v>3</x:v>
      </x:c>
      <x:c r="C144" s="53" t="n">
        <x:f>IF(Decisiones!K143="",0,Decisiones!K143)</x:f>
        <x:v>0</x:v>
      </x:c>
      <x:c r="Z144" t="str">
        <x:v>D20150129</x:v>
      </x:c>
      <x:c r="AA144" t="n">
        <x:v>42033</x:v>
      </x:c>
    </x:row>
    <x:row r="145">
      <x:c r="A145" s="51" t="str">
        <x:f>TEXT(Decisiones!B144,"yyyy-mm")</x:f>
        <x:v>2015-01</x:v>
      </x:c>
      <x:c r="B145" s="52" t="n">
        <x:f>Decisiones!H144</x:f>
        <x:v>3</x:v>
      </x:c>
      <x:c r="C145" s="53" t="n">
        <x:f>IF(Decisiones!K144="",0,Decisiones!K144)</x:f>
        <x:v>0</x:v>
      </x:c>
      <x:c r="Z145" t="str">
        <x:v>D20150326</x:v>
      </x:c>
      <x:c r="AA145" t="n">
        <x:v>42089</x:v>
      </x:c>
    </x:row>
    <x:row r="146">
      <x:c r="A146" s="51" t="str">
        <x:f>TEXT(Decisiones!B145,"yyyy-mm")</x:f>
        <x:v>2015-03</x:v>
      </x:c>
      <x:c r="B146" s="52" t="n">
        <x:f>Decisiones!H145</x:f>
        <x:v>3</x:v>
      </x:c>
      <x:c r="C146" s="53" t="n">
        <x:f>IF(Decisiones!K145="",0,Decisiones!K145)</x:f>
        <x:v>0</x:v>
      </x:c>
      <x:c r="Z146" t="str">
        <x:v>D20150430</x:v>
      </x:c>
      <x:c r="AA146" t="n">
        <x:v>42124</x:v>
      </x:c>
    </x:row>
    <x:row r="147">
      <x:c r="A147" s="51" t="str">
        <x:f>TEXT(Decisiones!B146,"yyyy-mm")</x:f>
        <x:v>2015-04</x:v>
      </x:c>
      <x:c r="B147" s="52" t="n">
        <x:f>Decisiones!H146</x:f>
        <x:v>3</x:v>
      </x:c>
      <x:c r="C147" s="53" t="n">
        <x:f>IF(Decisiones!K146="",0,Decisiones!K146)</x:f>
        <x:v>0</x:v>
      </x:c>
      <x:c r="Z147" t="str">
        <x:v>D20150604</x:v>
      </x:c>
      <x:c r="AA147" t="n">
        <x:v>42159</x:v>
      </x:c>
    </x:row>
    <x:row r="148">
      <x:c r="A148" s="51" t="str">
        <x:f>TEXT(Decisiones!B147,"yyyy-mm")</x:f>
        <x:v>2015-06</x:v>
      </x:c>
      <x:c r="B148" s="52" t="n">
        <x:f>Decisiones!H147</x:f>
        <x:v>3</x:v>
      </x:c>
      <x:c r="C148" s="53" t="n">
        <x:f>IF(Decisiones!K147="",0,Decisiones!K147)</x:f>
        <x:v>0</x:v>
      </x:c>
      <x:c r="Z148" t="str">
        <x:v>D20150730</x:v>
      </x:c>
      <x:c r="AA148" t="n">
        <x:v>42215</x:v>
      </x:c>
    </x:row>
    <x:row r="149">
      <x:c r="A149" s="51" t="str">
        <x:f>TEXT(Decisiones!B148,"yyyy-mm")</x:f>
        <x:v>2015-07</x:v>
      </x:c>
      <x:c r="B149" s="52" t="n">
        <x:f>Decisiones!H148</x:f>
        <x:v>3</x:v>
      </x:c>
      <x:c r="C149" s="53" t="n">
        <x:f>IF(Decisiones!K148="",0,Decisiones!K148)</x:f>
        <x:v>0</x:v>
      </x:c>
      <x:c r="Z149" t="str">
        <x:v>D20150921</x:v>
      </x:c>
      <x:c r="AA149" t="n">
        <x:v>42268</x:v>
      </x:c>
    </x:row>
    <x:row r="150">
      <x:c r="A150" s="51" t="str">
        <x:f>TEXT(Decisiones!B149,"yyyy-mm")</x:f>
        <x:v>2015-09</x:v>
      </x:c>
      <x:c r="B150" s="52" t="n">
        <x:f>Decisiones!H149</x:f>
        <x:v>3</x:v>
      </x:c>
      <x:c r="C150" s="53" t="n">
        <x:f>IF(Decisiones!K149="",0,Decisiones!K149)</x:f>
        <x:v>0</x:v>
      </x:c>
      <x:c r="Z150" t="str">
        <x:v>D20151029</x:v>
      </x:c>
      <x:c r="AA150" t="n">
        <x:v>42306</x:v>
      </x:c>
    </x:row>
    <x:row r="151">
      <x:c r="A151" s="51" t="str">
        <x:f>TEXT(Decisiones!B150,"yyyy-mm")</x:f>
        <x:v>2015-10</x:v>
      </x:c>
      <x:c r="B151" s="52" t="n">
        <x:f>Decisiones!H150</x:f>
        <x:v>3</x:v>
      </x:c>
      <x:c r="C151" s="53" t="n">
        <x:f>IF(Decisiones!K150="",0,Decisiones!K150)</x:f>
        <x:v>0</x:v>
      </x:c>
      <x:c r="Z151" t="str">
        <x:v>D20151217</x:v>
      </x:c>
      <x:c r="AA151" t="n">
        <x:v>42355</x:v>
      </x:c>
    </x:row>
    <x:row r="152">
      <x:c r="A152" s="51" t="str">
        <x:f>TEXT(Decisiones!B151,"yyyy-mm")</x:f>
        <x:v>2015-12</x:v>
      </x:c>
      <x:c r="B152" s="52" t="n">
        <x:f>Decisiones!H151</x:f>
        <x:v>3.25</x:v>
      </x:c>
      <x:c r="C152" s="53" t="n">
        <x:f>IF(Decisiones!K151="",0,Decisiones!K151)</x:f>
        <x:v>0</x:v>
      </x:c>
      <x:c r="Z152" t="str">
        <x:v>D20160204</x:v>
      </x:c>
      <x:c r="AA152" t="n">
        <x:v>42404</x:v>
      </x:c>
    </x:row>
    <x:row r="153">
      <x:c r="A153" s="51" t="str">
        <x:f>TEXT(Decisiones!B152,"yyyy-mm")</x:f>
        <x:v>2016-02</x:v>
      </x:c>
      <x:c r="B153" s="52" t="n">
        <x:f>Decisiones!H152</x:f>
        <x:v>3.25</x:v>
      </x:c>
      <x:c r="C153" s="53" t="n">
        <x:f>IF(Decisiones!K152="",0,Decisiones!K152)</x:f>
        <x:v>0</x:v>
      </x:c>
      <x:c r="Z153" t="str">
        <x:v>D20160217</x:v>
      </x:c>
      <x:c r="AA153" t="n">
        <x:v>42417</x:v>
      </x:c>
    </x:row>
    <x:row r="154">
      <x:c r="A154" s="51" t="str">
        <x:f>TEXT(Decisiones!B153,"yyyy-mm")</x:f>
        <x:v>2016-02</x:v>
      </x:c>
      <x:c r="B154" s="52" t="n">
        <x:f>Decisiones!H153</x:f>
        <x:v>3.75</x:v>
      </x:c>
      <x:c r="C154" s="53" t="n">
        <x:f>IF(Decisiones!K153="",0,Decisiones!K153)</x:f>
        <x:v>0</x:v>
      </x:c>
      <x:c r="Z154" t="str">
        <x:v>D20160318</x:v>
      </x:c>
      <x:c r="AA154" t="n">
        <x:v>42447</x:v>
      </x:c>
    </x:row>
    <x:row r="155">
      <x:c r="A155" s="51" t="str">
        <x:f>TEXT(Decisiones!B154,"yyyy-mm")</x:f>
        <x:v>2016-03</x:v>
      </x:c>
      <x:c r="B155" s="52" t="n">
        <x:f>Decisiones!H154</x:f>
        <x:v>3.75</x:v>
      </x:c>
      <x:c r="C155" s="53" t="n">
        <x:f>IF(Decisiones!K154="",0,Decisiones!K154)</x:f>
        <x:v>0</x:v>
      </x:c>
      <x:c r="Z155" t="str">
        <x:v>D20160505</x:v>
      </x:c>
      <x:c r="AA155" t="n">
        <x:v>42495</x:v>
      </x:c>
    </x:row>
    <x:row r="156">
      <x:c r="A156" s="51" t="str">
        <x:f>TEXT(Decisiones!B155,"yyyy-mm")</x:f>
        <x:v>2016-05</x:v>
      </x:c>
      <x:c r="B156" s="52" t="n">
        <x:f>Decisiones!H155</x:f>
        <x:v>3.75</x:v>
      </x:c>
      <x:c r="C156" s="53" t="n">
        <x:f>IF(Decisiones!K155="",0,Decisiones!K155)</x:f>
        <x:v>0</x:v>
      </x:c>
      <x:c r="Z156" t="str">
        <x:v>D20160630</x:v>
      </x:c>
      <x:c r="AA156" t="n">
        <x:v>42551</x:v>
      </x:c>
    </x:row>
    <x:row r="157">
      <x:c r="A157" s="51" t="str">
        <x:f>TEXT(Decisiones!B156,"yyyy-mm")</x:f>
        <x:v>2016-06</x:v>
      </x:c>
      <x:c r="B157" s="52" t="n">
        <x:f>Decisiones!H156</x:f>
        <x:v>4.25</x:v>
      </x:c>
      <x:c r="C157" s="53" t="n">
        <x:f>IF(Decisiones!K156="",0,Decisiones!K156)</x:f>
        <x:v>0</x:v>
      </x:c>
      <x:c r="Z157" t="str">
        <x:v>D20160811</x:v>
      </x:c>
      <x:c r="AA157" t="n">
        <x:v>42593</x:v>
      </x:c>
    </x:row>
    <x:row r="158">
      <x:c r="A158" s="51" t="str">
        <x:f>TEXT(Decisiones!B157,"yyyy-mm")</x:f>
        <x:v>2016-08</x:v>
      </x:c>
      <x:c r="B158" s="52" t="n">
        <x:f>Decisiones!H157</x:f>
        <x:v>4.25</x:v>
      </x:c>
      <x:c r="C158" s="53" t="n">
        <x:f>IF(Decisiones!K157="",0,Decisiones!K157)</x:f>
        <x:v>0</x:v>
      </x:c>
      <x:c r="Z158" t="str">
        <x:v>D20160929</x:v>
      </x:c>
      <x:c r="AA158" t="n">
        <x:v>42642</x:v>
      </x:c>
    </x:row>
    <x:row r="159">
      <x:c r="A159" s="51" t="str">
        <x:f>TEXT(Decisiones!B158,"yyyy-mm")</x:f>
        <x:v>2016-09</x:v>
      </x:c>
      <x:c r="B159" s="52" t="n">
        <x:f>Decisiones!H158</x:f>
        <x:v>4.75</x:v>
      </x:c>
      <x:c r="C159" s="53" t="n">
        <x:f>IF(Decisiones!K158="",0,Decisiones!K158)</x:f>
        <x:v>0</x:v>
      </x:c>
      <x:c r="Z159" t="str">
        <x:v>D20161117</x:v>
      </x:c>
      <x:c r="AA159" t="n">
        <x:v>42691</x:v>
      </x:c>
    </x:row>
    <x:row r="160">
      <x:c r="A160" s="51" t="str">
        <x:f>TEXT(Decisiones!B159,"yyyy-mm")</x:f>
        <x:v>2016-11</x:v>
      </x:c>
      <x:c r="B160" s="52" t="n">
        <x:f>Decisiones!H159</x:f>
        <x:v>5.25</x:v>
      </x:c>
      <x:c r="C160" s="53" t="n">
        <x:f>IF(Decisiones!K159="",0,Decisiones!K159)</x:f>
        <x:v>0</x:v>
      </x:c>
      <x:c r="Z160" t="str">
        <x:v>D20161215</x:v>
      </x:c>
      <x:c r="AA160" t="n">
        <x:v>42719</x:v>
      </x:c>
    </x:row>
    <x:row r="161">
      <x:c r="A161" s="51" t="str">
        <x:f>TEXT(Decisiones!B160,"yyyy-mm")</x:f>
        <x:v>2016-12</x:v>
      </x:c>
      <x:c r="B161" s="52" t="n">
        <x:f>Decisiones!H160</x:f>
        <x:v>5.75</x:v>
      </x:c>
      <x:c r="C161" s="53" t="n">
        <x:f>IF(Decisiones!K160="",0,Decisiones!K160)</x:f>
        <x:v>0</x:v>
      </x:c>
      <x:c r="Z161" t="str">
        <x:v>D20170209</x:v>
      </x:c>
      <x:c r="AA161" t="n">
        <x:v>42775</x:v>
      </x:c>
    </x:row>
    <x:row r="162">
      <x:c r="A162" s="51" t="str">
        <x:f>TEXT(Decisiones!B161,"yyyy-mm")</x:f>
        <x:v>2017-02</x:v>
      </x:c>
      <x:c r="B162" s="52" t="n">
        <x:f>Decisiones!H161</x:f>
        <x:v>6.25</x:v>
      </x:c>
      <x:c r="C162" s="53" t="n">
        <x:f>IF(Decisiones!K161="",0,Decisiones!K161)</x:f>
        <x:v>0</x:v>
      </x:c>
      <x:c r="Z162" t="str">
        <x:v>D20170330</x:v>
      </x:c>
      <x:c r="AA162" t="n">
        <x:v>42824</x:v>
      </x:c>
    </x:row>
    <x:row r="163">
      <x:c r="A163" s="51" t="str">
        <x:f>TEXT(Decisiones!B162,"yyyy-mm")</x:f>
        <x:v>2017-03</x:v>
      </x:c>
      <x:c r="B163" s="52" t="n">
        <x:f>Decisiones!H162</x:f>
        <x:v>6.5</x:v>
      </x:c>
      <x:c r="C163" s="53" t="n">
        <x:f>IF(Decisiones!K162="",0,Decisiones!K162)</x:f>
        <x:v>0</x:v>
      </x:c>
      <x:c r="Z163" t="str">
        <x:v>D20170518</x:v>
      </x:c>
      <x:c r="AA163" t="n">
        <x:v>42873</x:v>
      </x:c>
    </x:row>
    <x:row r="164">
      <x:c r="A164" s="51" t="str">
        <x:f>TEXT(Decisiones!B163,"yyyy-mm")</x:f>
        <x:v>2017-05</x:v>
      </x:c>
      <x:c r="B164" s="52" t="n">
        <x:f>Decisiones!H163</x:f>
        <x:v>6.75</x:v>
      </x:c>
      <x:c r="C164" s="53" t="n">
        <x:f>IF(Decisiones!K163="",0,Decisiones!K163)</x:f>
        <x:v>0</x:v>
      </x:c>
      <x:c r="Z164" t="str">
        <x:v>D20170622</x:v>
      </x:c>
      <x:c r="AA164" t="n">
        <x:v>42908</x:v>
      </x:c>
    </x:row>
    <x:row r="165">
      <x:c r="A165" s="51" t="str">
        <x:f>TEXT(Decisiones!B164,"yyyy-mm")</x:f>
        <x:v>2017-06</x:v>
      </x:c>
      <x:c r="B165" s="52" t="n">
        <x:f>Decisiones!H164</x:f>
        <x:v>7</x:v>
      </x:c>
      <x:c r="C165" s="53" t="n">
        <x:f>IF(Decisiones!K164="",0,Decisiones!K164)</x:f>
        <x:v>0</x:v>
      </x:c>
      <x:c r="Z165" t="str">
        <x:v>D20170810</x:v>
      </x:c>
      <x:c r="AA165" t="n">
        <x:v>42957</x:v>
      </x:c>
    </x:row>
    <x:row r="166">
      <x:c r="A166" s="51" t="str">
        <x:f>TEXT(Decisiones!B165,"yyyy-mm")</x:f>
        <x:v>2017-08</x:v>
      </x:c>
      <x:c r="B166" s="52" t="n">
        <x:f>Decisiones!H165</x:f>
        <x:v>7</x:v>
      </x:c>
      <x:c r="C166" s="53" t="n">
        <x:f>IF(Decisiones!K165="",0,Decisiones!K165)</x:f>
        <x:v>0</x:v>
      </x:c>
      <x:c r="Z166" t="str">
        <x:v>D20170928</x:v>
      </x:c>
      <x:c r="AA166" t="n">
        <x:v>43006</x:v>
      </x:c>
    </x:row>
    <x:row r="167">
      <x:c r="A167" s="51" t="str">
        <x:f>TEXT(Decisiones!B166,"yyyy-mm")</x:f>
        <x:v>2017-09</x:v>
      </x:c>
      <x:c r="B167" s="52" t="n">
        <x:f>Decisiones!H166</x:f>
        <x:v>7</x:v>
      </x:c>
      <x:c r="C167" s="53" t="n">
        <x:f>IF(Decisiones!K166="",0,Decisiones!K166)</x:f>
        <x:v>0</x:v>
      </x:c>
      <x:c r="Z167" t="str">
        <x:v>D20171109</x:v>
      </x:c>
      <x:c r="AA167" t="n">
        <x:v>43048</x:v>
      </x:c>
    </x:row>
    <x:row r="168">
      <x:c r="A168" s="51" t="str">
        <x:f>TEXT(Decisiones!B167,"yyyy-mm")</x:f>
        <x:v>2017-11</x:v>
      </x:c>
      <x:c r="B168" s="52" t="n">
        <x:f>Decisiones!H167</x:f>
        <x:v>7</x:v>
      </x:c>
      <x:c r="C168" s="53" t="n">
        <x:f>IF(Decisiones!K167="",0,Decisiones!K167)</x:f>
        <x:v>0</x:v>
      </x:c>
      <x:c r="Z168" t="str">
        <x:v>D20171214</x:v>
      </x:c>
      <x:c r="AA168" t="n">
        <x:v>43083</x:v>
      </x:c>
    </x:row>
    <x:row r="169">
      <x:c r="A169" s="51" t="str">
        <x:f>TEXT(Decisiones!B168,"yyyy-mm")</x:f>
        <x:v>2017-12</x:v>
      </x:c>
      <x:c r="B169" s="52" t="n">
        <x:f>Decisiones!H168</x:f>
        <x:v>7.25</x:v>
      </x:c>
      <x:c r="C169" s="53" t="n">
        <x:f>IF(Decisiones!K168="",0,Decisiones!K168)</x:f>
        <x:v>0</x:v>
      </x:c>
      <x:c r="Z169" t="str">
        <x:v>D20180208</x:v>
      </x:c>
      <x:c r="AA169" t="n">
        <x:v>43139</x:v>
      </x:c>
    </x:row>
    <x:row r="170">
      <x:c r="A170" s="51" t="str">
        <x:f>TEXT(Decisiones!B169,"yyyy-mm")</x:f>
        <x:v>2018-02</x:v>
      </x:c>
      <x:c r="B170" s="52" t="n">
        <x:f>Decisiones!H169</x:f>
        <x:v>7.5</x:v>
      </x:c>
      <x:c r="C170" s="53" t="n">
        <x:f>IF(Decisiones!K169="",0,Decisiones!K169)</x:f>
        <x:v>0</x:v>
      </x:c>
      <x:c r="Z170" t="str">
        <x:v>D20180412</x:v>
      </x:c>
      <x:c r="AA170" t="n">
        <x:v>43202</x:v>
      </x:c>
    </x:row>
    <x:row r="171">
      <x:c r="A171" s="51" t="str">
        <x:f>TEXT(Decisiones!B170,"yyyy-mm")</x:f>
        <x:v>2018-04</x:v>
      </x:c>
      <x:c r="B171" s="52" t="n">
        <x:f>Decisiones!H170</x:f>
        <x:v>7.5</x:v>
      </x:c>
      <x:c r="C171" s="53" t="n">
        <x:f>IF(Decisiones!K170="",0,Decisiones!K170)</x:f>
        <x:v>0</x:v>
      </x:c>
      <x:c r="Z171" t="str">
        <x:v>D20180517</x:v>
      </x:c>
      <x:c r="AA171" t="n">
        <x:v>43237</x:v>
      </x:c>
    </x:row>
    <x:row r="172">
      <x:c r="A172" s="51" t="str">
        <x:f>TEXT(Decisiones!B171,"yyyy-mm")</x:f>
        <x:v>2018-05</x:v>
      </x:c>
      <x:c r="B172" s="52" t="n">
        <x:f>Decisiones!H171</x:f>
        <x:v>7.5</x:v>
      </x:c>
      <x:c r="C172" s="53" t="n">
        <x:f>IF(Decisiones!K171="",0,Decisiones!K171)</x:f>
        <x:v>0</x:v>
      </x:c>
      <x:c r="Z172" t="str">
        <x:v>D20180621</x:v>
      </x:c>
      <x:c r="AA172" t="n">
        <x:v>43272</x:v>
      </x:c>
    </x:row>
    <x:row r="173">
      <x:c r="A173" s="51" t="str">
        <x:f>TEXT(Decisiones!B172,"yyyy-mm")</x:f>
        <x:v>2018-06</x:v>
      </x:c>
      <x:c r="B173" s="52" t="n">
        <x:f>Decisiones!H172</x:f>
        <x:v>7.75</x:v>
      </x:c>
      <x:c r="C173" s="53" t="n">
        <x:f>IF(Decisiones!K172="",0,Decisiones!K172)</x:f>
        <x:v>0</x:v>
      </x:c>
      <x:c r="Z173" t="str">
        <x:v>D20180802</x:v>
      </x:c>
      <x:c r="AA173" t="n">
        <x:v>43314</x:v>
      </x:c>
    </x:row>
    <x:row r="174">
      <x:c r="A174" s="51" t="str">
        <x:f>TEXT(Decisiones!B173,"yyyy-mm")</x:f>
        <x:v>2018-08</x:v>
      </x:c>
      <x:c r="B174" s="52" t="n">
        <x:f>Decisiones!H173</x:f>
        <x:v>7.75</x:v>
      </x:c>
      <x:c r="C174" s="53" t="n">
        <x:f>IF(Decisiones!K173="",0,Decisiones!K173)</x:f>
        <x:v>0</x:v>
      </x:c>
      <x:c r="Z174" t="str">
        <x:v>D20181004</x:v>
      </x:c>
      <x:c r="AA174" t="n">
        <x:v>43377</x:v>
      </x:c>
    </x:row>
    <x:row r="175">
      <x:c r="A175" s="51" t="str">
        <x:f>TEXT(Decisiones!B174,"yyyy-mm")</x:f>
        <x:v>2018-10</x:v>
      </x:c>
      <x:c r="B175" s="52" t="n">
        <x:f>Decisiones!H174</x:f>
        <x:v>7.75</x:v>
      </x:c>
      <x:c r="C175" s="53" t="n">
        <x:f>IF(Decisiones!K174="",0,Decisiones!K174)</x:f>
        <x:v>1</x:v>
      </x:c>
      <x:c r="Z175" t="str">
        <x:v>D20181115</x:v>
      </x:c>
      <x:c r="AA175" t="n">
        <x:v>43419</x:v>
      </x:c>
    </x:row>
    <x:row r="176">
      <x:c r="A176" s="51" t="str">
        <x:f>TEXT(Decisiones!B175,"yyyy-mm")</x:f>
        <x:v>2018-11</x:v>
      </x:c>
      <x:c r="B176" s="52" t="n">
        <x:f>Decisiones!H175</x:f>
        <x:v>8</x:v>
      </x:c>
      <x:c r="C176" s="53" t="n">
        <x:f>IF(Decisiones!K175="",0,Decisiones!K175)</x:f>
        <x:v>1</x:v>
      </x:c>
      <x:c r="Z176" t="str">
        <x:v>D20181220</x:v>
      </x:c>
      <x:c r="AA176" t="n">
        <x:v>43454</x:v>
      </x:c>
    </x:row>
    <x:row r="177">
      <x:c r="A177" s="51" t="str">
        <x:f>TEXT(Decisiones!B176,"yyyy-mm")</x:f>
        <x:v>2018-12</x:v>
      </x:c>
      <x:c r="B177" s="52" t="n">
        <x:f>Decisiones!H176</x:f>
        <x:v>8.25</x:v>
      </x:c>
      <x:c r="C177" s="53" t="n">
        <x:f>IF(Decisiones!K176="",0,Decisiones!K176)</x:f>
        <x:v>0</x:v>
      </x:c>
      <x:c r="Z177" t="str">
        <x:v>D20190207</x:v>
      </x:c>
      <x:c r="AA177" t="n">
        <x:v>43503</x:v>
      </x:c>
    </x:row>
    <x:row r="178">
      <x:c r="A178" s="51" t="str">
        <x:f>TEXT(Decisiones!B177,"yyyy-mm")</x:f>
        <x:v>2019-02</x:v>
      </x:c>
      <x:c r="B178" s="52" t="n">
        <x:f>Decisiones!H177</x:f>
        <x:v>8.25</x:v>
      </x:c>
      <x:c r="C178" s="53" t="n">
        <x:f>IF(Decisiones!K177="",0,Decisiones!K177)</x:f>
        <x:v>0</x:v>
      </x:c>
      <x:c r="Z178" t="str">
        <x:v>D20190328</x:v>
      </x:c>
      <x:c r="AA178" t="n">
        <x:v>43552</x:v>
      </x:c>
    </x:row>
    <x:row r="179">
      <x:c r="A179" s="51" t="str">
        <x:f>TEXT(Decisiones!B178,"yyyy-mm")</x:f>
        <x:v>2019-03</x:v>
      </x:c>
      <x:c r="B179" s="52" t="n">
        <x:f>Decisiones!H178</x:f>
        <x:v>8.25</x:v>
      </x:c>
      <x:c r="C179" s="53" t="n">
        <x:f>IF(Decisiones!K178="",0,Decisiones!K178)</x:f>
        <x:v>0</x:v>
      </x:c>
      <x:c r="Z179" t="str">
        <x:v>D20190516</x:v>
      </x:c>
      <x:c r="AA179" t="n">
        <x:v>43601</x:v>
      </x:c>
    </x:row>
    <x:row r="180">
      <x:c r="A180" s="51" t="str">
        <x:f>TEXT(Decisiones!B179,"yyyy-mm")</x:f>
        <x:v>2019-05</x:v>
      </x:c>
      <x:c r="B180" s="52" t="n">
        <x:f>Decisiones!H179</x:f>
        <x:v>8.25</x:v>
      </x:c>
      <x:c r="C180" s="53" t="n">
        <x:f>IF(Decisiones!K179="",0,Decisiones!K179)</x:f>
        <x:v>0</x:v>
      </x:c>
      <x:c r="Z180" t="str">
        <x:v>D20190627</x:v>
      </x:c>
      <x:c r="AA180" t="n">
        <x:v>43643</x:v>
      </x:c>
    </x:row>
    <x:row r="181">
      <x:c r="A181" s="51" t="str">
        <x:f>TEXT(Decisiones!B180,"yyyy-mm")</x:f>
        <x:v>2019-06</x:v>
      </x:c>
      <x:c r="B181" s="52" t="n">
        <x:f>Decisiones!H180</x:f>
        <x:v>8.25</x:v>
      </x:c>
      <x:c r="C181" s="53" t="n">
        <x:f>IF(Decisiones!K180="",0,Decisiones!K180)</x:f>
        <x:v>1</x:v>
      </x:c>
      <x:c r="Z181" t="str">
        <x:v>D20190815</x:v>
      </x:c>
      <x:c r="AA181" t="n">
        <x:v>43692</x:v>
      </x:c>
    </x:row>
    <x:row r="182">
      <x:c r="A182" s="51" t="str">
        <x:f>TEXT(Decisiones!B181,"yyyy-mm")</x:f>
        <x:v>2019-08</x:v>
      </x:c>
      <x:c r="B182" s="52" t="n">
        <x:f>Decisiones!H181</x:f>
        <x:v>8</x:v>
      </x:c>
      <x:c r="C182" s="53" t="n">
        <x:f>IF(Decisiones!K181="",0,Decisiones!K181)</x:f>
        <x:v>1</x:v>
      </x:c>
      <x:c r="Z182" t="str">
        <x:v>D20190926</x:v>
      </x:c>
      <x:c r="AA182" t="n">
        <x:v>43734</x:v>
      </x:c>
    </x:row>
    <x:row r="183">
      <x:c r="A183" s="51" t="str">
        <x:f>TEXT(Decisiones!B182,"yyyy-mm")</x:f>
        <x:v>2019-09</x:v>
      </x:c>
      <x:c r="B183" s="52" t="n">
        <x:f>Decisiones!H182</x:f>
        <x:v>7.75</x:v>
      </x:c>
      <x:c r="C183" s="53" t="n">
        <x:f>IF(Decisiones!K182="",0,Decisiones!K182)</x:f>
        <x:v>2</x:v>
      </x:c>
      <x:c r="Z183" t="str">
        <x:v>D20191114</x:v>
      </x:c>
      <x:c r="AA183" t="n">
        <x:v>43783</x:v>
      </x:c>
    </x:row>
    <x:row r="184">
      <x:c r="A184" s="51" t="str">
        <x:f>TEXT(Decisiones!B183,"yyyy-mm")</x:f>
        <x:v>2019-11</x:v>
      </x:c>
      <x:c r="B184" s="52" t="n">
        <x:f>Decisiones!H183</x:f>
        <x:v>7.5</x:v>
      </x:c>
      <x:c r="C184" s="53" t="n">
        <x:f>IF(Decisiones!K183="",0,Decisiones!K183)</x:f>
        <x:v>2</x:v>
      </x:c>
      <x:c r="Z184" t="str">
        <x:v>D20191219</x:v>
      </x:c>
      <x:c r="AA184" t="n">
        <x:v>43818</x:v>
      </x:c>
    </x:row>
    <x:row r="185">
      <x:c r="A185" s="51" t="str">
        <x:f>TEXT(Decisiones!B184,"yyyy-mm")</x:f>
        <x:v>2019-12</x:v>
      </x:c>
      <x:c r="B185" s="52" t="n">
        <x:f>Decisiones!H184</x:f>
        <x:v>7.25</x:v>
      </x:c>
      <x:c r="C185" s="53" t="n">
        <x:f>IF(Decisiones!K184="",0,Decisiones!K184)</x:f>
        <x:v>1</x:v>
      </x:c>
      <x:c r="Z185" t="str">
        <x:v>D20200213</x:v>
      </x:c>
      <x:c r="AA185" t="n">
        <x:v>43874</x:v>
      </x:c>
    </x:row>
    <x:row r="186">
      <x:c r="A186" s="51" t="str">
        <x:f>TEXT(Decisiones!B185,"yyyy-mm")</x:f>
        <x:v>2020-02</x:v>
      </x:c>
      <x:c r="B186" s="52" t="n">
        <x:f>Decisiones!H185</x:f>
        <x:v>7</x:v>
      </x:c>
      <x:c r="C186" s="53" t="n">
        <x:f>IF(Decisiones!K185="",0,Decisiones!K185)</x:f>
        <x:v>0</x:v>
      </x:c>
      <x:c r="Z186" t="str">
        <x:v>D20200320</x:v>
      </x:c>
      <x:c r="AA186" t="n">
        <x:v>43910</x:v>
      </x:c>
    </x:row>
    <x:row r="187">
      <x:c r="A187" s="51" t="str">
        <x:f>TEXT(Decisiones!B186,"yyyy-mm")</x:f>
        <x:v>2020-03</x:v>
      </x:c>
      <x:c r="B187" s="52" t="n">
        <x:f>Decisiones!H186</x:f>
        <x:v>6.5</x:v>
      </x:c>
      <x:c r="C187" s="53" t="n">
        <x:f>IF(Decisiones!K186="",0,Decisiones!K186)</x:f>
        <x:v>1</x:v>
      </x:c>
      <x:c r="Z187" t="str">
        <x:v>D20200421</x:v>
      </x:c>
      <x:c r="AA187" t="n">
        <x:v>43942</x:v>
      </x:c>
    </x:row>
    <x:row r="188">
      <x:c r="A188" s="51" t="str">
        <x:f>TEXT(Decisiones!B187,"yyyy-mm")</x:f>
        <x:v>2020-04</x:v>
      </x:c>
      <x:c r="B188" s="52" t="n">
        <x:f>Decisiones!H187</x:f>
        <x:v>6</x:v>
      </x:c>
      <x:c r="C188" s="53" t="n">
        <x:f>IF(Decisiones!K187="",0,Decisiones!K187)</x:f>
        <x:v>0</x:v>
      </x:c>
      <x:c r="Z188" t="str">
        <x:v>D20200514</x:v>
      </x:c>
      <x:c r="AA188" t="n">
        <x:v>43965</x:v>
      </x:c>
    </x:row>
    <x:row r="189">
      <x:c r="A189" s="51" t="str">
        <x:f>TEXT(Decisiones!B188,"yyyy-mm")</x:f>
        <x:v>2020-05</x:v>
      </x:c>
      <x:c r="B189" s="52" t="n">
        <x:f>Decisiones!H188</x:f>
        <x:v>5.5</x:v>
      </x:c>
      <x:c r="C189" s="53" t="n">
        <x:f>IF(Decisiones!K188="",0,Decisiones!K188)</x:f>
        <x:v>0</x:v>
      </x:c>
      <x:c r="Z189" t="str">
        <x:v>D20200625</x:v>
      </x:c>
      <x:c r="AA189" t="n">
        <x:v>44007</x:v>
      </x:c>
    </x:row>
    <x:row r="190">
      <x:c r="A190" s="51" t="str">
        <x:f>TEXT(Decisiones!B189,"yyyy-mm")</x:f>
        <x:v>2020-06</x:v>
      </x:c>
      <x:c r="B190" s="52" t="n">
        <x:f>Decisiones!H189</x:f>
        <x:v>5</x:v>
      </x:c>
      <x:c r="C190" s="53" t="n">
        <x:f>IF(Decisiones!K189="",0,Decisiones!K189)</x:f>
        <x:v>0</x:v>
      </x:c>
      <x:c r="Z190" t="str">
        <x:v>D20200813</x:v>
      </x:c>
      <x:c r="AA190" t="n">
        <x:v>44056</x:v>
      </x:c>
    </x:row>
    <x:row r="191">
      <x:c r="A191" s="51" t="str">
        <x:f>TEXT(Decisiones!B190,"yyyy-mm")</x:f>
        <x:v>2020-08</x:v>
      </x:c>
      <x:c r="B191" s="52" t="n">
        <x:f>Decisiones!H190</x:f>
        <x:v>4.5</x:v>
      </x:c>
      <x:c r="C191" s="53" t="n">
        <x:f>IF(Decisiones!K190="",0,Decisiones!K190)</x:f>
        <x:v>1</x:v>
      </x:c>
      <x:c r="Z191" t="str">
        <x:v>D20200924</x:v>
      </x:c>
      <x:c r="AA191" t="n">
        <x:v>44098</x:v>
      </x:c>
    </x:row>
    <x:row r="192">
      <x:c r="A192" s="51" t="str">
        <x:f>TEXT(Decisiones!B191,"yyyy-mm")</x:f>
        <x:v>2020-09</x:v>
      </x:c>
      <x:c r="B192" s="52" t="n">
        <x:f>Decisiones!H191</x:f>
        <x:v>4.25</x:v>
      </x:c>
      <x:c r="C192" s="53" t="n">
        <x:f>IF(Decisiones!K191="",0,Decisiones!K191)</x:f>
        <x:v>0</x:v>
      </x:c>
      <x:c r="Z192" t="str">
        <x:v>D20201112</x:v>
      </x:c>
      <x:c r="AA192" t="n">
        <x:v>44147</x:v>
      </x:c>
    </x:row>
    <x:row r="193">
      <x:c r="A193" s="51" t="str">
        <x:f>TEXT(Decisiones!B192,"yyyy-mm")</x:f>
        <x:v>2020-11</x:v>
      </x:c>
      <x:c r="B193" s="52" t="n">
        <x:f>Decisiones!H192</x:f>
        <x:v>4.25</x:v>
      </x:c>
      <x:c r="C193" s="53" t="n">
        <x:f>IF(Decisiones!K192="",0,Decisiones!K192)</x:f>
        <x:v>1</x:v>
      </x:c>
      <x:c r="Z193" t="str">
        <x:v>D20201217</x:v>
      </x:c>
      <x:c r="AA193" t="n">
        <x:v>44182</x:v>
      </x:c>
    </x:row>
    <x:row r="194">
      <x:c r="A194" s="51" t="str">
        <x:f>TEXT(Decisiones!B193,"yyyy-mm")</x:f>
        <x:v>2020-12</x:v>
      </x:c>
      <x:c r="B194" s="52" t="n">
        <x:f>Decisiones!H193</x:f>
        <x:v>4.25</x:v>
      </x:c>
      <x:c r="C194" s="53" t="n">
        <x:f>IF(Decisiones!K193="",0,Decisiones!K193)</x:f>
        <x:v>2</x:v>
      </x:c>
      <x:c r="Z194" t="str">
        <x:v>D20210211</x:v>
      </x:c>
      <x:c r="AA194" t="n">
        <x:v>44238</x:v>
      </x:c>
    </x:row>
    <x:row r="195">
      <x:c r="A195" s="51" t="str">
        <x:f>TEXT(Decisiones!B194,"yyyy-mm")</x:f>
        <x:v>2021-02</x:v>
      </x:c>
      <x:c r="B195" s="52" t="n">
        <x:f>Decisiones!H194</x:f>
        <x:v>4</x:v>
      </x:c>
      <x:c r="C195" s="53" t="n">
        <x:f>IF(Decisiones!K194="",0,Decisiones!K194)</x:f>
        <x:v>0</x:v>
      </x:c>
      <x:c r="Z195" t="str">
        <x:v>D20210325</x:v>
      </x:c>
      <x:c r="AA195" t="n">
        <x:v>44280</x:v>
      </x:c>
    </x:row>
    <x:row r="196">
      <x:c r="A196" s="51" t="str">
        <x:f>TEXT(Decisiones!B195,"yyyy-mm")</x:f>
        <x:v>2021-03</x:v>
      </x:c>
      <x:c r="B196" s="52" t="n">
        <x:f>Decisiones!H195</x:f>
        <x:v>4</x:v>
      </x:c>
      <x:c r="C196" s="53" t="n">
        <x:f>IF(Decisiones!K195="",0,Decisiones!K195)</x:f>
        <x:v>0</x:v>
      </x:c>
      <x:c r="Z196" t="str">
        <x:v>D20210513</x:v>
      </x:c>
      <x:c r="AA196" t="n">
        <x:v>44329</x:v>
      </x:c>
    </x:row>
    <x:row r="197">
      <x:c r="A197" s="51" t="str">
        <x:f>TEXT(Decisiones!B196,"yyyy-mm")</x:f>
        <x:v>2021-05</x:v>
      </x:c>
      <x:c r="B197" s="52" t="n">
        <x:f>Decisiones!H196</x:f>
        <x:v>4</x:v>
      </x:c>
      <x:c r="C197" s="53" t="n">
        <x:f>IF(Decisiones!K196="",0,Decisiones!K196)</x:f>
        <x:v>0</x:v>
      </x:c>
      <x:c r="Z197" t="str">
        <x:v>D20210624</x:v>
      </x:c>
      <x:c r="AA197" t="n">
        <x:v>44371</x:v>
      </x:c>
    </x:row>
    <x:row r="198">
      <x:c r="A198" s="51" t="str">
        <x:f>TEXT(Decisiones!B197,"yyyy-mm")</x:f>
        <x:v>2021-06</x:v>
      </x:c>
      <x:c r="B198" s="52" t="n">
        <x:f>Decisiones!H197</x:f>
        <x:v>4.25</x:v>
      </x:c>
      <x:c r="C198" s="53" t="n">
        <x:f>IF(Decisiones!K197="",0,Decisiones!K197)</x:f>
        <x:v>2</x:v>
      </x:c>
      <x:c r="Z198" t="str">
        <x:v>D20210812</x:v>
      </x:c>
      <x:c r="AA198" t="n">
        <x:v>44420</x:v>
      </x:c>
    </x:row>
    <x:row r="199">
      <x:c r="A199" s="51" t="str">
        <x:f>TEXT(Decisiones!B198,"yyyy-mm")</x:f>
        <x:v>2021-08</x:v>
      </x:c>
      <x:c r="B199" s="52" t="n">
        <x:f>Decisiones!H198</x:f>
        <x:v>4.5</x:v>
      </x:c>
      <x:c r="C199" s="53" t="n">
        <x:f>IF(Decisiones!K198="",0,Decisiones!K198)</x:f>
        <x:v>2</x:v>
      </x:c>
      <x:c r="Z199" t="str">
        <x:v>D20210930</x:v>
      </x:c>
      <x:c r="AA199" t="n">
        <x:v>44469</x:v>
      </x:c>
    </x:row>
    <x:row r="200">
      <x:c r="A200" s="51" t="str">
        <x:f>TEXT(Decisiones!B199,"yyyy-mm")</x:f>
        <x:v>2021-09</x:v>
      </x:c>
      <x:c r="B200" s="52" t="n">
        <x:f>Decisiones!H199</x:f>
        <x:v>4.75</x:v>
      </x:c>
      <x:c r="C200" s="53" t="n">
        <x:f>IF(Decisiones!K199="",0,Decisiones!K199)</x:f>
        <x:v>1</x:v>
      </x:c>
      <x:c r="Z200" t="str">
        <x:v>D20211111</x:v>
      </x:c>
      <x:c r="AA200" t="n">
        <x:v>44511</x:v>
      </x:c>
    </x:row>
    <x:row r="201">
      <x:c r="A201" s="51" t="str">
        <x:f>TEXT(Decisiones!B200,"yyyy-mm")</x:f>
        <x:v>2021-11</x:v>
      </x:c>
      <x:c r="B201" s="52" t="n">
        <x:f>Decisiones!H200</x:f>
        <x:v>5</x:v>
      </x:c>
      <x:c r="C201" s="53" t="n">
        <x:f>IF(Decisiones!K200="",0,Decisiones!K200)</x:f>
        <x:v>1</x:v>
      </x:c>
      <x:c r="Z201" t="str">
        <x:v>D20211216</x:v>
      </x:c>
      <x:c r="AA201" t="n">
        <x:v>44546</x:v>
      </x:c>
    </x:row>
    <x:row r="202">
      <x:c r="A202" s="51" t="str">
        <x:f>TEXT(Decisiones!B201,"yyyy-mm")</x:f>
        <x:v>2021-12</x:v>
      </x:c>
      <x:c r="B202" s="52" t="n">
        <x:f>Decisiones!H201</x:f>
        <x:v>5.5</x:v>
      </x:c>
      <x:c r="C202" s="53" t="n">
        <x:f>IF(Decisiones!K201="",0,Decisiones!K201)</x:f>
        <x:v>1</x:v>
      </x:c>
      <x:c r="Z202" t="str">
        <x:v>D20220210</x:v>
      </x:c>
      <x:c r="AA202" t="n">
        <x:v>44602</x:v>
      </x:c>
    </x:row>
    <x:row r="203">
      <x:c r="A203" s="51" t="str">
        <x:f>TEXT(Decisiones!B202,"yyyy-mm")</x:f>
        <x:v>2022-02</x:v>
      </x:c>
      <x:c r="B203" s="52" t="n">
        <x:f>Decisiones!H202</x:f>
        <x:v>6</x:v>
      </x:c>
      <x:c r="C203" s="53" t="n">
        <x:f>IF(Decisiones!K202="",0,Decisiones!K202)</x:f>
        <x:v>1</x:v>
      </x:c>
      <x:c r="Z203" t="str">
        <x:v>D20220324</x:v>
      </x:c>
      <x:c r="AA203" t="n">
        <x:v>44644</x:v>
      </x:c>
    </x:row>
    <x:row r="204">
      <x:c r="A204" s="51" t="str">
        <x:f>TEXT(Decisiones!B203,"yyyy-mm")</x:f>
        <x:v>2022-03</x:v>
      </x:c>
      <x:c r="B204" s="52" t="n">
        <x:f>Decisiones!H203</x:f>
        <x:v>6.5</x:v>
      </x:c>
      <x:c r="C204" s="53" t="n">
        <x:f>IF(Decisiones!K203="",0,Decisiones!K203)</x:f>
        <x:v>0</x:v>
      </x:c>
      <x:c r="Z204" t="str">
        <x:v>D20220512</x:v>
      </x:c>
      <x:c r="AA204" t="n">
        <x:v>44693</x:v>
      </x:c>
    </x:row>
    <x:row r="205">
      <x:c r="A205" s="51" t="str">
        <x:f>TEXT(Decisiones!B204,"yyyy-mm")</x:f>
        <x:v>2022-05</x:v>
      </x:c>
      <x:c r="B205" s="52" t="n">
        <x:f>Decisiones!H204</x:f>
        <x:v>7</x:v>
      </x:c>
      <x:c r="C205" s="53" t="n">
        <x:f>IF(Decisiones!K204="",0,Decisiones!K204)</x:f>
        <x:v>1</x:v>
      </x:c>
      <x:c r="Z205" t="str">
        <x:v>D20220623</x:v>
      </x:c>
      <x:c r="AA205" t="n">
        <x:v>44735</x:v>
      </x:c>
    </x:row>
    <x:row r="206">
      <x:c r="A206" s="51" t="str">
        <x:f>TEXT(Decisiones!B205,"yyyy-mm")</x:f>
        <x:v>2022-06</x:v>
      </x:c>
      <x:c r="B206" s="52" t="n">
        <x:f>Decisiones!H205</x:f>
        <x:v>7.75</x:v>
      </x:c>
      <x:c r="C206" s="53" t="n">
        <x:f>IF(Decisiones!K205="",0,Decisiones!K205)</x:f>
        <x:v>0</x:v>
      </x:c>
      <x:c r="Z206" t="str">
        <x:v>D20220811</x:v>
      </x:c>
      <x:c r="AA206" t="n">
        <x:v>44784</x:v>
      </x:c>
    </x:row>
    <x:row r="207">
      <x:c r="A207" s="51" t="str">
        <x:f>TEXT(Decisiones!B206,"yyyy-mm")</x:f>
        <x:v>2022-08</x:v>
      </x:c>
      <x:c r="B207" s="52" t="n">
        <x:f>Decisiones!H206</x:f>
        <x:v>8.5</x:v>
      </x:c>
      <x:c r="C207" s="53" t="n">
        <x:f>IF(Decisiones!K206="",0,Decisiones!K206)</x:f>
        <x:v>0</x:v>
      </x:c>
      <x:c r="Z207" t="str">
        <x:v>D20220929</x:v>
      </x:c>
      <x:c r="AA207" t="n">
        <x:v>44833</x:v>
      </x:c>
    </x:row>
    <x:row r="208">
      <x:c r="A208" s="51" t="str">
        <x:f>TEXT(Decisiones!B207,"yyyy-mm")</x:f>
        <x:v>2022-09</x:v>
      </x:c>
      <x:c r="B208" s="52" t="n">
        <x:f>Decisiones!H207</x:f>
        <x:v>9.25</x:v>
      </x:c>
      <x:c r="C208" s="53" t="n">
        <x:f>IF(Decisiones!K207="",0,Decisiones!K207)</x:f>
        <x:v>0</x:v>
      </x:c>
      <x:c r="Z208" t="str">
        <x:v>D20221110</x:v>
      </x:c>
      <x:c r="AA208" t="n">
        <x:v>44875</x:v>
      </x:c>
    </x:row>
    <x:row r="209">
      <x:c r="A209" s="51" t="str">
        <x:f>TEXT(Decisiones!B208,"yyyy-mm")</x:f>
        <x:v>2022-11</x:v>
      </x:c>
      <x:c r="B209" s="52" t="n">
        <x:f>Decisiones!H208</x:f>
        <x:v>10</x:v>
      </x:c>
      <x:c r="C209" s="53" t="n">
        <x:f>IF(Decisiones!K208="",0,Decisiones!K208)</x:f>
        <x:v>1</x:v>
      </x:c>
      <x:c r="Z209" t="str">
        <x:v>D20221215</x:v>
      </x:c>
      <x:c r="AA209" t="n">
        <x:v>44910</x:v>
      </x:c>
    </x:row>
    <x:row r="210">
      <x:c r="A210" s="51" t="str">
        <x:f>TEXT(Decisiones!B209,"yyyy-mm")</x:f>
        <x:v>2022-12</x:v>
      </x:c>
      <x:c r="B210" s="52" t="n">
        <x:f>Decisiones!H209</x:f>
        <x:v>10.5</x:v>
      </x:c>
      <x:c r="C210" s="53" t="n">
        <x:f>IF(Decisiones!K209="",0,Decisiones!K209)</x:f>
        <x:v>1</x:v>
      </x:c>
      <x:c r="Z210" t="str">
        <x:v>D20230209</x:v>
      </x:c>
      <x:c r="AA210" t="n">
        <x:v>44966</x:v>
      </x:c>
    </x:row>
    <x:row r="211">
      <x:c r="A211" s="51" t="str">
        <x:f>TEXT(Decisiones!B210,"yyyy-mm")</x:f>
        <x:v>2023-02</x:v>
      </x:c>
      <x:c r="B211" s="52" t="n">
        <x:f>Decisiones!H210</x:f>
        <x:v>11</x:v>
      </x:c>
      <x:c r="C211" s="53" t="n">
        <x:f>IF(Decisiones!K210="",0,Decisiones!K210)</x:f>
        <x:v>0</x:v>
      </x:c>
      <x:c r="Z211" t="str">
        <x:v>D20230330</x:v>
      </x:c>
      <x:c r="AA211" t="n">
        <x:v>45015</x:v>
      </x:c>
    </x:row>
    <x:row r="212">
      <x:c r="A212" s="51" t="str">
        <x:f>TEXT(Decisiones!B211,"yyyy-mm")</x:f>
        <x:v>2023-03</x:v>
      </x:c>
      <x:c r="B212" s="52" t="n">
        <x:f>Decisiones!H211</x:f>
        <x:v>11.25</x:v>
      </x:c>
      <x:c r="C212" s="53" t="n">
        <x:f>IF(Decisiones!K211="",0,Decisiones!K211)</x:f>
        <x:v>0</x:v>
      </x:c>
      <x:c r="Z212" t="str">
        <x:v>D20230518</x:v>
      </x:c>
      <x:c r="AA212" t="n">
        <x:v>45064</x:v>
      </x:c>
    </x:row>
    <x:row r="213">
      <x:c r="A213" s="51" t="str">
        <x:f>TEXT(Decisiones!B212,"yyyy-mm")</x:f>
        <x:v>2023-05</x:v>
      </x:c>
      <x:c r="B213" s="52" t="n">
        <x:f>Decisiones!H212</x:f>
        <x:v>11.25</x:v>
      </x:c>
      <x:c r="C213" s="53" t="n">
        <x:f>IF(Decisiones!K212="",0,Decisiones!K212)</x:f>
        <x:v>0</x:v>
      </x:c>
      <x:c r="Z213" t="str">
        <x:v>D20230622</x:v>
      </x:c>
      <x:c r="AA213" t="n">
        <x:v>45099</x:v>
      </x:c>
    </x:row>
    <x:row r="214">
      <x:c r="A214" s="51" t="str">
        <x:f>TEXT(Decisiones!B213,"yyyy-mm")</x:f>
        <x:v>2023-06</x:v>
      </x:c>
      <x:c r="B214" s="52" t="n">
        <x:f>Decisiones!H213</x:f>
        <x:v>11.25</x:v>
      </x:c>
      <x:c r="C214" s="53" t="n">
        <x:f>IF(Decisiones!K213="",0,Decisiones!K213)</x:f>
        <x:v>0</x:v>
      </x:c>
      <x:c r="Z214" t="str">
        <x:v>D20230810</x:v>
      </x:c>
      <x:c r="AA214" t="n">
        <x:v>45148</x:v>
      </x:c>
    </x:row>
    <x:row r="215">
      <x:c r="A215" s="51" t="str">
        <x:f>TEXT(Decisiones!B214,"yyyy-mm")</x:f>
        <x:v>2023-08</x:v>
      </x:c>
      <x:c r="B215" s="52" t="n">
        <x:f>Decisiones!H214</x:f>
        <x:v>11.25</x:v>
      </x:c>
      <x:c r="C215" s="53" t="n">
        <x:f>IF(Decisiones!K214="",0,Decisiones!K214)</x:f>
        <x:v>0</x:v>
      </x:c>
      <x:c r="Z215" t="str">
        <x:v>D20230928</x:v>
      </x:c>
      <x:c r="AA215" t="n">
        <x:v>45197</x:v>
      </x:c>
    </x:row>
    <x:row r="216">
      <x:c r="A216" s="51" t="str">
        <x:f>TEXT(Decisiones!B215,"yyyy-mm")</x:f>
        <x:v>2023-09</x:v>
      </x:c>
      <x:c r="B216" s="52" t="n">
        <x:f>Decisiones!H215</x:f>
        <x:v>11.25</x:v>
      </x:c>
      <x:c r="C216" s="53" t="n">
        <x:f>IF(Decisiones!K215="",0,Decisiones!K215)</x:f>
        <x:v>0</x:v>
      </x:c>
      <x:c r="Z216" t="str">
        <x:v>D20231109</x:v>
      </x:c>
      <x:c r="AA216" t="n">
        <x:v>45239</x:v>
      </x:c>
    </x:row>
    <x:row r="217">
      <x:c r="A217" s="51" t="str">
        <x:f>TEXT(Decisiones!B216,"yyyy-mm")</x:f>
        <x:v>2023-11</x:v>
      </x:c>
      <x:c r="B217" s="52" t="n">
        <x:f>Decisiones!H216</x:f>
        <x:v>11.25</x:v>
      </x:c>
      <x:c r="C217" s="53" t="n">
        <x:f>IF(Decisiones!K216="",0,Decisiones!K216)</x:f>
        <x:v>0</x:v>
      </x:c>
      <x:c r="Z217" t="str">
        <x:v>D20231214</x:v>
      </x:c>
      <x:c r="AA217" t="n">
        <x:v>45274</x:v>
      </x:c>
    </x:row>
    <x:row r="218">
      <x:c r="A218" s="51" t="str">
        <x:f>TEXT(Decisiones!B217,"yyyy-mm")</x:f>
        <x:v>2023-12</x:v>
      </x:c>
      <x:c r="B218" s="52" t="n">
        <x:f>Decisiones!H217</x:f>
        <x:v>11.25</x:v>
      </x:c>
      <x:c r="C218" s="53" t="n">
        <x:f>IF(Decisiones!K217="",0,Decisiones!K217)</x:f>
        <x:v>0</x:v>
      </x:c>
      <x:c r="Z218" t="str">
        <x:v>D20240208</x:v>
      </x:c>
      <x:c r="AA218" t="n">
        <x:v>45330</x:v>
      </x:c>
    </x:row>
    <x:row r="219">
      <x:c r="A219" s="51" t="str">
        <x:f>TEXT(Decisiones!B218,"yyyy-mm")</x:f>
        <x:v>2024-02</x:v>
      </x:c>
      <x:c r="B219" s="52" t="n">
        <x:f>Decisiones!H218</x:f>
        <x:v>11.25</x:v>
      </x:c>
      <x:c r="C219" s="53" t="n">
        <x:f>IF(Decisiones!K218="",0,Decisiones!K218)</x:f>
        <x:v>0</x:v>
      </x:c>
      <x:c r="Z219" t="str">
        <x:v>D20240321</x:v>
      </x:c>
      <x:c r="AA219" t="n">
        <x:v>45372</x:v>
      </x:c>
    </x:row>
    <x:row r="220">
      <x:c r="A220" s="51" t="str">
        <x:f>TEXT(Decisiones!B219,"yyyy-mm")</x:f>
        <x:v>2024-03</x:v>
      </x:c>
      <x:c r="B220" s="52" t="n">
        <x:f>Decisiones!H219</x:f>
        <x:v>11</x:v>
      </x:c>
      <x:c r="C220" s="53" t="n">
        <x:f>IF(Decisiones!K219="",0,Decisiones!K219)</x:f>
        <x:v>1</x:v>
      </x:c>
      <x:c r="Z220" t="str">
        <x:v>D20240509</x:v>
      </x:c>
      <x:c r="AA220" t="n">
        <x:v>45421</x:v>
      </x:c>
    </x:row>
    <x:row r="221">
      <x:c r="A221" s="51" t="str">
        <x:f>TEXT(Decisiones!B220,"yyyy-mm")</x:f>
        <x:v>2024-05</x:v>
      </x:c>
      <x:c r="B221" s="52" t="n">
        <x:f>Decisiones!H220</x:f>
        <x:v>11</x:v>
      </x:c>
      <x:c r="C221" s="53" t="n">
        <x:f>IF(Decisiones!K220="",0,Decisiones!K220)</x:f>
        <x:v>0</x:v>
      </x:c>
      <x:c r="Z221" t="str">
        <x:v>D20240627</x:v>
      </x:c>
      <x:c r="AA221" t="n">
        <x:v>45470</x:v>
      </x:c>
    </x:row>
    <x:row r="222">
      <x:c r="A222" s="51" t="str">
        <x:f>TEXT(Decisiones!B221,"yyyy-mm")</x:f>
        <x:v>2024-06</x:v>
      </x:c>
      <x:c r="B222" s="52" t="n">
        <x:f>Decisiones!H221</x:f>
        <x:v>11</x:v>
      </x:c>
      <x:c r="C222" s="53" t="n">
        <x:f>IF(Decisiones!K221="",0,Decisiones!K221)</x:f>
        <x:v>1</x:v>
      </x:c>
      <x:c r="Z222" t="str">
        <x:v>D20240808</x:v>
      </x:c>
      <x:c r="AA222" t="n">
        <x:v>45512</x:v>
      </x:c>
    </x:row>
    <x:row r="223">
      <x:c r="A223" s="51" t="str">
        <x:f>TEXT(Decisiones!B222,"yyyy-mm")</x:f>
        <x:v>2024-08</x:v>
      </x:c>
      <x:c r="B223" s="52" t="n">
        <x:f>Decisiones!H222</x:f>
        <x:v>10.75</x:v>
      </x:c>
      <x:c r="C223" s="53" t="n">
        <x:f>IF(Decisiones!K222="",0,Decisiones!K222)</x:f>
        <x:v>2</x:v>
      </x:c>
      <x:c r="Z223" t="str">
        <x:v>D20240926</x:v>
      </x:c>
      <x:c r="AA223" t="n">
        <x:v>45561</x:v>
      </x:c>
    </x:row>
    <x:row r="224">
      <x:c r="A224" s="51" t="str">
        <x:f>TEXT(Decisiones!B223,"yyyy-mm")</x:f>
        <x:v>2024-09</x:v>
      </x:c>
      <x:c r="B224" s="52" t="n">
        <x:f>Decisiones!H223</x:f>
        <x:v>10.5</x:v>
      </x:c>
      <x:c r="C224" s="53" t="n">
        <x:f>IF(Decisiones!K223="",0,Decisiones!K223)</x:f>
        <x:v>1</x:v>
      </x:c>
      <x:c r="Z224" t="str">
        <x:v>D20241114</x:v>
      </x:c>
      <x:c r="AA224" t="n">
        <x:v>45610</x:v>
      </x:c>
    </x:row>
    <x:row r="225">
      <x:c r="A225" s="51" t="str">
        <x:f>TEXT(Decisiones!B224,"yyyy-mm")</x:f>
        <x:v>2024-11</x:v>
      </x:c>
      <x:c r="B225" s="52" t="n">
        <x:f>Decisiones!H224</x:f>
        <x:v>10.25</x:v>
      </x:c>
      <x:c r="C225" s="53" t="n">
        <x:f>IF(Decisiones!K224="",0,Decisiones!K224)</x:f>
        <x:v>0</x:v>
      </x:c>
      <x:c r="Z225" t="str">
        <x:v>D20241219</x:v>
      </x:c>
      <x:c r="AA225" t="n">
        <x:v>45645</x:v>
      </x:c>
    </x:row>
    <x:row r="226">
      <x:c r="A226" s="51" t="str">
        <x:f>TEXT(Decisiones!B225,"yyyy-mm")</x:f>
        <x:v>2024-12</x:v>
      </x:c>
      <x:c r="B226" s="52" t="n">
        <x:f>Decisiones!H225</x:f>
        <x:v>10</x:v>
      </x:c>
      <x:c r="C226" s="53" t="n">
        <x:f>IF(Decisiones!K225="",0,Decisiones!K225)</x:f>
        <x:v>0</x:v>
      </x:c>
      <x:c r="Z226" t="str">
        <x:v>D20250206</x:v>
      </x:c>
      <x:c r="AA226" t="n">
        <x:v>45694</x:v>
      </x:c>
    </x:row>
    <x:row r="227">
      <x:c r="A227" s="51" t="str">
        <x:f>TEXT(Decisiones!B226,"yyyy-mm")</x:f>
        <x:v>2025-02</x:v>
      </x:c>
      <x:c r="B227" s="52" t="n">
        <x:f>Decisiones!H226</x:f>
        <x:v>9.5</x:v>
      </x:c>
      <x:c r="C227" s="53" t="n">
        <x:f>IF(Decisiones!K226="",0,Decisiones!K226)</x:f>
        <x:v>1</x:v>
      </x:c>
      <x:c r="Z227" t="str">
        <x:v>D20250327</x:v>
      </x:c>
      <x:c r="AA227" t="n">
        <x:v>45743</x:v>
      </x:c>
    </x:row>
    <x:row r="228">
      <x:c r="A228" s="51" t="str">
        <x:f>TEXT(Decisiones!B227,"yyyy-mm")</x:f>
        <x:v>2025-03</x:v>
      </x:c>
      <x:c r="B228" s="52" t="n">
        <x:f>Decisiones!H227</x:f>
        <x:v>9</x:v>
      </x:c>
      <x:c r="C228" s="53" t="n">
        <x:f>IF(Decisiones!K227="",0,Decisiones!K227)</x:f>
        <x:v>0</x:v>
      </x:c>
      <x:c r="Z228" t="str">
        <x:v>D20250515</x:v>
      </x:c>
      <x:c r="AA228" t="n">
        <x:v>45792</x:v>
      </x:c>
    </x:row>
    <x:row r="229">
      <x:c r="A229" s="51" t="str">
        <x:f>TEXT(Decisiones!B228,"yyyy-mm")</x:f>
        <x:v>2025-05</x:v>
      </x:c>
      <x:c r="B229" s="52" t="n">
        <x:f>Decisiones!H228</x:f>
        <x:v>8.5</x:v>
      </x:c>
      <x:c r="C229" s="53" t="n">
        <x:f>IF(Decisiones!K228="",0,Decisiones!K228)</x:f>
        <x:v>0</x:v>
      </x:c>
      <x:c r="Z229" t="str">
        <x:v>D20250626</x:v>
      </x:c>
      <x:c r="AA229" t="n">
        <x:v>45834</x:v>
      </x:c>
    </x:row>
    <x:row r="230">
      <x:c r="A230" s="51" t="str">
        <x:f>TEXT(Decisiones!B229,"yyyy-mm")</x:f>
        <x:v>2025-06</x:v>
      </x:c>
      <x:c r="B230" s="52" t="n">
        <x:f>Decisiones!H229</x:f>
        <x:v>8</x:v>
      </x:c>
      <x:c r="C230" s="53" t="n">
        <x:f>IF(Decisiones!K229="",0,Decisiones!K229)</x:f>
        <x:v>1</x:v>
      </x:c>
      <x:c r="Z230" t="str">
        <x:v>D20250807</x:v>
      </x:c>
      <x:c r="AA230" t="n">
        <x:v>45876</x:v>
      </x:c>
    </x:row>
    <x:row r="231">
      <x:c r="A231" s="51" t="str">
        <x:f>TEXT(Decisiones!B230,"yyyy-mm")</x:f>
        <x:v>2025-08</x:v>
      </x:c>
      <x:c r="B231" s="52" t="n">
        <x:f>Decisiones!H230</x:f>
        <x:v>7.75</x:v>
      </x:c>
      <x:c r="C231" s="53" t="n">
        <x:f>IF(Decisiones!K230="",0,Decisiones!K230)</x:f>
        <x:v>1</x:v>
      </x:c>
      <x:c r="Z231" t="str">
        <x:v>D20250925</x:v>
      </x:c>
      <x:c r="AA231" t="n">
        <x:v>45925</x:v>
      </x:c>
    </x:row>
    <x:row r="232">
      <x:c r="A232" s="51" t="str">
        <x:f>TEXT(Decisiones!B231,"yyyy-mm")</x:f>
        <x:v>2025-09</x:v>
      </x:c>
      <x:c r="B232" s="52" t="n">
        <x:f>Decisiones!H231</x:f>
        <x:v>7.5</x:v>
      </x:c>
      <x:c r="C232" s="53" t="n">
        <x:f>IF(Decisiones!K231="",0,Decisiones!K231)</x:f>
        <x:v>1</x:v>
      </x:c>
      <x:c r="Z232" t="str">
        <x:v>D20251106</x:v>
      </x:c>
      <x:c r="AA232" t="n">
        <x:v>45967</x:v>
      </x:c>
    </x:row>
    <x:row r="233">
      <x:c r="A233" s="51" t="str">
        <x:f>TEXT(Decisiones!B232,"yyyy-mm")</x:f>
        <x:v>2025-11</x:v>
      </x:c>
      <x:c r="B233" s="52" t="n">
        <x:f>Decisiones!H232</x:f>
        <x:v>7.25</x:v>
      </x:c>
      <x:c r="C233" s="53" t="n">
        <x:f>IF(Decisiones!K232="",0,Decisiones!K232)</x:f>
        <x:v>1</x:v>
      </x:c>
      <x:c r="Z233" t="str">
        <x:v>D20251218</x:v>
      </x:c>
      <x:c r="AA233" t="n">
        <x:v>46009</x:v>
      </x:c>
    </x:row>
    <x:row r="234">
      <x:c r="A234" s="51" t="str">
        <x:f>TEXT(Decisiones!B233,"yyyy-mm")</x:f>
        <x:v>2025-12</x:v>
      </x:c>
      <x:c r="B234" s="52" t="n">
        <x:f>Decisiones!H233</x:f>
        <x:v>7</x:v>
      </x:c>
      <x:c r="C234" s="53" t="n">
        <x:f>IF(Decisiones!K233="",0,Decisiones!K233)</x:f>
        <x:v>1</x:v>
      </x:c>
      <x:c r="Z234" t="str">
        <x:v>D20260205</x:v>
      </x:c>
      <x:c r="AA234" t="n">
        <x:v>46058</x:v>
      </x:c>
    </x:row>
    <x:row r="235">
      <x:c r="A235" s="51" t="str">
        <x:f>TEXT(Decisiones!B234,"yyyy-mm")</x:f>
        <x:v>2026-02</x:v>
      </x:c>
      <x:c r="B235" s="52" t="n">
        <x:f>Decisiones!H234</x:f>
        <x:v>7</x:v>
      </x:c>
      <x:c r="C235" s="53" t="n">
        <x:f>IF(Decisiones!K234="",0,Decisiones!K234)</x:f>
        <x:v>0</x:v>
      </x:c>
      <x:c r="Z235" t="str">
        <x:v>D20260326</x:v>
      </x:c>
      <x:c r="AA235" t="n">
        <x:v>46107</x:v>
      </x:c>
    </x:row>
    <x:row r="236">
      <x:c r="A236" s="51" t="str">
        <x:f>TEXT(Decisiones!B235,"yyyy-mm")</x:f>
        <x:v>2026-03</x:v>
      </x:c>
      <x:c r="B236" s="52" t="n">
        <x:f>Decisiones!H235</x:f>
        <x:v>6.75</x:v>
      </x:c>
      <x:c r="C236" s="53" t="n">
        <x:f>IF(Decisiones!K235="",0,Decisiones!K235)</x:f>
        <x:v>2</x:v>
      </x:c>
      <x:c r="Z236" t="str">
        <x:v>D20260507</x:v>
      </x:c>
      <x:c r="AA236" t="n">
        <x:v>46149</x:v>
      </x:c>
    </x:row>
    <x:row r="237">
      <x:c r="A237" s="51" t="str">
        <x:f>TEXT(Decisiones!B236,"yyyy-mm")</x:f>
        <x:v>2026-05</x:v>
      </x:c>
      <x:c r="B237" s="52" t="n">
        <x:f>Decisiones!H236</x:f>
        <x:v>6.5</x:v>
      </x:c>
      <x:c r="C237" s="53" t="n">
        <x:f>IF(Decisiones!K236="",0,Decisiones!K236)</x:f>
        <x:v>2</x:v>
      </x:c>
      <x:c r="Z237" t="str">
        <x:v>D20260625</x:v>
      </x:c>
      <x:c r="AA237" t="n">
        <x:v>46198</x:v>
      </x:c>
    </x:row>
    <x:row r="238">
      <x:c r="A238" s="51" t="str">
        <x:f>TEXT(Decisiones!B237,"yyyy-mm")</x:f>
        <x:v>2026-06</x:v>
      </x:c>
      <x:c r="B238" s="52" t="n">
        <x:f>Decisiones!H237</x:f>
        <x:v>6.5</x:v>
      </x:c>
      <x:c r="C238" s="53" t="n">
        <x:f>IF(Decisiones!K237="",0,Decisiones!K237)</x:f>
        <x:v>0</x:v>
      </x:c>
      <x:c r="Z238" t="str">
        <x:v>D20260806</x:v>
      </x:c>
      <x:c r="AA238" t="n">
        <x:v>46240</x:v>
      </x:c>
    </x:row>
    <x:row r="239">
      <x:c r="A239" s="51"/>
      <x:c r="B239" s="52"/>
      <x:c r="C239" s="53"/>
      <x:c r="Z239"/>
      <x:c r="AA239"/>
    </x:row>
    <x:row r="240">
      <x:c r="A240" s="51"/>
      <x:c r="B240" s="52"/>
      <x:c r="C240" s="53"/>
      <x:c r="Z240"/>
      <x:c r="AA240"/>
    </x:row>
    <x:row r="241">
      <x:c r="A241" s="51"/>
      <x:c r="B241" s="52"/>
      <x:c r="C241" s="53"/>
      <x:c r="Z241"/>
      <x:c r="AA241"/>
    </x:row>
    <x:row r="242">
      <x:c r="A242" s="51"/>
      <x:c r="B242" s="52"/>
      <x:c r="C242" s="53"/>
      <x:c r="Z242"/>
      <x:c r="AA242"/>
    </x:row>
    <x:row r="243">
      <x:c r="A243" s="51"/>
      <x:c r="B243" s="52"/>
      <x:c r="C243" s="53"/>
      <x:c r="Z243"/>
      <x:c r="AA243"/>
    </x:row>
    <x:row r="244">
      <x:c r="A244" s="51"/>
      <x:c r="B244" s="52"/>
      <x:c r="C244" s="53"/>
      <x:c r="Z244"/>
      <x:c r="AA244"/>
    </x:row>
    <x:row r="245">
      <x:c r="A245" s="51"/>
      <x:c r="B245" s="52"/>
      <x:c r="C245" s="53"/>
      <x:c r="Z245"/>
      <x:c r="AA245"/>
    </x:row>
    <x:row r="246">
      <x:c r="A246" s="51"/>
      <x:c r="B246" s="52"/>
      <x:c r="C246" s="53"/>
      <x:c r="Z246"/>
      <x:c r="AA246"/>
    </x:row>
    <x:row r="247">
      <x:c r="A247" s="51"/>
      <x:c r="B247" s="52"/>
      <x:c r="C247" s="53"/>
      <x:c r="Z247"/>
      <x:c r="AA247"/>
    </x:row>
    <x:row r="248">
      <x:c r="A248" s="51"/>
      <x:c r="B248" s="52"/>
      <x:c r="C248" s="53"/>
      <x:c r="Z248"/>
      <x:c r="AA248"/>
    </x:row>
    <x:row r="249">
      <x:c r="A249" s="51"/>
      <x:c r="B249" s="52"/>
      <x:c r="C249" s="53"/>
      <x:c r="Z249"/>
      <x:c r="AA249"/>
    </x:row>
    <x:row r="250">
      <x:c r="A250" s="51"/>
      <x:c r="B250" s="52"/>
      <x:c r="C250" s="53"/>
      <x:c r="Z250"/>
      <x:c r="AA250"/>
    </x:row>
    <x:row r="251">
      <x:c r="A251" s="51"/>
      <x:c r="B251" s="52"/>
      <x:c r="C251" s="53"/>
      <x:c r="Z251"/>
      <x:c r="AA251"/>
    </x:row>
    <x:row r="252">
      <x:c r="A252" s="51"/>
      <x:c r="B252" s="52"/>
      <x:c r="C252" s="53"/>
      <x:c r="Z252"/>
      <x:c r="AA252"/>
    </x:row>
    <x:row r="253">
      <x:c r="A253" s="51"/>
      <x:c r="B253" s="52"/>
      <x:c r="C253" s="53"/>
      <x:c r="Z253"/>
      <x:c r="AA253"/>
    </x:row>
    <x:row r="254">
      <x:c r="A254" s="51"/>
      <x:c r="B254" s="52"/>
      <x:c r="C254" s="53"/>
      <x:c r="Z254"/>
      <x:c r="AA254"/>
    </x:row>
    <x:row r="255">
      <x:c r="A255" s="51"/>
      <x:c r="B255" s="52"/>
      <x:c r="C255" s="53"/>
      <x:c r="Z255"/>
      <x:c r="AA255"/>
    </x:row>
    <x:row r="256">
      <x:c r="A256" s="51"/>
      <x:c r="B256" s="52"/>
      <x:c r="C256" s="53"/>
      <x:c r="Z256"/>
      <x:c r="AA256"/>
    </x:row>
    <x:row r="257">
      <x:c r="A257" s="51"/>
      <x:c r="B257" s="52"/>
      <x:c r="C257" s="53"/>
      <x:c r="Z257"/>
      <x:c r="AA257"/>
    </x:row>
    <x:row r="258">
      <x:c r="A258" s="51"/>
      <x:c r="B258" s="52"/>
      <x:c r="C258" s="53"/>
      <x:c r="Z258"/>
      <x:c r="AA258"/>
    </x:row>
    <x:row r="259">
      <x:c r="A259" s="51"/>
      <x:c r="B259" s="52"/>
      <x:c r="C259" s="53"/>
    </x:row>
    <x:row r="260">
      <x:c r="A260" s="51"/>
      <x:c r="B260" s="52"/>
      <x:c r="C260" s="53"/>
    </x:row>
    <x:row r="261">
      <x:c r="A261" s="51"/>
      <x:c r="B261" s="52"/>
      <x:c r="C261" s="53"/>
    </x:row>
    <x:row r="262">
      <x:c r="A262" s="51"/>
      <x:c r="B262" s="52"/>
      <x:c r="C262" s="53"/>
    </x:row>
    <x:row r="263">
      <x:c r="A263" s="51"/>
      <x:c r="B263" s="52"/>
      <x:c r="C263" s="53"/>
    </x:row>
    <x:row r="264">
      <x:c r="A264" s="51"/>
      <x:c r="B264" s="52"/>
      <x:c r="C264" s="53"/>
    </x:row>
    <x:row r="265">
      <x:c r="A265" s="51"/>
      <x:c r="B265" s="52"/>
      <x:c r="C265" s="53"/>
    </x:row>
    <x:row r="266">
      <x:c r="A266" s="51"/>
      <x:c r="B266" s="52"/>
      <x:c r="C266" s="53"/>
    </x:row>
    <x:row r="267">
      <x:c r="A267" s="51"/>
      <x:c r="B267" s="52"/>
      <x:c r="C267" s="53"/>
    </x:row>
    <x:row r="268">
      <x:c r="A268" s="51"/>
      <x:c r="B268" s="52"/>
      <x:c r="C268" s="53"/>
    </x:row>
    <x:row r="269">
      <x:c r="A269" s="51"/>
      <x:c r="B269" s="52"/>
      <x:c r="C269" s="53"/>
    </x:row>
    <x:row r="270">
      <x:c r="A270" s="51"/>
      <x:c r="B270" s="52"/>
      <x:c r="C270" s="53"/>
    </x:row>
    <x:row r="271">
      <x:c r="A271" s="51"/>
      <x:c r="B271" s="52"/>
      <x:c r="C271" s="53"/>
    </x:row>
    <x:row r="272">
      <x:c r="A272" s="51"/>
      <x:c r="B272" s="52"/>
      <x:c r="C272" s="53"/>
    </x:row>
    <x:row r="273">
      <x:c r="A273" s="51"/>
      <x:c r="B273" s="52"/>
      <x:c r="C273" s="53"/>
    </x:row>
    <x:row r="274">
      <x:c r="A274" s="51"/>
      <x:c r="B274" s="52"/>
      <x:c r="C274" s="53"/>
    </x:row>
    <x:row r="275">
      <x:c r="A275" s="51"/>
      <x:c r="B275" s="52"/>
      <x:c r="C275" s="53"/>
    </x:row>
    <x:row r="276">
      <x:c r="A276" s="51"/>
      <x:c r="B276" s="52"/>
      <x:c r="C276" s="53"/>
    </x:row>
    <x:row r="277">
      <x:c r="A277" s="51"/>
      <x:c r="B277" s="52"/>
      <x:c r="C277" s="53"/>
    </x:row>
    <x:row r="278">
      <x:c r="A278" s="51"/>
      <x:c r="B278" s="52"/>
      <x:c r="C278" s="53"/>
    </x:row>
    <x:row r="279">
      <x:c r="A279" s="51"/>
      <x:c r="B279" s="52"/>
      <x:c r="C279" s="53"/>
    </x:row>
    <x:row r="280">
      <x:c r="A280" s="51"/>
      <x:c r="B280" s="52"/>
      <x:c r="C280" s="53"/>
    </x:row>
    <x:row r="281">
      <x:c r="A281" s="51"/>
      <x:c r="B281" s="52"/>
      <x:c r="C281" s="53"/>
    </x:row>
    <x:row r="282">
      <x:c r="A282" s="51"/>
      <x:c r="B282" s="52"/>
      <x:c r="C282" s="53"/>
    </x:row>
    <x:row r="283">
      <x:c r="A283" s="51"/>
      <x:c r="B283" s="52"/>
      <x:c r="C283" s="53"/>
    </x:row>
    <x:row r="284">
      <x:c r="A284" s="51"/>
      <x:c r="B284" s="52"/>
      <x:c r="C284" s="53"/>
    </x:row>
    <x:row r="285">
      <x:c r="A285" s="51"/>
      <x:c r="B285" s="52"/>
      <x:c r="C285" s="53"/>
    </x:row>
    <x:row r="286">
      <x:c r="A286" s="51"/>
      <x:c r="B286" s="52"/>
      <x:c r="C286" s="53"/>
    </x:row>
    <x:row r="287">
      <x:c r="A287" s="51"/>
      <x:c r="B287" s="52"/>
      <x:c r="C287" s="53"/>
    </x:row>
    <x:row r="288">
      <x:c r="A288" s="51"/>
      <x:c r="B288" s="52"/>
      <x:c r="C288" s="53"/>
    </x:row>
    <x:row r="289">
      <x:c r="A289" s="51"/>
      <x:c r="B289" s="52"/>
      <x:c r="C289" s="53"/>
    </x:row>
    <x:row r="290">
      <x:c r="A290" s="51"/>
      <x:c r="B290" s="52"/>
      <x:c r="C290" s="53"/>
    </x:row>
    <x:row r="291">
      <x:c r="A291" s="51"/>
      <x:c r="B291" s="52"/>
      <x:c r="C291" s="53"/>
    </x:row>
    <x:row r="292">
      <x:c r="A292" s="51"/>
      <x:c r="B292" s="52"/>
      <x:c r="C292" s="53"/>
    </x:row>
    <x:row r="293">
      <x:c r="A293" s="51"/>
      <x:c r="B293" s="52"/>
      <x:c r="C293" s="53"/>
    </x:row>
    <x:row r="294">
      <x:c r="A294" s="51"/>
      <x:c r="B294" s="52"/>
      <x:c r="C294" s="53"/>
    </x:row>
    <x:row r="295">
      <x:c r="A295" s="51"/>
      <x:c r="B295" s="52"/>
      <x:c r="C295" s="53"/>
    </x:row>
    <x:row r="296">
      <x:c r="A296" s="51"/>
      <x:c r="B296" s="52"/>
      <x:c r="C296" s="53"/>
    </x:row>
    <x:row r="297">
      <x:c r="A297" s="51"/>
      <x:c r="B297" s="52"/>
      <x:c r="C297" s="53"/>
    </x:row>
    <x:row r="298">
      <x:c r="A298" s="51"/>
      <x:c r="B298" s="52"/>
      <x:c r="C298" s="53"/>
    </x:row>
    <x:row r="299">
      <x:c r="A299" s="51"/>
      <x:c r="B299" s="52"/>
      <x:c r="C299" s="53"/>
    </x:row>
    <x:row r="300">
      <x:c r="A300" s="51"/>
      <x:c r="B300" s="52"/>
      <x:c r="C300" s="53"/>
    </x:row>
    <x:row r="301">
      <x:c r="A301" s="51"/>
      <x:c r="B301" s="52"/>
      <x:c r="C301" s="53"/>
    </x:row>
    <x:row r="302">
      <x:c r="A302" s="51"/>
      <x:c r="B302" s="52"/>
      <x:c r="C302" s="53"/>
    </x:row>
    <x:row r="303">
      <x:c r="A303" s="51"/>
      <x:c r="B303" s="52"/>
      <x:c r="C303" s="53"/>
    </x:row>
    <x:row r="304">
      <x:c r="A304" s="51"/>
      <x:c r="B304" s="52"/>
      <x:c r="C304" s="53"/>
    </x:row>
    <x:row r="305">
      <x:c r="A305" s="51"/>
      <x:c r="B305" s="52"/>
      <x:c r="C305" s="53"/>
    </x:row>
    <x:row r="306">
      <x:c r="A306" s="51"/>
      <x:c r="B306" s="52"/>
      <x:c r="C306" s="53"/>
    </x:row>
    <x:row r="307">
      <x:c r="A307" s="51"/>
      <x:c r="B307" s="52"/>
      <x:c r="C307" s="53"/>
    </x:row>
    <x:row r="308">
      <x:c r="A308" s="51"/>
      <x:c r="B308" s="52"/>
      <x:c r="C308" s="53"/>
    </x:row>
    <x:row r="309">
      <x:c r="A309" s="51"/>
      <x:c r="B309" s="52"/>
      <x:c r="C309" s="53"/>
    </x:row>
    <x:row r="310">
      <x:c r="A310" s="51"/>
      <x:c r="B310" s="52"/>
      <x:c r="C310" s="53"/>
    </x:row>
    <x:row r="311">
      <x:c r="A311" s="51"/>
      <x:c r="B311" s="52"/>
      <x:c r="C311" s="53"/>
    </x:row>
    <x:row r="312">
      <x:c r="A312" s="51"/>
      <x:c r="B312" s="52"/>
      <x:c r="C312" s="53"/>
    </x:row>
    <x:row r="313">
      <x:c r="A313" s="51"/>
      <x:c r="B313" s="52"/>
      <x:c r="C313" s="53"/>
    </x:row>
    <x:row r="314">
      <x:c r="A314" s="51"/>
      <x:c r="B314" s="52"/>
      <x:c r="C314" s="53"/>
    </x:row>
    <x:row r="315">
      <x:c r="A315" s="51"/>
      <x:c r="B315" s="52"/>
      <x:c r="C315" s="53"/>
    </x:row>
    <x:row r="316">
      <x:c r="A316" s="51"/>
      <x:c r="B316" s="52"/>
      <x:c r="C316" s="53"/>
    </x:row>
    <x:row r="350">
      <x:c r="A350" s="50" t="s">
        <x:v>0</x:v>
      </x:c>
      <x:c r="B350" s="50" t="s">
        <x:v>894</x:v>
      </x:c>
      <x:c r="C350" s="50" t="s">
        <x:v>895</x:v>
      </x:c>
      <x:c r="D350" s="50" t="s">
        <x:v>896</x:v>
      </x:c>
      <x:c r="E350" s="50" t="s">
        <x:v>897</x:v>
      </x:c>
      <x:c r="F350" s="50" t="s">
        <x:v>898</x:v>
      </x:c>
      <x:c r="G350" s="50" t="s">
        <x:v>899</x:v>
      </x:c>
      <x:c r="H350" s="50" t="s">
        <x:v>900</x:v>
      </x:c>
      <x:c r="I350" s="50" t="s">
        <x:v>901</x:v>
      </x:c>
      <x:c r="J350" s="50" t="s">
        <x:v>902</x:v>
      </x:c>
      <x:c r="K350" s="50" t="s">
        <x:v>903</x:v>
      </x:c>
    </x:row>
    <x:row r="351">
      <x:c r="A351" s="50" t="s">
        <x:v>14</x:v>
      </x:c>
      <x:c r="B351" s="50"/>
      <x:c r="C351" s="50"/>
      <x:c r="D351" s="50"/>
      <x:c r="E351" s="50"/>
      <x:c r="F351" s="50"/>
      <x:c r="G351" s="50"/>
      <x:c r="H351" s="50"/>
      <x:c r="I351" s="50"/>
      <x:c r="J351" s="50"/>
      <x:c r="K351" s="50"/>
    </x:row>
    <x:row r="352">
      <x:c r="A352" s="50" t="s">
        <x:v>20</x:v>
      </x:c>
      <x:c r="B352" s="50"/>
      <x:c r="C352" s="50"/>
      <x:c r="D352" s="50"/>
      <x:c r="E352" s="50"/>
      <x:c r="F352" s="50"/>
      <x:c r="G352" s="50"/>
      <x:c r="H352" s="50"/>
      <x:c r="I352" s="50"/>
      <x:c r="J352" s="50"/>
      <x:c r="K352" s="50"/>
    </x:row>
    <x:row r="353">
      <x:c r="A353" s="50" t="s">
        <x:v>22</x:v>
      </x:c>
      <x:c r="B353" s="50"/>
      <x:c r="C353" s="50"/>
      <x:c r="D353" s="50"/>
      <x:c r="E353" s="50"/>
      <x:c r="F353" s="50"/>
      <x:c r="G353" s="50"/>
      <x:c r="H353" s="50"/>
      <x:c r="I353" s="50"/>
      <x:c r="J353" s="50"/>
      <x:c r="K353" s="50"/>
    </x:row>
    <x:row r="354">
      <x:c r="A354" s="50" t="s">
        <x:v>24</x:v>
      </x:c>
      <x:c r="B354" s="50"/>
      <x:c r="C354" s="50"/>
      <x:c r="D354" s="50"/>
      <x:c r="E354" s="50"/>
      <x:c r="F354" s="50"/>
      <x:c r="G354" s="50"/>
      <x:c r="H354" s="50"/>
      <x:c r="I354" s="50"/>
      <x:c r="J354" s="50"/>
      <x:c r="K354" s="50"/>
    </x:row>
    <x:row r="355">
      <x:c r="A355" s="50" t="s">
        <x:v>26</x:v>
      </x:c>
      <x:c r="B355" s="50"/>
      <x:c r="C355" s="50"/>
      <x:c r="D355" s="50"/>
      <x:c r="E355" s="50"/>
      <x:c r="F355" s="50"/>
      <x:c r="G355" s="50"/>
      <x:c r="H355" s="50"/>
      <x:c r="I355" s="50"/>
      <x:c r="J355" s="50"/>
      <x:c r="K355" s="50"/>
    </x:row>
    <x:row r="356">
      <x:c r="A356" s="50" t="s">
        <x:v>28</x:v>
      </x:c>
      <x:c r="B356" s="50"/>
      <x:c r="C356" s="50"/>
      <x:c r="D356" s="50"/>
      <x:c r="E356" s="50"/>
      <x:c r="F356" s="50"/>
      <x:c r="G356" s="50"/>
      <x:c r="H356" s="50"/>
      <x:c r="I356" s="50"/>
      <x:c r="J356" s="50"/>
      <x:c r="K356" s="50"/>
    </x:row>
    <x:row r="357">
      <x:c r="A357" s="50" t="s">
        <x:v>30</x:v>
      </x:c>
      <x:c r="B357" s="50"/>
      <x:c r="C357" s="50"/>
      <x:c r="D357" s="50"/>
      <x:c r="E357" s="50"/>
      <x:c r="F357" s="50"/>
      <x:c r="G357" s="50"/>
      <x:c r="H357" s="50"/>
      <x:c r="I357" s="50"/>
      <x:c r="J357" s="50"/>
      <x:c r="K357" s="50"/>
    </x:row>
    <x:row r="358">
      <x:c r="A358" s="50" t="s">
        <x:v>32</x:v>
      </x:c>
      <x:c r="B358" s="50"/>
      <x:c r="C358" s="50"/>
      <x:c r="D358" s="50"/>
      <x:c r="E358" s="50"/>
      <x:c r="F358" s="50"/>
      <x:c r="G358" s="50"/>
      <x:c r="H358" s="50"/>
      <x:c r="I358" s="50"/>
      <x:c r="J358" s="50"/>
      <x:c r="K358" s="50"/>
    </x:row>
    <x:row r="359">
      <x:c r="A359" s="50" t="s">
        <x:v>34</x:v>
      </x:c>
      <x:c r="B359" s="50"/>
      <x:c r="C359" s="50"/>
      <x:c r="D359" s="50"/>
      <x:c r="E359" s="50"/>
      <x:c r="F359" s="50"/>
      <x:c r="G359" s="50"/>
      <x:c r="H359" s="50"/>
      <x:c r="I359" s="50"/>
      <x:c r="J359" s="50"/>
      <x:c r="K359" s="50"/>
    </x:row>
    <x:row r="360">
      <x:c r="A360" s="50" t="s">
        <x:v>36</x:v>
      </x:c>
      <x:c r="B360" s="50"/>
      <x:c r="C360" s="50"/>
      <x:c r="D360" s="50"/>
      <x:c r="E360" s="50"/>
      <x:c r="F360" s="50"/>
      <x:c r="G360" s="50"/>
      <x:c r="H360" s="50"/>
      <x:c r="I360" s="50"/>
      <x:c r="J360" s="50"/>
      <x:c r="K360" s="50"/>
    </x:row>
    <x:row r="361">
      <x:c r="A361" s="50" t="s">
        <x:v>38</x:v>
      </x:c>
      <x:c r="B361" s="50"/>
      <x:c r="C361" s="50"/>
      <x:c r="D361" s="50"/>
      <x:c r="E361" s="50"/>
      <x:c r="F361" s="50"/>
      <x:c r="G361" s="50"/>
      <x:c r="H361" s="50"/>
      <x:c r="I361" s="50"/>
      <x:c r="J361" s="50"/>
      <x:c r="K361" s="50"/>
    </x:row>
    <x:row r="362">
      <x:c r="A362" s="50" t="s">
        <x:v>40</x:v>
      </x:c>
      <x:c r="B362" s="50"/>
      <x:c r="C362" s="50"/>
      <x:c r="D362" s="50"/>
      <x:c r="E362" s="50"/>
      <x:c r="F362" s="50"/>
      <x:c r="G362" s="50"/>
      <x:c r="H362" s="50"/>
      <x:c r="I362" s="50"/>
      <x:c r="J362" s="50"/>
      <x:c r="K362" s="50"/>
    </x:row>
    <x:row r="363">
      <x:c r="A363" s="50" t="s">
        <x:v>42</x:v>
      </x:c>
      <x:c r="B363" s="50"/>
      <x:c r="C363" s="50"/>
      <x:c r="D363" s="50"/>
      <x:c r="E363" s="50"/>
      <x:c r="F363" s="50"/>
      <x:c r="G363" s="50"/>
      <x:c r="H363" s="50"/>
      <x:c r="I363" s="50"/>
      <x:c r="J363" s="50"/>
      <x:c r="K363" s="50"/>
    </x:row>
    <x:row r="364">
      <x:c r="A364" s="50" t="s">
        <x:v>44</x:v>
      </x:c>
      <x:c r="B364" s="50"/>
      <x:c r="C364" s="50"/>
      <x:c r="D364" s="50"/>
      <x:c r="E364" s="50"/>
      <x:c r="F364" s="50"/>
      <x:c r="G364" s="50"/>
      <x:c r="H364" s="50"/>
      <x:c r="I364" s="50"/>
      <x:c r="J364" s="50"/>
      <x:c r="K364" s="50"/>
    </x:row>
    <x:row r="365">
      <x:c r="A365" s="50" t="s">
        <x:v>46</x:v>
      </x:c>
      <x:c r="B365" s="50"/>
      <x:c r="C365" s="50"/>
      <x:c r="D365" s="50"/>
      <x:c r="E365" s="50"/>
      <x:c r="F365" s="50"/>
      <x:c r="G365" s="50"/>
      <x:c r="H365" s="50"/>
      <x:c r="I365" s="50"/>
      <x:c r="J365" s="50"/>
      <x:c r="K365" s="50"/>
    </x:row>
    <x:row r="366">
      <x:c r="A366" s="50" t="s">
        <x:v>49</x:v>
      </x:c>
      <x:c r="B366" s="50"/>
      <x:c r="C366" s="50"/>
      <x:c r="D366" s="50"/>
      <x:c r="E366" s="50"/>
      <x:c r="F366" s="50"/>
      <x:c r="G366" s="50"/>
      <x:c r="H366" s="50"/>
      <x:c r="I366" s="50"/>
      <x:c r="J366" s="50"/>
      <x:c r="K366" s="50"/>
    </x:row>
    <x:row r="367">
      <x:c r="A367" s="50" t="s">
        <x:v>51</x:v>
      </x:c>
      <x:c r="B367" s="50"/>
      <x:c r="C367" s="50"/>
      <x:c r="D367" s="50"/>
      <x:c r="E367" s="50"/>
      <x:c r="F367" s="50"/>
      <x:c r="G367" s="50"/>
      <x:c r="H367" s="50"/>
      <x:c r="I367" s="50"/>
      <x:c r="J367" s="50"/>
      <x:c r="K367" s="50"/>
    </x:row>
    <x:row r="368">
      <x:c r="A368" s="50" t="s">
        <x:v>53</x:v>
      </x:c>
      <x:c r="B368" s="50"/>
      <x:c r="C368" s="50"/>
      <x:c r="D368" s="50"/>
      <x:c r="E368" s="50"/>
      <x:c r="F368" s="50"/>
      <x:c r="G368" s="50"/>
      <x:c r="H368" s="50"/>
      <x:c r="I368" s="50"/>
      <x:c r="J368" s="50"/>
      <x:c r="K368" s="50"/>
    </x:row>
    <x:row r="369">
      <x:c r="A369" s="50" t="s">
        <x:v>55</x:v>
      </x:c>
      <x:c r="B369" s="50"/>
      <x:c r="C369" s="50"/>
      <x:c r="D369" s="50"/>
      <x:c r="E369" s="50"/>
      <x:c r="F369" s="50"/>
      <x:c r="G369" s="50"/>
      <x:c r="H369" s="50"/>
      <x:c r="I369" s="50"/>
      <x:c r="J369" s="50"/>
      <x:c r="K369" s="50"/>
    </x:row>
    <x:row r="370">
      <x:c r="A370" s="50" t="s">
        <x:v>57</x:v>
      </x:c>
      <x:c r="B370" s="50"/>
      <x:c r="C370" s="50"/>
      <x:c r="D370" s="50"/>
      <x:c r="E370" s="50"/>
      <x:c r="F370" s="50"/>
      <x:c r="G370" s="50"/>
      <x:c r="H370" s="50"/>
      <x:c r="I370" s="50"/>
      <x:c r="J370" s="50"/>
      <x:c r="K370" s="50"/>
    </x:row>
    <x:row r="371">
      <x:c r="A371" s="50" t="s">
        <x:v>59</x:v>
      </x:c>
      <x:c r="B371" s="50"/>
      <x:c r="C371" s="50"/>
      <x:c r="D371" s="50"/>
      <x:c r="E371" s="50"/>
      <x:c r="F371" s="50"/>
      <x:c r="G371" s="50"/>
      <x:c r="H371" s="50"/>
      <x:c r="I371" s="50"/>
      <x:c r="J371" s="50"/>
      <x:c r="K371" s="50"/>
    </x:row>
    <x:row r="372">
      <x:c r="A372" s="50" t="s">
        <x:v>61</x:v>
      </x:c>
      <x:c r="B372" s="50"/>
      <x:c r="C372" s="50"/>
      <x:c r="D372" s="50"/>
      <x:c r="E372" s="50"/>
      <x:c r="F372" s="50"/>
      <x:c r="G372" s="50"/>
      <x:c r="H372" s="50"/>
      <x:c r="I372" s="50"/>
      <x:c r="J372" s="50"/>
      <x:c r="K372" s="50"/>
    </x:row>
    <x:row r="373">
      <x:c r="A373" s="50" t="s">
        <x:v>63</x:v>
      </x:c>
      <x:c r="B373" s="50"/>
      <x:c r="C373" s="50"/>
      <x:c r="D373" s="50"/>
      <x:c r="E373" s="50"/>
      <x:c r="F373" s="50"/>
      <x:c r="G373" s="50"/>
      <x:c r="H373" s="50"/>
      <x:c r="I373" s="50"/>
      <x:c r="J373" s="50"/>
      <x:c r="K373" s="50"/>
    </x:row>
    <x:row r="374">
      <x:c r="A374" s="50" t="s">
        <x:v>65</x:v>
      </x:c>
      <x:c r="B374" s="50"/>
      <x:c r="C374" s="50"/>
      <x:c r="D374" s="50"/>
      <x:c r="E374" s="50"/>
      <x:c r="F374" s="50"/>
      <x:c r="G374" s="50"/>
      <x:c r="H374" s="50"/>
      <x:c r="I374" s="50"/>
      <x:c r="J374" s="50"/>
      <x:c r="K374" s="50"/>
    </x:row>
    <x:row r="375">
      <x:c r="A375" s="50" t="s">
        <x:v>67</x:v>
      </x:c>
      <x:c r="B375" s="50"/>
      <x:c r="C375" s="50"/>
      <x:c r="D375" s="50"/>
      <x:c r="E375" s="50"/>
      <x:c r="F375" s="50"/>
      <x:c r="G375" s="50"/>
      <x:c r="H375" s="50"/>
      <x:c r="I375" s="50"/>
      <x:c r="J375" s="50"/>
      <x:c r="K375" s="50"/>
    </x:row>
    <x:row r="376">
      <x:c r="A376" s="50" t="s">
        <x:v>69</x:v>
      </x:c>
      <x:c r="B376" s="50"/>
      <x:c r="C376" s="50"/>
      <x:c r="D376" s="50"/>
      <x:c r="E376" s="50"/>
      <x:c r="F376" s="50"/>
      <x:c r="G376" s="50"/>
      <x:c r="H376" s="50"/>
      <x:c r="I376" s="50"/>
      <x:c r="J376" s="50"/>
      <x:c r="K376" s="50"/>
    </x:row>
    <x:row r="377">
      <x:c r="A377" s="50" t="s">
        <x:v>71</x:v>
      </x:c>
      <x:c r="B377" s="50"/>
      <x:c r="C377" s="50"/>
      <x:c r="D377" s="50"/>
      <x:c r="E377" s="50"/>
      <x:c r="F377" s="50"/>
      <x:c r="G377" s="50"/>
      <x:c r="H377" s="50"/>
      <x:c r="I377" s="50"/>
      <x:c r="J377" s="50"/>
      <x:c r="K377" s="50"/>
    </x:row>
    <x:row r="378">
      <x:c r="A378" s="50" t="s">
        <x:v>73</x:v>
      </x:c>
      <x:c r="B378" s="50"/>
      <x:c r="C378" s="50"/>
      <x:c r="D378" s="50"/>
      <x:c r="E378" s="50"/>
      <x:c r="F378" s="50"/>
      <x:c r="G378" s="50"/>
      <x:c r="H378" s="50"/>
      <x:c r="I378" s="50"/>
      <x:c r="J378" s="50"/>
      <x:c r="K378" s="50"/>
    </x:row>
    <x:row r="379">
      <x:c r="A379" s="50" t="s">
        <x:v>75</x:v>
      </x:c>
      <x:c r="B379" s="50"/>
      <x:c r="C379" s="50"/>
      <x:c r="D379" s="50"/>
      <x:c r="E379" s="50"/>
      <x:c r="F379" s="50"/>
      <x:c r="G379" s="50"/>
      <x:c r="H379" s="50"/>
      <x:c r="I379" s="50"/>
      <x:c r="J379" s="50"/>
      <x:c r="K379" s="50"/>
    </x:row>
    <x:row r="380">
      <x:c r="A380" s="50" t="s">
        <x:v>77</x:v>
      </x:c>
      <x:c r="B380" s="50"/>
      <x:c r="C380" s="50"/>
      <x:c r="D380" s="50"/>
      <x:c r="E380" s="50"/>
      <x:c r="F380" s="50"/>
      <x:c r="G380" s="50"/>
      <x:c r="H380" s="50"/>
      <x:c r="I380" s="50"/>
      <x:c r="J380" s="50"/>
      <x:c r="K380" s="50"/>
    </x:row>
    <x:row r="381">
      <x:c r="A381" s="50" t="s">
        <x:v>79</x:v>
      </x:c>
      <x:c r="B381" s="50"/>
      <x:c r="C381" s="50"/>
      <x:c r="D381" s="50"/>
      <x:c r="E381" s="50"/>
      <x:c r="F381" s="50"/>
      <x:c r="G381" s="50"/>
      <x:c r="H381" s="50"/>
      <x:c r="I381" s="50"/>
      <x:c r="J381" s="50"/>
      <x:c r="K381" s="50"/>
    </x:row>
    <x:row r="382">
      <x:c r="A382" s="50" t="s">
        <x:v>81</x:v>
      </x:c>
      <x:c r="B382" s="50"/>
      <x:c r="C382" s="50"/>
      <x:c r="D382" s="50"/>
      <x:c r="E382" s="50"/>
      <x:c r="F382" s="50"/>
      <x:c r="G382" s="50"/>
      <x:c r="H382" s="50"/>
      <x:c r="I382" s="50"/>
      <x:c r="J382" s="50"/>
      <x:c r="K382" s="50"/>
    </x:row>
    <x:row r="383">
      <x:c r="A383" s="50" t="s">
        <x:v>83</x:v>
      </x:c>
      <x:c r="B383" s="50"/>
      <x:c r="C383" s="50"/>
      <x:c r="D383" s="50"/>
      <x:c r="E383" s="50"/>
      <x:c r="F383" s="50"/>
      <x:c r="G383" s="50"/>
      <x:c r="H383" s="50"/>
      <x:c r="I383" s="50"/>
      <x:c r="J383" s="50"/>
      <x:c r="K383" s="50"/>
    </x:row>
    <x:row r="384">
      <x:c r="A384" s="50" t="s">
        <x:v>85</x:v>
      </x:c>
      <x:c r="B384" s="50"/>
      <x:c r="C384" s="50"/>
      <x:c r="D384" s="50"/>
      <x:c r="E384" s="50"/>
      <x:c r="F384" s="50"/>
      <x:c r="G384" s="50"/>
      <x:c r="H384" s="50"/>
      <x:c r="I384" s="50"/>
      <x:c r="J384" s="50"/>
      <x:c r="K384" s="50"/>
    </x:row>
    <x:row r="385">
      <x:c r="A385" s="50" t="s">
        <x:v>87</x:v>
      </x:c>
      <x:c r="B385" s="50"/>
      <x:c r="C385" s="50"/>
      <x:c r="D385" s="50"/>
      <x:c r="E385" s="50"/>
      <x:c r="F385" s="50"/>
      <x:c r="G385" s="50"/>
      <x:c r="H385" s="50"/>
      <x:c r="I385" s="50"/>
      <x:c r="J385" s="50"/>
      <x:c r="K385" s="50"/>
    </x:row>
    <x:row r="386">
      <x:c r="A386" s="50" t="s">
        <x:v>89</x:v>
      </x:c>
      <x:c r="B386" s="50"/>
      <x:c r="C386" s="50"/>
      <x:c r="D386" s="50"/>
      <x:c r="E386" s="50"/>
      <x:c r="F386" s="50"/>
      <x:c r="G386" s="50"/>
      <x:c r="H386" s="50"/>
      <x:c r="I386" s="50"/>
      <x:c r="J386" s="50"/>
      <x:c r="K386" s="50"/>
    </x:row>
    <x:row r="387">
      <x:c r="A387" s="50" t="s">
        <x:v>91</x:v>
      </x:c>
      <x:c r="B387" s="50"/>
      <x:c r="C387" s="50"/>
      <x:c r="D387" s="50"/>
      <x:c r="E387" s="50"/>
      <x:c r="F387" s="50"/>
      <x:c r="G387" s="50"/>
      <x:c r="H387" s="50"/>
      <x:c r="I387" s="50"/>
      <x:c r="J387" s="50"/>
      <x:c r="K387" s="50"/>
    </x:row>
    <x:row r="388">
      <x:c r="A388" s="50" t="s">
        <x:v>93</x:v>
      </x:c>
      <x:c r="B388" s="50"/>
      <x:c r="C388" s="50"/>
      <x:c r="D388" s="50"/>
      <x:c r="E388" s="50"/>
      <x:c r="F388" s="50"/>
      <x:c r="G388" s="50"/>
      <x:c r="H388" s="50"/>
      <x:c r="I388" s="50"/>
      <x:c r="J388" s="50"/>
      <x:c r="K388" s="50"/>
    </x:row>
    <x:row r="389">
      <x:c r="A389" s="50" t="s">
        <x:v>95</x:v>
      </x:c>
      <x:c r="B389" s="50"/>
      <x:c r="C389" s="50"/>
      <x:c r="D389" s="50"/>
      <x:c r="E389" s="50"/>
      <x:c r="F389" s="50"/>
      <x:c r="G389" s="50"/>
      <x:c r="H389" s="50"/>
      <x:c r="I389" s="50"/>
      <x:c r="J389" s="50"/>
      <x:c r="K389" s="50"/>
    </x:row>
    <x:row r="390">
      <x:c r="A390" s="50" t="s">
        <x:v>97</x:v>
      </x:c>
      <x:c r="B390" s="50"/>
      <x:c r="C390" s="50"/>
      <x:c r="D390" s="50"/>
      <x:c r="E390" s="50"/>
      <x:c r="F390" s="50"/>
      <x:c r="G390" s="50"/>
      <x:c r="H390" s="50"/>
      <x:c r="I390" s="50"/>
      <x:c r="J390" s="50"/>
      <x:c r="K390" s="50"/>
    </x:row>
    <x:row r="391">
      <x:c r="A391" s="50" t="s">
        <x:v>99</x:v>
      </x:c>
      <x:c r="B391" s="50"/>
      <x:c r="C391" s="50"/>
      <x:c r="D391" s="50"/>
      <x:c r="E391" s="50"/>
      <x:c r="F391" s="50"/>
      <x:c r="G391" s="50"/>
      <x:c r="H391" s="50"/>
      <x:c r="I391" s="50"/>
      <x:c r="J391" s="50"/>
      <x:c r="K391" s="50"/>
    </x:row>
    <x:row r="392">
      <x:c r="A392" s="50" t="s">
        <x:v>101</x:v>
      </x:c>
      <x:c r="B392" s="50"/>
      <x:c r="C392" s="50"/>
      <x:c r="D392" s="50"/>
      <x:c r="E392" s="50"/>
      <x:c r="F392" s="50"/>
      <x:c r="G392" s="50"/>
      <x:c r="H392" s="50"/>
      <x:c r="I392" s="50"/>
      <x:c r="J392" s="50"/>
      <x:c r="K392" s="50"/>
    </x:row>
    <x:row r="393">
      <x:c r="A393" s="50" t="s">
        <x:v>103</x:v>
      </x:c>
      <x:c r="B393" s="50"/>
      <x:c r="C393" s="50"/>
      <x:c r="D393" s="50"/>
      <x:c r="E393" s="50"/>
      <x:c r="F393" s="50"/>
      <x:c r="G393" s="50"/>
      <x:c r="H393" s="50"/>
      <x:c r="I393" s="50"/>
      <x:c r="J393" s="50"/>
      <x:c r="K393" s="50"/>
    </x:row>
    <x:row r="394">
      <x:c r="A394" s="50" t="s">
        <x:v>105</x:v>
      </x:c>
      <x:c r="B394" s="50"/>
      <x:c r="C394" s="50"/>
      <x:c r="D394" s="50"/>
      <x:c r="E394" s="50"/>
      <x:c r="F394" s="50"/>
      <x:c r="G394" s="50"/>
      <x:c r="H394" s="50"/>
      <x:c r="I394" s="50"/>
      <x:c r="J394" s="50"/>
      <x:c r="K394" s="50"/>
    </x:row>
    <x:row r="395">
      <x:c r="A395" s="50" t="s">
        <x:v>107</x:v>
      </x:c>
      <x:c r="B395" s="50"/>
      <x:c r="C395" s="50"/>
      <x:c r="D395" s="50"/>
      <x:c r="E395" s="50"/>
      <x:c r="F395" s="50"/>
      <x:c r="G395" s="50"/>
      <x:c r="H395" s="50"/>
      <x:c r="I395" s="50"/>
      <x:c r="J395" s="50"/>
      <x:c r="K395" s="50"/>
    </x:row>
    <x:row r="396">
      <x:c r="A396" s="50" t="s">
        <x:v>109</x:v>
      </x:c>
      <x:c r="B396" s="50"/>
      <x:c r="C396" s="50"/>
      <x:c r="D396" s="50"/>
      <x:c r="E396" s="50"/>
      <x:c r="F396" s="50"/>
      <x:c r="G396" s="50"/>
      <x:c r="H396" s="50"/>
      <x:c r="I396" s="50"/>
      <x:c r="J396" s="50"/>
      <x:c r="K396" s="50"/>
    </x:row>
    <x:row r="397">
      <x:c r="A397" s="50" t="s">
        <x:v>111</x:v>
      </x:c>
      <x:c r="B397" s="50"/>
      <x:c r="C397" s="50"/>
      <x:c r="D397" s="50"/>
      <x:c r="E397" s="50"/>
      <x:c r="F397" s="50"/>
      <x:c r="G397" s="50"/>
      <x:c r="H397" s="50"/>
      <x:c r="I397" s="50"/>
      <x:c r="J397" s="50"/>
      <x:c r="K397" s="50"/>
    </x:row>
    <x:row r="398">
      <x:c r="A398" s="50" t="s">
        <x:v>113</x:v>
      </x:c>
      <x:c r="B398" s="50"/>
      <x:c r="C398" s="50"/>
      <x:c r="D398" s="50"/>
      <x:c r="E398" s="50"/>
      <x:c r="F398" s="50"/>
      <x:c r="G398" s="50"/>
      <x:c r="H398" s="50"/>
      <x:c r="I398" s="50"/>
      <x:c r="J398" s="50"/>
      <x:c r="K398" s="50"/>
    </x:row>
    <x:row r="399">
      <x:c r="A399" s="50" t="s">
        <x:v>115</x:v>
      </x:c>
      <x:c r="B399" s="50"/>
      <x:c r="C399" s="50"/>
      <x:c r="D399" s="50"/>
      <x:c r="E399" s="50"/>
      <x:c r="F399" s="50"/>
      <x:c r="G399" s="50"/>
      <x:c r="H399" s="50"/>
      <x:c r="I399" s="50"/>
      <x:c r="J399" s="50"/>
      <x:c r="K399" s="50"/>
    </x:row>
    <x:row r="400">
      <x:c r="A400" s="50" t="s">
        <x:v>117</x:v>
      </x:c>
      <x:c r="B400" s="50"/>
      <x:c r="C400" s="50"/>
      <x:c r="D400" s="50"/>
      <x:c r="E400" s="50"/>
      <x:c r="F400" s="50"/>
      <x:c r="G400" s="50"/>
      <x:c r="H400" s="50"/>
      <x:c r="I400" s="50"/>
      <x:c r="J400" s="50"/>
      <x:c r="K400" s="50"/>
    </x:row>
    <x:row r="401">
      <x:c r="A401" s="50" t="s">
        <x:v>119</x:v>
      </x:c>
      <x:c r="B401" s="50"/>
      <x:c r="C401" s="50"/>
      <x:c r="D401" s="50"/>
      <x:c r="E401" s="50"/>
      <x:c r="F401" s="50"/>
      <x:c r="G401" s="50"/>
      <x:c r="H401" s="50"/>
      <x:c r="I401" s="50"/>
      <x:c r="J401" s="50"/>
      <x:c r="K401" s="50"/>
    </x:row>
    <x:row r="402">
      <x:c r="A402" s="50" t="s">
        <x:v>121</x:v>
      </x:c>
      <x:c r="B402" s="50"/>
      <x:c r="C402" s="50"/>
      <x:c r="D402" s="50"/>
      <x:c r="E402" s="50"/>
      <x:c r="F402" s="50"/>
      <x:c r="G402" s="50"/>
      <x:c r="H402" s="50"/>
      <x:c r="I402" s="50"/>
      <x:c r="J402" s="50"/>
      <x:c r="K402" s="50"/>
    </x:row>
    <x:row r="403">
      <x:c r="A403" s="50" t="s">
        <x:v>123</x:v>
      </x:c>
      <x:c r="B403" s="50"/>
      <x:c r="C403" s="50"/>
      <x:c r="D403" s="50"/>
      <x:c r="E403" s="50"/>
      <x:c r="F403" s="50"/>
      <x:c r="G403" s="50"/>
      <x:c r="H403" s="50"/>
      <x:c r="I403" s="50"/>
      <x:c r="J403" s="50"/>
      <x:c r="K403" s="50"/>
    </x:row>
    <x:row r="404">
      <x:c r="A404" s="50" t="s">
        <x:v>125</x:v>
      </x:c>
      <x:c r="B404" s="50"/>
      <x:c r="C404" s="50"/>
      <x:c r="D404" s="50"/>
      <x:c r="E404" s="50"/>
      <x:c r="F404" s="50"/>
      <x:c r="G404" s="50"/>
      <x:c r="H404" s="50"/>
      <x:c r="I404" s="50"/>
      <x:c r="J404" s="50"/>
      <x:c r="K404" s="50"/>
    </x:row>
    <x:row r="405">
      <x:c r="A405" s="50" t="s">
        <x:v>127</x:v>
      </x:c>
      <x:c r="B405" s="50"/>
      <x:c r="C405" s="50"/>
      <x:c r="D405" s="50"/>
      <x:c r="E405" s="50"/>
      <x:c r="F405" s="50"/>
      <x:c r="G405" s="50"/>
      <x:c r="H405" s="50"/>
      <x:c r="I405" s="50"/>
      <x:c r="J405" s="50"/>
      <x:c r="K405" s="50"/>
    </x:row>
    <x:row r="406">
      <x:c r="A406" s="50" t="s">
        <x:v>129</x:v>
      </x:c>
      <x:c r="B406" s="50"/>
      <x:c r="C406" s="50"/>
      <x:c r="D406" s="50"/>
      <x:c r="E406" s="50"/>
      <x:c r="F406" s="50"/>
      <x:c r="G406" s="50"/>
      <x:c r="H406" s="50"/>
      <x:c r="I406" s="50"/>
      <x:c r="J406" s="50"/>
      <x:c r="K406" s="50"/>
    </x:row>
    <x:row r="407">
      <x:c r="A407" s="50" t="s">
        <x:v>131</x:v>
      </x:c>
      <x:c r="B407" s="50"/>
      <x:c r="C407" s="50"/>
      <x:c r="D407" s="50"/>
      <x:c r="E407" s="50"/>
      <x:c r="F407" s="50"/>
      <x:c r="G407" s="50"/>
      <x:c r="H407" s="50"/>
      <x:c r="I407" s="50"/>
      <x:c r="J407" s="50"/>
      <x:c r="K407" s="50"/>
    </x:row>
    <x:row r="408">
      <x:c r="A408" s="50" t="s">
        <x:v>133</x:v>
      </x:c>
      <x:c r="B408" s="50"/>
      <x:c r="C408" s="50"/>
      <x:c r="D408" s="50"/>
      <x:c r="E408" s="50"/>
      <x:c r="F408" s="50"/>
      <x:c r="G408" s="50"/>
      <x:c r="H408" s="50"/>
      <x:c r="I408" s="50"/>
      <x:c r="J408" s="50"/>
      <x:c r="K408" s="50"/>
    </x:row>
    <x:row r="409">
      <x:c r="A409" s="50" t="s">
        <x:v>135</x:v>
      </x:c>
      <x:c r="B409" s="50"/>
      <x:c r="C409" s="50"/>
      <x:c r="D409" s="50"/>
      <x:c r="E409" s="50"/>
      <x:c r="F409" s="50"/>
      <x:c r="G409" s="50"/>
      <x:c r="H409" s="50"/>
      <x:c r="I409" s="50"/>
      <x:c r="J409" s="50"/>
      <x:c r="K409" s="50"/>
    </x:row>
    <x:row r="410">
      <x:c r="A410" s="50" t="s">
        <x:v>137</x:v>
      </x:c>
      <x:c r="B410" s="50"/>
      <x:c r="C410" s="50"/>
      <x:c r="D410" s="50"/>
      <x:c r="E410" s="50"/>
      <x:c r="F410" s="50"/>
      <x:c r="G410" s="50"/>
      <x:c r="H410" s="50"/>
      <x:c r="I410" s="50"/>
      <x:c r="J410" s="50"/>
      <x:c r="K410" s="50"/>
    </x:row>
    <x:row r="411">
      <x:c r="A411" s="50" t="s">
        <x:v>139</x:v>
      </x:c>
      <x:c r="B411" s="50"/>
      <x:c r="C411" s="50"/>
      <x:c r="D411" s="50"/>
      <x:c r="E411" s="50"/>
      <x:c r="F411" s="50"/>
      <x:c r="G411" s="50"/>
      <x:c r="H411" s="50"/>
      <x:c r="I411" s="50"/>
      <x:c r="J411" s="50"/>
      <x:c r="K411" s="50"/>
    </x:row>
    <x:row r="412">
      <x:c r="A412" s="50" t="s">
        <x:v>141</x:v>
      </x:c>
      <x:c r="B412" s="50"/>
      <x:c r="C412" s="50"/>
      <x:c r="D412" s="50"/>
      <x:c r="E412" s="50"/>
      <x:c r="F412" s="50"/>
      <x:c r="G412" s="50"/>
      <x:c r="H412" s="50"/>
      <x:c r="I412" s="50"/>
      <x:c r="J412" s="50"/>
      <x:c r="K412" s="50"/>
    </x:row>
    <x:row r="413">
      <x:c r="A413" s="50" t="s">
        <x:v>143</x:v>
      </x:c>
      <x:c r="B413" s="50"/>
      <x:c r="C413" s="50"/>
      <x:c r="D413" s="50"/>
      <x:c r="E413" s="50"/>
      <x:c r="F413" s="50"/>
      <x:c r="G413" s="50"/>
      <x:c r="H413" s="50"/>
      <x:c r="I413" s="50"/>
      <x:c r="J413" s="50"/>
      <x:c r="K413" s="50"/>
    </x:row>
    <x:row r="414">
      <x:c r="A414" s="50" t="s">
        <x:v>145</x:v>
      </x:c>
      <x:c r="B414" s="50"/>
      <x:c r="C414" s="50"/>
      <x:c r="D414" s="50"/>
      <x:c r="E414" s="50"/>
      <x:c r="F414" s="50"/>
      <x:c r="G414" s="50"/>
      <x:c r="H414" s="50"/>
      <x:c r="I414" s="50"/>
      <x:c r="J414" s="50"/>
      <x:c r="K414" s="50"/>
    </x:row>
    <x:row r="415">
      <x:c r="A415" s="50" t="s">
        <x:v>147</x:v>
      </x:c>
      <x:c r="B415" s="50"/>
      <x:c r="C415" s="50"/>
      <x:c r="D415" s="50"/>
      <x:c r="E415" s="50"/>
      <x:c r="F415" s="50"/>
      <x:c r="G415" s="50"/>
      <x:c r="H415" s="50"/>
      <x:c r="I415" s="50"/>
      <x:c r="J415" s="50"/>
      <x:c r="K415" s="50"/>
    </x:row>
    <x:row r="416">
      <x:c r="A416" s="50" t="s">
        <x:v>149</x:v>
      </x:c>
      <x:c r="B416" s="50"/>
      <x:c r="C416" s="50"/>
      <x:c r="D416" s="50"/>
      <x:c r="E416" s="50"/>
      <x:c r="F416" s="50"/>
      <x:c r="G416" s="50"/>
      <x:c r="H416" s="50"/>
      <x:c r="I416" s="50"/>
      <x:c r="J416" s="50"/>
      <x:c r="K416" s="50"/>
    </x:row>
    <x:row r="417">
      <x:c r="A417" s="50" t="s">
        <x:v>151</x:v>
      </x:c>
      <x:c r="B417" s="50"/>
      <x:c r="C417" s="50"/>
      <x:c r="D417" s="50"/>
      <x:c r="E417" s="50"/>
      <x:c r="F417" s="50"/>
      <x:c r="G417" s="50"/>
      <x:c r="H417" s="50"/>
      <x:c r="I417" s="50"/>
      <x:c r="J417" s="50"/>
      <x:c r="K417" s="50"/>
    </x:row>
    <x:row r="418">
      <x:c r="A418" s="50" t="s">
        <x:v>153</x:v>
      </x:c>
      <x:c r="B418" s="50"/>
      <x:c r="C418" s="50"/>
      <x:c r="D418" s="50"/>
      <x:c r="E418" s="50"/>
      <x:c r="F418" s="50"/>
      <x:c r="G418" s="50"/>
      <x:c r="H418" s="50"/>
      <x:c r="I418" s="50"/>
      <x:c r="J418" s="50"/>
      <x:c r="K418" s="50"/>
    </x:row>
    <x:row r="419">
      <x:c r="A419" s="50" t="s">
        <x:v>155</x:v>
      </x:c>
      <x:c r="B419" s="50"/>
      <x:c r="C419" s="50"/>
      <x:c r="D419" s="50"/>
      <x:c r="E419" s="50"/>
      <x:c r="F419" s="50"/>
      <x:c r="G419" s="50"/>
      <x:c r="H419" s="50"/>
      <x:c r="I419" s="50"/>
      <x:c r="J419" s="50"/>
      <x:c r="K419" s="50"/>
    </x:row>
    <x:row r="420">
      <x:c r="A420" s="50" t="s">
        <x:v>158</x:v>
      </x:c>
      <x:c r="B420" s="50"/>
      <x:c r="C420" s="50"/>
      <x:c r="D420" s="50"/>
      <x:c r="E420" s="50"/>
      <x:c r="F420" s="50"/>
      <x:c r="G420" s="50"/>
      <x:c r="H420" s="50"/>
      <x:c r="I420" s="50"/>
      <x:c r="J420" s="50"/>
      <x:c r="K420" s="50"/>
    </x:row>
    <x:row r="421">
      <x:c r="A421" s="50" t="s">
        <x:v>160</x:v>
      </x:c>
      <x:c r="B421" s="50"/>
      <x:c r="C421" s="50"/>
      <x:c r="D421" s="50"/>
      <x:c r="E421" s="50"/>
      <x:c r="F421" s="50"/>
      <x:c r="G421" s="50"/>
      <x:c r="H421" s="50"/>
      <x:c r="I421" s="50"/>
      <x:c r="J421" s="50"/>
      <x:c r="K421" s="50"/>
    </x:row>
    <x:row r="422">
      <x:c r="A422" s="50" t="s">
        <x:v>162</x:v>
      </x:c>
      <x:c r="B422" s="50"/>
      <x:c r="C422" s="50"/>
      <x:c r="D422" s="50"/>
      <x:c r="E422" s="50"/>
      <x:c r="F422" s="50"/>
      <x:c r="G422" s="50"/>
      <x:c r="H422" s="50"/>
      <x:c r="I422" s="50"/>
      <x:c r="J422" s="50"/>
      <x:c r="K422" s="50"/>
    </x:row>
    <x:row r="423">
      <x:c r="A423" s="50" t="s">
        <x:v>164</x:v>
      </x:c>
      <x:c r="B423" s="50"/>
      <x:c r="C423" s="50"/>
      <x:c r="D423" s="50"/>
      <x:c r="E423" s="50"/>
      <x:c r="F423" s="50"/>
      <x:c r="G423" s="50"/>
      <x:c r="H423" s="50"/>
      <x:c r="I423" s="50"/>
      <x:c r="J423" s="50"/>
      <x:c r="K423" s="50"/>
    </x:row>
    <x:row r="424">
      <x:c r="A424" s="50" t="s">
        <x:v>166</x:v>
      </x:c>
      <x:c r="B424" s="50"/>
      <x:c r="C424" s="50"/>
      <x:c r="D424" s="50"/>
      <x:c r="E424" s="50"/>
      <x:c r="F424" s="50"/>
      <x:c r="G424" s="50"/>
      <x:c r="H424" s="50"/>
      <x:c r="I424" s="50"/>
      <x:c r="J424" s="50"/>
      <x:c r="K424" s="50"/>
    </x:row>
    <x:row r="425">
      <x:c r="A425" s="50" t="s">
        <x:v>168</x:v>
      </x:c>
      <x:c r="B425" s="50"/>
      <x:c r="C425" s="50"/>
      <x:c r="D425" s="50"/>
      <x:c r="E425" s="50"/>
      <x:c r="F425" s="50"/>
      <x:c r="G425" s="50"/>
      <x:c r="H425" s="50"/>
      <x:c r="I425" s="50"/>
      <x:c r="J425" s="50"/>
      <x:c r="K425" s="50"/>
    </x:row>
    <x:row r="426">
      <x:c r="A426" s="50" t="s">
        <x:v>170</x:v>
      </x:c>
      <x:c r="B426" s="50"/>
      <x:c r="C426" s="50"/>
      <x:c r="D426" s="50"/>
      <x:c r="E426" s="50"/>
      <x:c r="F426" s="50"/>
      <x:c r="G426" s="50"/>
      <x:c r="H426" s="50"/>
      <x:c r="I426" s="50"/>
      <x:c r="J426" s="50"/>
      <x:c r="K426" s="50"/>
    </x:row>
    <x:row r="427">
      <x:c r="A427" s="50" t="s">
        <x:v>172</x:v>
      </x:c>
      <x:c r="B427" s="50"/>
      <x:c r="C427" s="50"/>
      <x:c r="D427" s="50"/>
      <x:c r="E427" s="50"/>
      <x:c r="F427" s="50"/>
      <x:c r="G427" s="50"/>
      <x:c r="H427" s="50"/>
      <x:c r="I427" s="50"/>
      <x:c r="J427" s="50"/>
      <x:c r="K427" s="50"/>
    </x:row>
    <x:row r="428">
      <x:c r="A428" s="50" t="s">
        <x:v>174</x:v>
      </x:c>
      <x:c r="B428" s="50"/>
      <x:c r="C428" s="50"/>
      <x:c r="D428" s="50"/>
      <x:c r="E428" s="50"/>
      <x:c r="F428" s="50"/>
      <x:c r="G428" s="50"/>
      <x:c r="H428" s="50"/>
      <x:c r="I428" s="50"/>
      <x:c r="J428" s="50"/>
      <x:c r="K428" s="50"/>
    </x:row>
    <x:row r="429">
      <x:c r="A429" s="50" t="s">
        <x:v>176</x:v>
      </x:c>
      <x:c r="B429" s="50"/>
      <x:c r="C429" s="50"/>
      <x:c r="D429" s="50"/>
      <x:c r="E429" s="50"/>
      <x:c r="F429" s="50"/>
      <x:c r="G429" s="50"/>
      <x:c r="H429" s="50"/>
      <x:c r="I429" s="50"/>
      <x:c r="J429" s="50"/>
      <x:c r="K429" s="50"/>
    </x:row>
    <x:row r="430">
      <x:c r="A430" s="50" t="s">
        <x:v>180</x:v>
      </x:c>
      <x:c r="B430" s="50"/>
      <x:c r="C430" s="50"/>
      <x:c r="D430" s="50"/>
      <x:c r="E430" s="50"/>
      <x:c r="F430" s="50"/>
      <x:c r="G430" s="50"/>
      <x:c r="H430" s="50"/>
      <x:c r="I430" s="50"/>
      <x:c r="J430" s="50"/>
      <x:c r="K430" s="50"/>
    </x:row>
    <x:row r="431">
      <x:c r="A431" s="50" t="s">
        <x:v>182</x:v>
      </x:c>
      <x:c r="B431" s="50"/>
      <x:c r="C431" s="50"/>
      <x:c r="D431" s="50"/>
      <x:c r="E431" s="50"/>
      <x:c r="F431" s="50"/>
      <x:c r="G431" s="50"/>
      <x:c r="H431" s="50"/>
      <x:c r="I431" s="50"/>
      <x:c r="J431" s="50"/>
      <x:c r="K431" s="50"/>
    </x:row>
    <x:row r="432">
      <x:c r="A432" s="50" t="s">
        <x:v>184</x:v>
      </x:c>
      <x:c r="B432" s="50"/>
      <x:c r="C432" s="50"/>
      <x:c r="D432" s="50"/>
      <x:c r="E432" s="50"/>
      <x:c r="F432" s="50"/>
      <x:c r="G432" s="50"/>
      <x:c r="H432" s="50"/>
      <x:c r="I432" s="50"/>
      <x:c r="J432" s="50"/>
      <x:c r="K432" s="50"/>
    </x:row>
    <x:row r="433">
      <x:c r="A433" s="50" t="s">
        <x:v>186</x:v>
      </x:c>
      <x:c r="B433" s="50"/>
      <x:c r="C433" s="50"/>
      <x:c r="D433" s="50"/>
      <x:c r="E433" s="50"/>
      <x:c r="F433" s="50"/>
      <x:c r="G433" s="50"/>
      <x:c r="H433" s="50"/>
      <x:c r="I433" s="50"/>
      <x:c r="J433" s="50"/>
      <x:c r="K433" s="50"/>
    </x:row>
    <x:row r="434">
      <x:c r="A434" s="50" t="s">
        <x:v>188</x:v>
      </x:c>
      <x:c r="B434" s="50"/>
      <x:c r="C434" s="50"/>
      <x:c r="D434" s="50"/>
      <x:c r="E434" s="50"/>
      <x:c r="F434" s="50"/>
      <x:c r="G434" s="50"/>
      <x:c r="H434" s="50"/>
      <x:c r="I434" s="50"/>
      <x:c r="J434" s="50"/>
      <x:c r="K434" s="50"/>
    </x:row>
    <x:row r="435">
      <x:c r="A435" s="50" t="s">
        <x:v>190</x:v>
      </x:c>
      <x:c r="B435" s="50"/>
      <x:c r="C435" s="50"/>
      <x:c r="D435" s="50"/>
      <x:c r="E435" s="50"/>
      <x:c r="F435" s="50"/>
      <x:c r="G435" s="50"/>
      <x:c r="H435" s="50"/>
      <x:c r="I435" s="50"/>
      <x:c r="J435" s="50"/>
      <x:c r="K435" s="50"/>
    </x:row>
    <x:row r="436">
      <x:c r="A436" s="50" t="s">
        <x:v>192</x:v>
      </x:c>
      <x:c r="B436" s="50"/>
      <x:c r="C436" s="50"/>
      <x:c r="D436" s="50"/>
      <x:c r="E436" s="50"/>
      <x:c r="F436" s="50"/>
      <x:c r="G436" s="50"/>
      <x:c r="H436" s="50"/>
      <x:c r="I436" s="50"/>
      <x:c r="J436" s="50"/>
      <x:c r="K436" s="50"/>
    </x:row>
    <x:row r="437">
      <x:c r="A437" s="50" t="s">
        <x:v>194</x:v>
      </x:c>
      <x:c r="B437" s="50"/>
      <x:c r="C437" s="50"/>
      <x:c r="D437" s="50"/>
      <x:c r="E437" s="50"/>
      <x:c r="F437" s="50"/>
      <x:c r="G437" s="50"/>
      <x:c r="H437" s="50"/>
      <x:c r="I437" s="50"/>
      <x:c r="J437" s="50"/>
      <x:c r="K437" s="50"/>
    </x:row>
    <x:row r="438">
      <x:c r="A438" s="50" t="s">
        <x:v>196</x:v>
      </x:c>
      <x:c r="B438" s="50"/>
      <x:c r="C438" s="50"/>
      <x:c r="D438" s="50"/>
      <x:c r="E438" s="50"/>
      <x:c r="F438" s="50"/>
      <x:c r="G438" s="50"/>
      <x:c r="H438" s="50"/>
      <x:c r="I438" s="50"/>
      <x:c r="J438" s="50"/>
      <x:c r="K438" s="50"/>
    </x:row>
    <x:row r="439">
      <x:c r="A439" s="50" t="s">
        <x:v>198</x:v>
      </x:c>
      <x:c r="B439" s="50"/>
      <x:c r="C439" s="50"/>
      <x:c r="D439" s="50"/>
      <x:c r="E439" s="50"/>
      <x:c r="F439" s="50"/>
      <x:c r="G439" s="50"/>
      <x:c r="H439" s="50"/>
      <x:c r="I439" s="50"/>
      <x:c r="J439" s="50"/>
      <x:c r="K439" s="50"/>
    </x:row>
    <x:row r="440">
      <x:c r="A440" s="50" t="s">
        <x:v>201</x:v>
      </x:c>
      <x:c r="B440" s="50"/>
      <x:c r="C440" s="50"/>
      <x:c r="D440" s="50"/>
      <x:c r="E440" s="50"/>
      <x:c r="F440" s="50"/>
      <x:c r="G440" s="50"/>
      <x:c r="H440" s="50"/>
      <x:c r="I440" s="50"/>
      <x:c r="J440" s="50"/>
      <x:c r="K440" s="50"/>
    </x:row>
    <x:row r="441">
      <x:c r="A441" s="50" t="s">
        <x:v>203</x:v>
      </x:c>
      <x:c r="B441" s="50"/>
      <x:c r="C441" s="50"/>
      <x:c r="D441" s="50"/>
      <x:c r="E441" s="50"/>
      <x:c r="F441" s="50"/>
      <x:c r="G441" s="50"/>
      <x:c r="H441" s="50"/>
      <x:c r="I441" s="50"/>
      <x:c r="J441" s="50"/>
      <x:c r="K441" s="50"/>
    </x:row>
    <x:row r="442">
      <x:c r="A442" s="50" t="s">
        <x:v>205</x:v>
      </x:c>
      <x:c r="B442" s="50"/>
      <x:c r="C442" s="50"/>
      <x:c r="D442" s="50"/>
      <x:c r="E442" s="50"/>
      <x:c r="F442" s="50"/>
      <x:c r="G442" s="50"/>
      <x:c r="H442" s="50"/>
      <x:c r="I442" s="50"/>
      <x:c r="J442" s="50"/>
      <x:c r="K442" s="50"/>
    </x:row>
    <x:row r="443">
      <x:c r="A443" s="50" t="s">
        <x:v>207</x:v>
      </x:c>
      <x:c r="B443" s="50"/>
      <x:c r="C443" s="50"/>
      <x:c r="D443" s="50"/>
      <x:c r="E443" s="50"/>
      <x:c r="F443" s="50"/>
      <x:c r="G443" s="50"/>
      <x:c r="H443" s="50"/>
      <x:c r="I443" s="50"/>
      <x:c r="J443" s="50"/>
      <x:c r="K443" s="50"/>
    </x:row>
    <x:row r="444">
      <x:c r="A444" s="50" t="s">
        <x:v>209</x:v>
      </x:c>
      <x:c r="B444" s="50"/>
      <x:c r="C444" s="50"/>
      <x:c r="D444" s="50"/>
      <x:c r="E444" s="50"/>
      <x:c r="F444" s="50"/>
      <x:c r="G444" s="50"/>
      <x:c r="H444" s="50"/>
      <x:c r="I444" s="50"/>
      <x:c r="J444" s="50"/>
      <x:c r="K444" s="50"/>
    </x:row>
    <x:row r="445">
      <x:c r="A445" s="50" t="s">
        <x:v>211</x:v>
      </x:c>
      <x:c r="B445" s="50"/>
      <x:c r="C445" s="50"/>
      <x:c r="D445" s="50"/>
      <x:c r="E445" s="50"/>
      <x:c r="F445" s="50"/>
      <x:c r="G445" s="50"/>
      <x:c r="H445" s="50"/>
      <x:c r="I445" s="50"/>
      <x:c r="J445" s="50"/>
      <x:c r="K445" s="50"/>
    </x:row>
    <x:row r="446">
      <x:c r="A446" s="50" t="s">
        <x:v>213</x:v>
      </x:c>
      <x:c r="B446" s="50"/>
      <x:c r="C446" s="50"/>
      <x:c r="D446" s="50"/>
      <x:c r="E446" s="50"/>
      <x:c r="F446" s="50"/>
      <x:c r="G446" s="50"/>
      <x:c r="H446" s="50"/>
      <x:c r="I446" s="50"/>
      <x:c r="J446" s="50"/>
      <x:c r="K446" s="50"/>
    </x:row>
    <x:row r="447">
      <x:c r="A447" s="50" t="s">
        <x:v>215</x:v>
      </x:c>
      <x:c r="B447" s="50"/>
      <x:c r="C447" s="50"/>
      <x:c r="D447" s="50"/>
      <x:c r="E447" s="50"/>
      <x:c r="F447" s="50"/>
      <x:c r="G447" s="50"/>
      <x:c r="H447" s="50"/>
      <x:c r="I447" s="50"/>
      <x:c r="J447" s="50"/>
      <x:c r="K447" s="50"/>
    </x:row>
    <x:row r="448">
      <x:c r="A448" s="50" t="s">
        <x:v>217</x:v>
      </x:c>
      <x:c r="B448" s="50"/>
      <x:c r="C448" s="50"/>
      <x:c r="D448" s="50"/>
      <x:c r="E448" s="50"/>
      <x:c r="F448" s="50"/>
      <x:c r="G448" s="50"/>
      <x:c r="H448" s="50"/>
      <x:c r="I448" s="50"/>
      <x:c r="J448" s="50"/>
      <x:c r="K448" s="50"/>
    </x:row>
    <x:row r="449">
      <x:c r="A449" s="50" t="s">
        <x:v>219</x:v>
      </x:c>
      <x:c r="B449" s="50"/>
      <x:c r="C449" s="50"/>
      <x:c r="D449" s="50"/>
      <x:c r="E449" s="50"/>
      <x:c r="F449" s="50"/>
      <x:c r="G449" s="50"/>
      <x:c r="H449" s="50"/>
      <x:c r="I449" s="50"/>
      <x:c r="J449" s="50"/>
      <x:c r="K449" s="50"/>
    </x:row>
    <x:row r="450">
      <x:c r="A450" s="50" t="s">
        <x:v>221</x:v>
      </x:c>
      <x:c r="B450" s="50"/>
      <x:c r="C450" s="50"/>
      <x:c r="D450" s="50"/>
      <x:c r="E450" s="50"/>
      <x:c r="F450" s="50"/>
      <x:c r="G450" s="50"/>
      <x:c r="H450" s="50"/>
      <x:c r="I450" s="50"/>
      <x:c r="J450" s="50"/>
      <x:c r="K450" s="50"/>
    </x:row>
    <x:row r="451">
      <x:c r="A451" s="50" t="s">
        <x:v>223</x:v>
      </x:c>
      <x:c r="B451" s="50"/>
      <x:c r="C451" s="50"/>
      <x:c r="D451" s="50"/>
      <x:c r="E451" s="50"/>
      <x:c r="F451" s="50"/>
      <x:c r="G451" s="50"/>
      <x:c r="H451" s="50"/>
      <x:c r="I451" s="50"/>
      <x:c r="J451" s="50"/>
      <x:c r="K451" s="50"/>
    </x:row>
    <x:row r="452">
      <x:c r="A452" s="50" t="s">
        <x:v>225</x:v>
      </x:c>
      <x:c r="B452" s="50"/>
      <x:c r="C452" s="50"/>
      <x:c r="D452" s="50"/>
      <x:c r="E452" s="50"/>
      <x:c r="F452" s="50"/>
      <x:c r="G452" s="50"/>
      <x:c r="H452" s="50"/>
      <x:c r="I452" s="50"/>
      <x:c r="J452" s="50"/>
      <x:c r="K452" s="50"/>
    </x:row>
    <x:row r="453">
      <x:c r="A453" s="50" t="s">
        <x:v>227</x:v>
      </x:c>
      <x:c r="B453" s="50"/>
      <x:c r="C453" s="50"/>
      <x:c r="D453" s="50"/>
      <x:c r="E453" s="50"/>
      <x:c r="F453" s="50"/>
      <x:c r="G453" s="50"/>
      <x:c r="H453" s="50"/>
      <x:c r="I453" s="50"/>
      <x:c r="J453" s="50"/>
      <x:c r="K453" s="50"/>
    </x:row>
    <x:row r="454">
      <x:c r="A454" s="50" t="s">
        <x:v>229</x:v>
      </x:c>
      <x:c r="B454" s="50"/>
      <x:c r="C454" s="50"/>
      <x:c r="D454" s="50"/>
      <x:c r="E454" s="50"/>
      <x:c r="F454" s="50"/>
      <x:c r="G454" s="50"/>
      <x:c r="H454" s="50"/>
      <x:c r="I454" s="50"/>
      <x:c r="J454" s="50"/>
      <x:c r="K454" s="50"/>
    </x:row>
    <x:row r="455">
      <x:c r="A455" s="50" t="s">
        <x:v>231</x:v>
      </x:c>
      <x:c r="B455" s="50"/>
      <x:c r="C455" s="50"/>
      <x:c r="D455" s="50"/>
      <x:c r="E455" s="50"/>
      <x:c r="F455" s="50"/>
      <x:c r="G455" s="50"/>
      <x:c r="H455" s="50"/>
      <x:c r="I455" s="50"/>
      <x:c r="J455" s="50"/>
      <x:c r="K455" s="50"/>
    </x:row>
    <x:row r="456">
      <x:c r="A456" s="50" t="s">
        <x:v>233</x:v>
      </x:c>
      <x:c r="B456" s="50"/>
      <x:c r="C456" s="50"/>
      <x:c r="D456" s="50"/>
      <x:c r="E456" s="50"/>
      <x:c r="F456" s="50"/>
      <x:c r="G456" s="50"/>
      <x:c r="H456" s="50"/>
      <x:c r="I456" s="50"/>
      <x:c r="J456" s="50"/>
      <x:c r="K456" s="50"/>
    </x:row>
    <x:row r="457">
      <x:c r="A457" s="50" t="s">
        <x:v>235</x:v>
      </x:c>
      <x:c r="B457" s="50"/>
      <x:c r="C457" s="50"/>
      <x:c r="D457" s="50"/>
      <x:c r="E457" s="50"/>
      <x:c r="F457" s="50"/>
      <x:c r="G457" s="50"/>
      <x:c r="H457" s="50"/>
      <x:c r="I457" s="50"/>
      <x:c r="J457" s="50"/>
      <x:c r="K457" s="50"/>
    </x:row>
    <x:row r="458">
      <x:c r="A458" s="50" t="s">
        <x:v>237</x:v>
      </x:c>
      <x:c r="B458" s="50"/>
      <x:c r="C458" s="50"/>
      <x:c r="D458" s="50"/>
      <x:c r="E458" s="50"/>
      <x:c r="F458" s="50"/>
      <x:c r="G458" s="50"/>
      <x:c r="H458" s="50"/>
      <x:c r="I458" s="50"/>
      <x:c r="J458" s="50"/>
      <x:c r="K458" s="50"/>
    </x:row>
    <x:row r="459">
      <x:c r="A459" s="50" t="s">
        <x:v>239</x:v>
      </x:c>
      <x:c r="B459" s="50"/>
      <x:c r="C459" s="50"/>
      <x:c r="D459" s="50"/>
      <x:c r="E459" s="50"/>
      <x:c r="F459" s="50"/>
      <x:c r="G459" s="50"/>
      <x:c r="H459" s="50"/>
      <x:c r="I459" s="50"/>
      <x:c r="J459" s="50"/>
      <x:c r="K459" s="50"/>
    </x:row>
    <x:row r="460">
      <x:c r="A460" s="50" t="s">
        <x:v>241</x:v>
      </x:c>
      <x:c r="B460" s="50"/>
      <x:c r="C460" s="50"/>
      <x:c r="D460" s="50"/>
      <x:c r="E460" s="50"/>
      <x:c r="F460" s="50"/>
      <x:c r="G460" s="50"/>
      <x:c r="H460" s="50"/>
      <x:c r="I460" s="50"/>
      <x:c r="J460" s="50"/>
      <x:c r="K460" s="50"/>
    </x:row>
    <x:row r="461">
      <x:c r="A461" s="50" t="s">
        <x:v>243</x:v>
      </x:c>
      <x:c r="B461" s="50"/>
      <x:c r="C461" s="50"/>
      <x:c r="D461" s="50"/>
      <x:c r="E461" s="50"/>
      <x:c r="F461" s="50"/>
      <x:c r="G461" s="50"/>
      <x:c r="H461" s="50"/>
      <x:c r="I461" s="50"/>
      <x:c r="J461" s="50"/>
      <x:c r="K461" s="50"/>
    </x:row>
    <x:row r="462">
      <x:c r="A462" s="50" t="s">
        <x:v>247</x:v>
      </x:c>
      <x:c r="B462" s="50"/>
      <x:c r="C462" s="50"/>
      <x:c r="D462" s="50"/>
      <x:c r="E462" s="50"/>
      <x:c r="F462" s="50"/>
      <x:c r="G462" s="50"/>
      <x:c r="H462" s="50"/>
      <x:c r="I462" s="50"/>
      <x:c r="J462" s="50"/>
      <x:c r="K462" s="50"/>
    </x:row>
    <x:row r="463">
      <x:c r="A463" s="50" t="s">
        <x:v>250</x:v>
      </x:c>
      <x:c r="B463" s="50"/>
      <x:c r="C463" s="50"/>
      <x:c r="D463" s="50"/>
      <x:c r="E463" s="50"/>
      <x:c r="F463" s="50"/>
      <x:c r="G463" s="50"/>
      <x:c r="H463" s="50"/>
      <x:c r="I463" s="50"/>
      <x:c r="J463" s="50"/>
      <x:c r="K463" s="50"/>
    </x:row>
    <x:row r="464">
      <x:c r="A464" s="50" t="s">
        <x:v>253</x:v>
      </x:c>
      <x:c r="B464" s="50"/>
      <x:c r="C464" s="50"/>
      <x:c r="D464" s="50"/>
      <x:c r="E464" s="50"/>
      <x:c r="F464" s="50"/>
      <x:c r="G464" s="50"/>
      <x:c r="H464" s="50"/>
      <x:c r="I464" s="50"/>
      <x:c r="J464" s="50"/>
      <x:c r="K464" s="50"/>
    </x:row>
    <x:row r="465">
      <x:c r="A465" s="50" t="s">
        <x:v>256</x:v>
      </x:c>
      <x:c r="B465" s="50"/>
      <x:c r="C465" s="50"/>
      <x:c r="D465" s="50"/>
      <x:c r="E465" s="50"/>
      <x:c r="F465" s="50"/>
      <x:c r="G465" s="50"/>
      <x:c r="H465" s="50"/>
      <x:c r="I465" s="50"/>
      <x:c r="J465" s="50"/>
      <x:c r="K465" s="50"/>
    </x:row>
    <x:row r="466">
      <x:c r="A466" s="50" t="s">
        <x:v>259</x:v>
      </x:c>
      <x:c r="B466" s="50"/>
      <x:c r="C466" s="50"/>
      <x:c r="D466" s="50"/>
      <x:c r="E466" s="50"/>
      <x:c r="F466" s="50"/>
      <x:c r="G466" s="50"/>
      <x:c r="H466" s="50"/>
      <x:c r="I466" s="50"/>
      <x:c r="J466" s="50"/>
      <x:c r="K466" s="50"/>
    </x:row>
    <x:row r="467">
      <x:c r="A467" s="50" t="s">
        <x:v>262</x:v>
      </x:c>
      <x:c r="B467" s="50"/>
      <x:c r="C467" s="50"/>
      <x:c r="D467" s="50"/>
      <x:c r="E467" s="50"/>
      <x:c r="F467" s="50"/>
      <x:c r="G467" s="50"/>
      <x:c r="H467" s="50"/>
      <x:c r="I467" s="50"/>
      <x:c r="J467" s="50"/>
      <x:c r="K467" s="50"/>
    </x:row>
    <x:row r="468">
      <x:c r="A468" s="50" t="s">
        <x:v>265</x:v>
      </x:c>
      <x:c r="B468" s="50"/>
      <x:c r="C468" s="50"/>
      <x:c r="D468" s="50"/>
      <x:c r="E468" s="50"/>
      <x:c r="F468" s="50"/>
      <x:c r="G468" s="50"/>
      <x:c r="H468" s="50"/>
      <x:c r="I468" s="50"/>
      <x:c r="J468" s="50"/>
      <x:c r="K468" s="50"/>
    </x:row>
    <x:row r="469">
      <x:c r="A469" s="50" t="s">
        <x:v>268</x:v>
      </x:c>
      <x:c r="B469" s="50"/>
      <x:c r="C469" s="50"/>
      <x:c r="D469" s="50"/>
      <x:c r="E469" s="50"/>
      <x:c r="F469" s="50"/>
      <x:c r="G469" s="50"/>
      <x:c r="H469" s="50"/>
      <x:c r="I469" s="50"/>
      <x:c r="J469" s="50"/>
      <x:c r="K469" s="50"/>
    </x:row>
    <x:row r="470">
      <x:c r="A470" s="50" t="s">
        <x:v>271</x:v>
      </x:c>
      <x:c r="B470" s="50"/>
      <x:c r="C470" s="50"/>
      <x:c r="D470" s="50"/>
      <x:c r="E470" s="50"/>
      <x:c r="F470" s="50"/>
      <x:c r="G470" s="50"/>
      <x:c r="H470" s="50"/>
      <x:c r="I470" s="50"/>
      <x:c r="J470" s="50"/>
      <x:c r="K470" s="50"/>
    </x:row>
    <x:row r="471">
      <x:c r="A471" s="50" t="s">
        <x:v>274</x:v>
      </x:c>
      <x:c r="B471" s="50"/>
      <x:c r="C471" s="50"/>
      <x:c r="D471" s="50"/>
      <x:c r="E471" s="50"/>
      <x:c r="F471" s="50"/>
      <x:c r="G471" s="50"/>
      <x:c r="H471" s="50"/>
      <x:c r="I471" s="50"/>
      <x:c r="J471" s="50"/>
      <x:c r="K471" s="50"/>
    </x:row>
    <x:row r="472">
      <x:c r="A472" s="50" t="s">
        <x:v>277</x:v>
      </x:c>
      <x:c r="B472" s="50"/>
      <x:c r="C472" s="50"/>
      <x:c r="D472" s="50"/>
      <x:c r="E472" s="50"/>
      <x:c r="F472" s="50"/>
      <x:c r="G472" s="50"/>
      <x:c r="H472" s="50"/>
      <x:c r="I472" s="50"/>
      <x:c r="J472" s="50"/>
      <x:c r="K472" s="50"/>
    </x:row>
    <x:row r="473">
      <x:c r="A473" s="50" t="s">
        <x:v>280</x:v>
      </x:c>
      <x:c r="B473" s="50"/>
      <x:c r="C473" s="50"/>
      <x:c r="D473" s="50"/>
      <x:c r="E473" s="50"/>
      <x:c r="F473" s="50"/>
      <x:c r="G473" s="50"/>
      <x:c r="H473" s="50"/>
      <x:c r="I473" s="50"/>
      <x:c r="J473" s="50"/>
      <x:c r="K473" s="50"/>
    </x:row>
    <x:row r="474">
      <x:c r="A474" s="50" t="s">
        <x:v>283</x:v>
      </x:c>
      <x:c r="B474" s="50"/>
      <x:c r="C474" s="50"/>
      <x:c r="D474" s="50"/>
      <x:c r="E474" s="50"/>
      <x:c r="F474" s="50"/>
      <x:c r="G474" s="50"/>
      <x:c r="H474" s="50"/>
      <x:c r="I474" s="50"/>
      <x:c r="J474" s="50"/>
      <x:c r="K474" s="50"/>
    </x:row>
    <x:row r="475">
      <x:c r="A475" s="50" t="s">
        <x:v>286</x:v>
      </x:c>
      <x:c r="B475" s="50"/>
      <x:c r="C475" s="50"/>
      <x:c r="D475" s="50"/>
      <x:c r="E475" s="50"/>
      <x:c r="F475" s="50"/>
      <x:c r="G475" s="50"/>
      <x:c r="H475" s="50"/>
      <x:c r="I475" s="50"/>
      <x:c r="J475" s="50"/>
      <x:c r="K475" s="50"/>
    </x:row>
    <x:row r="476">
      <x:c r="A476" s="50" t="s">
        <x:v>289</x:v>
      </x:c>
      <x:c r="B476" s="50"/>
      <x:c r="C476" s="50"/>
      <x:c r="D476" s="50"/>
      <x:c r="E476" s="50"/>
      <x:c r="F476" s="50"/>
      <x:c r="G476" s="50"/>
      <x:c r="H476" s="50"/>
      <x:c r="I476" s="50"/>
      <x:c r="J476" s="50"/>
      <x:c r="K476" s="50"/>
    </x:row>
    <x:row r="477">
      <x:c r="A477" s="50" t="s">
        <x:v>292</x:v>
      </x:c>
      <x:c r="B477" s="50"/>
      <x:c r="C477" s="50"/>
      <x:c r="D477" s="50"/>
      <x:c r="E477" s="50"/>
      <x:c r="F477" s="50"/>
      <x:c r="G477" s="50"/>
      <x:c r="H477" s="50"/>
      <x:c r="I477" s="50"/>
      <x:c r="J477" s="50"/>
      <x:c r="K477" s="50"/>
    </x:row>
    <x:row r="478">
      <x:c r="A478" s="50" t="s">
        <x:v>295</x:v>
      </x:c>
      <x:c r="B478" s="50"/>
      <x:c r="C478" s="50"/>
      <x:c r="D478" s="50"/>
      <x:c r="E478" s="50"/>
      <x:c r="F478" s="50"/>
      <x:c r="G478" s="50"/>
      <x:c r="H478" s="50"/>
      <x:c r="I478" s="50"/>
      <x:c r="J478" s="50"/>
      <x:c r="K478" s="50"/>
    </x:row>
    <x:row r="479">
      <x:c r="A479" s="50" t="s">
        <x:v>298</x:v>
      </x:c>
      <x:c r="B479" s="50"/>
      <x:c r="C479" s="50"/>
      <x:c r="D479" s="50"/>
      <x:c r="E479" s="50"/>
      <x:c r="F479" s="50"/>
      <x:c r="G479" s="50"/>
      <x:c r="H479" s="50"/>
      <x:c r="I479" s="50"/>
      <x:c r="J479" s="50"/>
      <x:c r="K479" s="50"/>
    </x:row>
    <x:row r="480">
      <x:c r="A480" s="50" t="s">
        <x:v>301</x:v>
      </x:c>
      <x:c r="B480" s="50"/>
      <x:c r="C480" s="50"/>
      <x:c r="D480" s="50"/>
      <x:c r="E480" s="50"/>
      <x:c r="F480" s="50"/>
      <x:c r="G480" s="50"/>
      <x:c r="H480" s="50"/>
      <x:c r="I480" s="50"/>
      <x:c r="J480" s="50"/>
      <x:c r="K480" s="50"/>
    </x:row>
    <x:row r="481">
      <x:c r="A481" s="50" t="s">
        <x:v>304</x:v>
      </x:c>
      <x:c r="B481" s="50"/>
      <x:c r="C481" s="50"/>
      <x:c r="D481" s="50"/>
      <x:c r="E481" s="50"/>
      <x:c r="F481" s="50"/>
      <x:c r="G481" s="50"/>
      <x:c r="H481" s="50"/>
      <x:c r="I481" s="50"/>
      <x:c r="J481" s="50"/>
      <x:c r="K481" s="50"/>
    </x:row>
    <x:row r="482">
      <x:c r="A482" s="50" t="s">
        <x:v>307</x:v>
      </x:c>
      <x:c r="B482" s="50"/>
      <x:c r="C482" s="50"/>
      <x:c r="D482" s="50"/>
      <x:c r="E482" s="50"/>
      <x:c r="F482" s="50"/>
      <x:c r="G482" s="50"/>
      <x:c r="H482" s="50"/>
      <x:c r="I482" s="50"/>
      <x:c r="J482" s="50"/>
      <x:c r="K482" s="50"/>
    </x:row>
    <x:row r="483">
      <x:c r="A483" s="50" t="s">
        <x:v>311</x:v>
      </x:c>
      <x:c r="B483" s="50"/>
      <x:c r="C483" s="50"/>
      <x:c r="D483" s="50"/>
      <x:c r="E483" s="50"/>
      <x:c r="F483" s="50"/>
      <x:c r="G483" s="50"/>
      <x:c r="H483" s="50"/>
      <x:c r="I483" s="50"/>
      <x:c r="J483" s="50"/>
      <x:c r="K483" s="50"/>
    </x:row>
    <x:row r="484">
      <x:c r="A484" s="50" t="s">
        <x:v>314</x:v>
      </x:c>
      <x:c r="B484" s="50"/>
      <x:c r="C484" s="50"/>
      <x:c r="D484" s="50"/>
      <x:c r="E484" s="50"/>
      <x:c r="F484" s="50"/>
      <x:c r="G484" s="50"/>
      <x:c r="H484" s="50"/>
      <x:c r="I484" s="50"/>
      <x:c r="J484" s="50"/>
      <x:c r="K484" s="50"/>
    </x:row>
    <x:row r="485">
      <x:c r="A485" s="50" t="s">
        <x:v>317</x:v>
      </x:c>
      <x:c r="B485" s="50"/>
      <x:c r="C485" s="50"/>
      <x:c r="D485" s="50"/>
      <x:c r="E485" s="50"/>
      <x:c r="F485" s="50"/>
      <x:c r="G485" s="50"/>
      <x:c r="H485" s="50"/>
      <x:c r="I485" s="50"/>
      <x:c r="J485" s="50"/>
      <x:c r="K485" s="50"/>
    </x:row>
    <x:row r="486">
      <x:c r="A486" s="50" t="s">
        <x:v>320</x:v>
      </x:c>
      <x:c r="B486" s="50"/>
      <x:c r="C486" s="50"/>
      <x:c r="D486" s="50"/>
      <x:c r="E486" s="50"/>
      <x:c r="F486" s="50"/>
      <x:c r="G486" s="50"/>
      <x:c r="H486" s="50"/>
      <x:c r="I486" s="50"/>
      <x:c r="J486" s="50"/>
      <x:c r="K486" s="50"/>
    </x:row>
    <x:row r="487">
      <x:c r="A487" s="50" t="s">
        <x:v>323</x:v>
      </x:c>
      <x:c r="B487" s="50"/>
      <x:c r="C487" s="50"/>
      <x:c r="D487" s="50"/>
      <x:c r="E487" s="50"/>
      <x:c r="F487" s="50"/>
      <x:c r="G487" s="50"/>
      <x:c r="H487" s="50"/>
      <x:c r="I487" s="50"/>
      <x:c r="J487" s="50"/>
      <x:c r="K487" s="50"/>
    </x:row>
    <x:row r="488">
      <x:c r="A488" s="50" t="s">
        <x:v>326</x:v>
      </x:c>
      <x:c r="B488" s="50"/>
      <x:c r="C488" s="50"/>
      <x:c r="D488" s="50"/>
      <x:c r="E488" s="50"/>
      <x:c r="F488" s="50"/>
      <x:c r="G488" s="50"/>
      <x:c r="H488" s="50"/>
      <x:c r="I488" s="50"/>
      <x:c r="J488" s="50"/>
      <x:c r="K488" s="50"/>
    </x:row>
    <x:row r="489">
      <x:c r="A489" s="50" t="s">
        <x:v>329</x:v>
      </x:c>
      <x:c r="B489" s="50"/>
      <x:c r="C489" s="50"/>
      <x:c r="D489" s="50"/>
      <x:c r="E489" s="50"/>
      <x:c r="F489" s="50"/>
      <x:c r="G489" s="50"/>
      <x:c r="H489" s="50"/>
      <x:c r="I489" s="50"/>
      <x:c r="J489" s="50"/>
      <x:c r="K489" s="50"/>
    </x:row>
    <x:row r="490">
      <x:c r="A490" s="50" t="s">
        <x:v>332</x:v>
      </x:c>
      <x:c r="B490" s="50"/>
      <x:c r="C490" s="50"/>
      <x:c r="D490" s="50"/>
      <x:c r="E490" s="50"/>
      <x:c r="F490" s="50"/>
      <x:c r="G490" s="50"/>
      <x:c r="H490" s="50"/>
      <x:c r="I490" s="50"/>
      <x:c r="J490" s="50"/>
      <x:c r="K490" s="50"/>
    </x:row>
    <x:row r="491">
      <x:c r="A491" s="50" t="s">
        <x:v>335</x:v>
      </x:c>
      <x:c r="B491" s="50"/>
      <x:c r="C491" s="50"/>
      <x:c r="D491" s="50"/>
      <x:c r="E491" s="50"/>
      <x:c r="F491" s="50"/>
      <x:c r="G491" s="50"/>
      <x:c r="H491" s="50"/>
      <x:c r="I491" s="50"/>
      <x:c r="J491" s="50"/>
      <x:c r="K491" s="50"/>
    </x:row>
    <x:row r="492">
      <x:c r="A492" s="50" t="s">
        <x:v>338</x:v>
      </x:c>
      <x:c r="B492" s="50"/>
      <x:c r="C492" s="50"/>
      <x:c r="D492" s="50"/>
      <x:c r="E492" s="50"/>
      <x:c r="F492" s="50"/>
      <x:c r="G492" s="50"/>
      <x:c r="H492" s="50"/>
      <x:c r="I492" s="50"/>
      <x:c r="J492" s="50"/>
      <x:c r="K492" s="50"/>
    </x:row>
    <x:row r="493">
      <x:c r="A493" s="50" t="s">
        <x:v>341</x:v>
      </x:c>
      <x:c r="B493" s="50"/>
      <x:c r="C493" s="50"/>
      <x:c r="D493" s="50"/>
      <x:c r="E493" s="50"/>
      <x:c r="F493" s="50"/>
      <x:c r="G493" s="50"/>
      <x:c r="H493" s="50"/>
      <x:c r="I493" s="50"/>
      <x:c r="J493" s="50"/>
      <x:c r="K493" s="50"/>
    </x:row>
    <x:row r="494">
      <x:c r="A494" s="50" t="s">
        <x:v>344</x:v>
      </x:c>
      <x:c r="B494" s="50"/>
      <x:c r="C494" s="50"/>
      <x:c r="D494" s="50"/>
      <x:c r="E494" s="50"/>
      <x:c r="F494" s="50"/>
      <x:c r="G494" s="50"/>
      <x:c r="H494" s="50"/>
      <x:c r="I494" s="50"/>
      <x:c r="J494" s="50"/>
      <x:c r="K494" s="50"/>
    </x:row>
    <x:row r="495">
      <x:c r="A495" s="50" t="s">
        <x:v>347</x:v>
      </x:c>
      <x:c r="B495" s="50"/>
      <x:c r="C495" s="50"/>
      <x:c r="D495" s="50"/>
      <x:c r="E495" s="50"/>
      <x:c r="F495" s="50"/>
      <x:c r="G495" s="50"/>
      <x:c r="H495" s="50"/>
      <x:c r="I495" s="50"/>
      <x:c r="J495" s="50"/>
      <x:c r="K495" s="50"/>
    </x:row>
    <x:row r="496">
      <x:c r="A496" s="50" t="s">
        <x:v>350</x:v>
      </x:c>
      <x:c r="B496" s="50"/>
      <x:c r="C496" s="50"/>
      <x:c r="D496" s="50"/>
      <x:c r="E496" s="50"/>
      <x:c r="F496" s="50"/>
      <x:c r="G496" s="50"/>
      <x:c r="H496" s="50"/>
      <x:c r="I496" s="50"/>
      <x:c r="J496" s="50"/>
      <x:c r="K496" s="50"/>
    </x:row>
    <x:row r="497">
      <x:c r="A497" s="50" t="s">
        <x:v>353</x:v>
      </x:c>
      <x:c r="B497" s="50"/>
      <x:c r="C497" s="50"/>
      <x:c r="D497" s="50"/>
      <x:c r="E497" s="50"/>
      <x:c r="F497" s="50"/>
      <x:c r="G497" s="50"/>
      <x:c r="H497" s="50"/>
      <x:c r="I497" s="50"/>
      <x:c r="J497" s="50"/>
      <x:c r="K497" s="50"/>
    </x:row>
    <x:row r="498">
      <x:c r="A498" s="50" t="s">
        <x:v>356</x:v>
      </x:c>
      <x:c r="B498" s="50"/>
      <x:c r="C498" s="50"/>
      <x:c r="D498" s="50"/>
      <x:c r="E498" s="50"/>
      <x:c r="F498" s="50"/>
      <x:c r="G498" s="50"/>
      <x:c r="H498" s="50"/>
      <x:c r="I498" s="50"/>
      <x:c r="J498" s="50"/>
      <x:c r="K498" s="50"/>
    </x:row>
    <x:row r="499">
      <x:c r="A499" s="50" t="s">
        <x:v>359</x:v>
      </x:c>
      <x:c r="B499" s="50"/>
      <x:c r="C499" s="50"/>
      <x:c r="D499" s="50"/>
      <x:c r="E499" s="50"/>
      <x:c r="F499" s="50"/>
      <x:c r="G499" s="50"/>
      <x:c r="H499" s="50"/>
      <x:c r="I499" s="50"/>
      <x:c r="J499" s="50"/>
      <x:c r="K499" s="50"/>
    </x:row>
    <x:row r="500">
      <x:c r="A500" s="50" t="s">
        <x:v>362</x:v>
      </x:c>
      <x:c r="B500" s="50"/>
      <x:c r="C500" s="50"/>
      <x:c r="D500" s="50"/>
      <x:c r="E500" s="50"/>
      <x:c r="F500" s="50"/>
      <x:c r="G500" s="50"/>
      <x:c r="H500" s="50"/>
      <x:c r="I500" s="50"/>
      <x:c r="J500" s="50"/>
      <x:c r="K500" s="50"/>
    </x:row>
    <x:row r="501">
      <x:c r="A501" s="50" t="s">
        <x:v>365</x:v>
      </x:c>
      <x:c r="B501" s="50"/>
      <x:c r="C501" s="50"/>
      <x:c r="D501" s="50"/>
      <x:c r="E501" s="50"/>
      <x:c r="F501" s="50"/>
      <x:c r="G501" s="50"/>
      <x:c r="H501" s="50"/>
      <x:c r="I501" s="50"/>
      <x:c r="J501" s="50"/>
      <x:c r="K501" s="50"/>
    </x:row>
    <x:row r="502">
      <x:c r="A502" s="50" t="s">
        <x:v>368</x:v>
      </x:c>
      <x:c r="B502" s="50"/>
      <x:c r="C502" s="50"/>
      <x:c r="D502" s="50"/>
      <x:c r="E502" s="50"/>
      <x:c r="F502" s="50"/>
      <x:c r="G502" s="50"/>
      <x:c r="H502" s="50"/>
      <x:c r="I502" s="50"/>
      <x:c r="J502" s="50"/>
      <x:c r="K502" s="50"/>
    </x:row>
    <x:row r="503">
      <x:c r="A503" s="50" t="s">
        <x:v>371</x:v>
      </x:c>
      <x:c r="B503" s="50"/>
      <x:c r="C503" s="50"/>
      <x:c r="D503" s="50"/>
      <x:c r="E503" s="50"/>
      <x:c r="F503" s="50"/>
      <x:c r="G503" s="50"/>
      <x:c r="H503" s="50"/>
      <x:c r="I503" s="50"/>
      <x:c r="J503" s="50"/>
      <x:c r="K503" s="50"/>
    </x:row>
    <x:row r="504">
      <x:c r="A504" s="50" t="s">
        <x:v>374</x:v>
      </x:c>
      <x:c r="B504" s="50"/>
      <x:c r="C504" s="50"/>
      <x:c r="D504" s="50"/>
      <x:c r="E504" s="50"/>
      <x:c r="F504" s="50"/>
      <x:c r="G504" s="50"/>
      <x:c r="H504" s="50"/>
      <x:c r="I504" s="50"/>
      <x:c r="J504" s="50"/>
      <x:c r="K504" s="50"/>
    </x:row>
    <x:row r="505">
      <x:c r="A505" s="50" t="s">
        <x:v>377</x:v>
      </x:c>
      <x:c r="B505" s="50"/>
      <x:c r="C505" s="50"/>
      <x:c r="D505" s="50"/>
      <x:c r="E505" s="50"/>
      <x:c r="F505" s="50"/>
      <x:c r="G505" s="50"/>
      <x:c r="H505" s="50"/>
      <x:c r="I505" s="50"/>
      <x:c r="J505" s="50"/>
      <x:c r="K505" s="50"/>
    </x:row>
    <x:row r="506">
      <x:c r="A506" s="50" t="s">
        <x:v>380</x:v>
      </x:c>
      <x:c r="B506" s="50"/>
      <x:c r="C506" s="50"/>
      <x:c r="D506" s="50"/>
      <x:c r="E506" s="50"/>
      <x:c r="F506" s="50"/>
      <x:c r="G506" s="50"/>
      <x:c r="H506" s="50"/>
      <x:c r="I506" s="50"/>
      <x:c r="J506" s="50"/>
      <x:c r="K506" s="50"/>
    </x:row>
    <x:row r="507">
      <x:c r="A507" s="50" t="s">
        <x:v>383</x:v>
      </x:c>
      <x:c r="B507" s="50"/>
      <x:c r="C507" s="50"/>
      <x:c r="D507" s="50"/>
      <x:c r="E507" s="50"/>
      <x:c r="F507" s="50"/>
      <x:c r="G507" s="50"/>
      <x:c r="H507" s="50"/>
      <x:c r="I507" s="50"/>
      <x:c r="J507" s="50"/>
      <x:c r="K507" s="50"/>
    </x:row>
    <x:row r="508">
      <x:c r="A508" s="50" t="s">
        <x:v>386</x:v>
      </x:c>
      <x:c r="B508" s="50"/>
      <x:c r="C508" s="50"/>
      <x:c r="D508" s="50"/>
      <x:c r="E508" s="50"/>
      <x:c r="F508" s="50"/>
      <x:c r="G508" s="50"/>
      <x:c r="H508" s="50"/>
      <x:c r="I508" s="50"/>
      <x:c r="J508" s="50"/>
      <x:c r="K508" s="50"/>
    </x:row>
    <x:row r="509">
      <x:c r="A509" s="50" t="s">
        <x:v>389</x:v>
      </x:c>
      <x:c r="B509" s="50"/>
      <x:c r="C509" s="50"/>
      <x:c r="D509" s="50"/>
      <x:c r="E509" s="50"/>
      <x:c r="F509" s="50"/>
      <x:c r="G509" s="50"/>
      <x:c r="H509" s="50"/>
      <x:c r="I509" s="50"/>
      <x:c r="J509" s="50"/>
      <x:c r="K509" s="50"/>
    </x:row>
    <x:row r="510">
      <x:c r="A510" s="50" t="s">
        <x:v>392</x:v>
      </x:c>
      <x:c r="B510" s="50"/>
      <x:c r="C510" s="50"/>
      <x:c r="D510" s="50"/>
      <x:c r="E510" s="50"/>
      <x:c r="F510" s="50"/>
      <x:c r="G510" s="50"/>
      <x:c r="H510" s="50"/>
      <x:c r="I510" s="50"/>
      <x:c r="J510" s="50"/>
      <x:c r="K510" s="50"/>
    </x:row>
    <x:row r="511">
      <x:c r="A511" s="50" t="s">
        <x:v>395</x:v>
      </x:c>
      <x:c r="B511" s="50"/>
      <x:c r="C511" s="50"/>
      <x:c r="D511" s="50"/>
      <x:c r="E511" s="50"/>
      <x:c r="F511" s="50"/>
      <x:c r="G511" s="50"/>
      <x:c r="H511" s="50"/>
      <x:c r="I511" s="50"/>
      <x:c r="J511" s="50"/>
      <x:c r="K511" s="50"/>
    </x:row>
    <x:row r="512">
      <x:c r="A512" s="50" t="s">
        <x:v>398</x:v>
      </x:c>
      <x:c r="B512" s="50"/>
      <x:c r="C512" s="50"/>
      <x:c r="D512" s="50"/>
      <x:c r="E512" s="50"/>
      <x:c r="F512" s="50"/>
      <x:c r="G512" s="50"/>
      <x:c r="H512" s="50"/>
      <x:c r="I512" s="50"/>
      <x:c r="J512" s="50"/>
      <x:c r="K512" s="50"/>
    </x:row>
    <x:row r="513">
      <x:c r="A513" s="50" t="s">
        <x:v>401</x:v>
      </x:c>
      <x:c r="B513" s="50"/>
      <x:c r="C513" s="50"/>
      <x:c r="D513" s="50"/>
      <x:c r="E513" s="50"/>
      <x:c r="F513" s="50"/>
      <x:c r="G513" s="50"/>
      <x:c r="H513" s="50"/>
      <x:c r="I513" s="50"/>
      <x:c r="J513" s="50"/>
      <x:c r="K513" s="50"/>
    </x:row>
    <x:row r="514">
      <x:c r="A514" s="50" t="s">
        <x:v>404</x:v>
      </x:c>
      <x:c r="B514" s="50"/>
      <x:c r="C514" s="50"/>
      <x:c r="D514" s="50"/>
      <x:c r="E514" s="50"/>
      <x:c r="F514" s="50"/>
      <x:c r="G514" s="50"/>
      <x:c r="H514" s="50"/>
      <x:c r="I514" s="50"/>
      <x:c r="J514" s="50"/>
      <x:c r="K514" s="50"/>
    </x:row>
    <x:row r="515">
      <x:c r="A515" s="50" t="s">
        <x:v>407</x:v>
      </x:c>
      <x:c r="B515" s="50"/>
      <x:c r="C515" s="50"/>
      <x:c r="D515" s="50"/>
      <x:c r="E515" s="50"/>
      <x:c r="F515" s="50"/>
      <x:c r="G515" s="50"/>
      <x:c r="H515" s="50"/>
      <x:c r="I515" s="50"/>
      <x:c r="J515" s="50"/>
      <x:c r="K515" s="50"/>
    </x:row>
    <x:row r="516">
      <x:c r="A516" s="50" t="s">
        <x:v>410</x:v>
      </x:c>
      <x:c r="B516" s="50"/>
      <x:c r="C516" s="50"/>
      <x:c r="D516" s="50"/>
      <x:c r="E516" s="50"/>
      <x:c r="F516" s="50"/>
      <x:c r="G516" s="50"/>
      <x:c r="H516" s="50"/>
      <x:c r="I516" s="50"/>
      <x:c r="J516" s="50"/>
      <x:c r="K516" s="50"/>
    </x:row>
    <x:row r="517">
      <x:c r="A517" s="50" t="s">
        <x:v>413</x:v>
      </x:c>
      <x:c r="B517" s="50"/>
      <x:c r="C517" s="50"/>
      <x:c r="D517" s="50"/>
      <x:c r="E517" s="50"/>
      <x:c r="F517" s="50"/>
      <x:c r="G517" s="50"/>
      <x:c r="H517" s="50"/>
      <x:c r="I517" s="50"/>
      <x:c r="J517" s="50"/>
      <x:c r="K517" s="50"/>
    </x:row>
    <x:row r="518">
      <x:c r="A518" s="50" t="s">
        <x:v>416</x:v>
      </x:c>
      <x:c r="B518" s="50"/>
      <x:c r="C518" s="50"/>
      <x:c r="D518" s="50"/>
      <x:c r="E518" s="50"/>
      <x:c r="F518" s="50"/>
      <x:c r="G518" s="50"/>
      <x:c r="H518" s="50"/>
      <x:c r="I518" s="50"/>
      <x:c r="J518" s="50"/>
      <x:c r="K518" s="50"/>
    </x:row>
    <x:row r="519">
      <x:c r="A519" s="50" t="s">
        <x:v>419</x:v>
      </x:c>
      <x:c r="B519" s="50"/>
      <x:c r="C519" s="50"/>
      <x:c r="D519" s="50"/>
      <x:c r="E519" s="50"/>
      <x:c r="F519" s="50"/>
      <x:c r="G519" s="50"/>
      <x:c r="H519" s="50"/>
      <x:c r="I519" s="50"/>
      <x:c r="J519" s="50"/>
      <x:c r="K519" s="50"/>
    </x:row>
    <x:row r="520">
      <x:c r="A520" s="50" t="s">
        <x:v>422</x:v>
      </x:c>
      <x:c r="B520" s="50"/>
      <x:c r="C520" s="50"/>
      <x:c r="D520" s="50"/>
      <x:c r="E520" s="50"/>
      <x:c r="F520" s="50"/>
      <x:c r="G520" s="50"/>
      <x:c r="H520" s="50"/>
      <x:c r="I520" s="50"/>
      <x:c r="J520" s="50"/>
      <x:c r="K520" s="50"/>
    </x:row>
    <x:row r="521">
      <x:c r="A521" s="50" t="s">
        <x:v>425</x:v>
      </x:c>
      <x:c r="B521" s="50"/>
      <x:c r="C521" s="50"/>
      <x:c r="D521" s="50"/>
      <x:c r="E521" s="50"/>
      <x:c r="F521" s="50"/>
      <x:c r="G521" s="50"/>
      <x:c r="H521" s="50"/>
      <x:c r="I521" s="50"/>
      <x:c r="J521" s="50"/>
      <x:c r="K521" s="50"/>
    </x:row>
    <x:row r="522">
      <x:c r="A522" s="50" t="s">
        <x:v>428</x:v>
      </x:c>
      <x:c r="B522" s="50"/>
      <x:c r="C522" s="50"/>
      <x:c r="D522" s="50"/>
      <x:c r="E522" s="50"/>
      <x:c r="F522" s="50"/>
      <x:c r="G522" s="50"/>
      <x:c r="H522" s="50"/>
      <x:c r="I522" s="50"/>
      <x:c r="J522" s="50"/>
      <x:c r="K522" s="50"/>
    </x:row>
    <x:row r="523">
      <x:c r="A523" s="50" t="s">
        <x:v>431</x:v>
      </x:c>
      <x:c r="B523" s="50"/>
      <x:c r="C523" s="50"/>
      <x:c r="D523" s="50"/>
      <x:c r="E523" s="50"/>
      <x:c r="F523" s="50"/>
      <x:c r="G523" s="50"/>
      <x:c r="H523" s="50"/>
      <x:c r="I523" s="50"/>
      <x:c r="J523" s="50"/>
      <x:c r="K523" s="50"/>
    </x:row>
    <x:row r="524">
      <x:c r="A524" s="50" t="s">
        <x:v>434</x:v>
      </x:c>
      <x:c r="B524" s="50"/>
      <x:c r="C524" s="50"/>
      <x:c r="D524" s="50"/>
      <x:c r="E524" s="50"/>
      <x:c r="F524" s="50"/>
      <x:c r="G524" s="50"/>
      <x:c r="H524" s="50"/>
      <x:c r="I524" s="50"/>
      <x:c r="J524" s="50"/>
      <x:c r="K524" s="50"/>
    </x:row>
    <x:row r="525">
      <x:c r="A525" s="50" t="s">
        <x:v>437</x:v>
      </x:c>
      <x:c r="B525" s="50"/>
      <x:c r="C525" s="50"/>
      <x:c r="D525" s="50"/>
      <x:c r="E525" s="50"/>
      <x:c r="F525" s="50"/>
      <x:c r="G525" s="50"/>
      <x:c r="H525" s="50"/>
      <x:c r="I525" s="50"/>
      <x:c r="J525" s="50"/>
      <x:c r="K525" s="50"/>
    </x:row>
    <x:row r="526">
      <x:c r="A526" s="50" t="s">
        <x:v>440</x:v>
      </x:c>
      <x:c r="B526" s="50"/>
      <x:c r="C526" s="50"/>
      <x:c r="D526" s="50"/>
      <x:c r="E526" s="50"/>
      <x:c r="F526" s="50"/>
      <x:c r="G526" s="50"/>
      <x:c r="H526" s="50"/>
      <x:c r="I526" s="50"/>
      <x:c r="J526" s="50"/>
      <x:c r="K526" s="50"/>
    </x:row>
    <x:row r="527">
      <x:c r="A527" s="50" t="s">
        <x:v>443</x:v>
      </x:c>
      <x:c r="B527" s="50"/>
      <x:c r="C527" s="50"/>
      <x:c r="D527" s="50"/>
      <x:c r="E527" s="50"/>
      <x:c r="F527" s="50"/>
      <x:c r="G527" s="50"/>
      <x:c r="H527" s="50"/>
      <x:c r="I527" s="50"/>
      <x:c r="J527" s="50"/>
      <x:c r="K527" s="50"/>
    </x:row>
    <x:row r="528">
      <x:c r="A528" s="50" t="s">
        <x:v>446</x:v>
      </x:c>
      <x:c r="B528" s="50"/>
      <x:c r="C528" s="50"/>
      <x:c r="D528" s="50"/>
      <x:c r="E528" s="50"/>
      <x:c r="F528" s="50"/>
      <x:c r="G528" s="50"/>
      <x:c r="H528" s="50"/>
      <x:c r="I528" s="50"/>
      <x:c r="J528" s="50"/>
      <x:c r="K528" s="50"/>
    </x:row>
    <x:row r="529">
      <x:c r="A529" s="50" t="s">
        <x:v>449</x:v>
      </x:c>
      <x:c r="B529" s="50"/>
      <x:c r="C529" s="50"/>
      <x:c r="D529" s="50"/>
      <x:c r="E529" s="50"/>
      <x:c r="F529" s="50"/>
      <x:c r="G529" s="50"/>
      <x:c r="H529" s="50"/>
      <x:c r="I529" s="50"/>
      <x:c r="J529" s="50"/>
      <x:c r="K529" s="50"/>
    </x:row>
    <x:row r="530">
      <x:c r="A530" s="50" t="s">
        <x:v>452</x:v>
      </x:c>
      <x:c r="B530" s="50"/>
      <x:c r="C530" s="50"/>
      <x:c r="D530" s="50"/>
      <x:c r="E530" s="50"/>
      <x:c r="F530" s="50"/>
      <x:c r="G530" s="50"/>
      <x:c r="H530" s="50"/>
      <x:c r="I530" s="50"/>
      <x:c r="J530" s="50"/>
      <x:c r="K530" s="50"/>
    </x:row>
    <x:row r="531">
      <x:c r="A531" s="50" t="s">
        <x:v>455</x:v>
      </x:c>
      <x:c r="B531" s="50"/>
      <x:c r="C531" s="50"/>
      <x:c r="D531" s="50"/>
      <x:c r="E531" s="50"/>
      <x:c r="F531" s="50"/>
      <x:c r="G531" s="50"/>
      <x:c r="H531" s="50"/>
      <x:c r="I531" s="50"/>
      <x:c r="J531" s="50"/>
      <x:c r="K531" s="50"/>
    </x:row>
    <x:row r="532">
      <x:c r="A532" s="50" t="s">
        <x:v>458</x:v>
      </x:c>
      <x:c r="B532" s="50"/>
      <x:c r="C532" s="50"/>
      <x:c r="D532" s="50"/>
      <x:c r="E532" s="50"/>
      <x:c r="F532" s="50"/>
      <x:c r="G532" s="50"/>
      <x:c r="H532" s="50"/>
      <x:c r="I532" s="50"/>
      <x:c r="J532" s="50"/>
      <x:c r="K532" s="50"/>
    </x:row>
    <x:row r="533">
      <x:c r="A533" s="50" t="s">
        <x:v>461</x:v>
      </x:c>
      <x:c r="B533" s="50"/>
      <x:c r="C533" s="50"/>
      <x:c r="D533" s="50"/>
      <x:c r="E533" s="50"/>
      <x:c r="F533" s="50"/>
      <x:c r="G533" s="50"/>
      <x:c r="H533" s="50"/>
      <x:c r="I533" s="50"/>
      <x:c r="J533" s="50"/>
      <x:c r="K533" s="50"/>
    </x:row>
    <x:row r="534">
      <x:c r="A534" s="50" t="s">
        <x:v>464</x:v>
      </x:c>
      <x:c r="B534" s="50"/>
      <x:c r="C534" s="50"/>
      <x:c r="D534" s="50"/>
      <x:c r="E534" s="50"/>
      <x:c r="F534" s="50"/>
      <x:c r="G534" s="50"/>
      <x:c r="H534" s="50"/>
      <x:c r="I534" s="50"/>
      <x:c r="J534" s="50"/>
      <x:c r="K534" s="50"/>
    </x:row>
    <x:row r="535">
      <x:c r="A535" s="50" t="s">
        <x:v>467</x:v>
      </x:c>
      <x:c r="B535" s="50"/>
      <x:c r="C535" s="50"/>
      <x:c r="D535" s="50"/>
      <x:c r="E535" s="50"/>
      <x:c r="F535" s="50"/>
      <x:c r="G535" s="50"/>
      <x:c r="H535" s="50"/>
      <x:c r="I535" s="50"/>
      <x:c r="J535" s="50"/>
      <x:c r="K535" s="50"/>
    </x:row>
    <x:row r="536">
      <x:c r="A536" s="50" t="s">
        <x:v>470</x:v>
      </x:c>
      <x:c r="B536" s="50"/>
      <x:c r="C536" s="50"/>
      <x:c r="D536" s="50"/>
      <x:c r="E536" s="50"/>
      <x:c r="F536" s="50"/>
      <x:c r="G536" s="50"/>
      <x:c r="H536" s="50"/>
      <x:c r="I536" s="50"/>
      <x:c r="J536" s="50"/>
      <x:c r="K536" s="50"/>
    </x:row>
    <x:row r="537">
      <x:c r="A537" s="50" t="s">
        <x:v>473</x:v>
      </x:c>
      <x:c r="B537" s="50"/>
      <x:c r="C537" s="50"/>
      <x:c r="D537" s="50"/>
      <x:c r="E537" s="50"/>
      <x:c r="F537" s="50"/>
      <x:c r="G537" s="50"/>
      <x:c r="H537" s="50"/>
      <x:c r="I537" s="50"/>
      <x:c r="J537" s="50"/>
      <x:c r="K537" s="50"/>
    </x:row>
    <x:row r="538">
      <x:c r="A538" s="50" t="s">
        <x:v>476</x:v>
      </x:c>
      <x:c r="B538" s="50"/>
      <x:c r="C538" s="50"/>
      <x:c r="D538" s="50"/>
      <x:c r="E538" s="50"/>
      <x:c r="F538" s="50"/>
      <x:c r="G538" s="50"/>
      <x:c r="H538" s="50"/>
      <x:c r="I538" s="50"/>
      <x:c r="J538" s="50"/>
      <x:c r="K538" s="50"/>
    </x:row>
    <x:row r="539">
      <x:c r="A539" s="50" t="s">
        <x:v>479</x:v>
      </x:c>
      <x:c r="B539" s="50"/>
      <x:c r="C539" s="50"/>
      <x:c r="D539" s="50"/>
      <x:c r="E539" s="50"/>
      <x:c r="F539" s="50"/>
      <x:c r="G539" s="50"/>
      <x:c r="H539" s="50"/>
      <x:c r="I539" s="50"/>
      <x:c r="J539" s="50"/>
      <x:c r="K539" s="50"/>
    </x:row>
    <x:row r="540">
      <x:c r="A540" s="50" t="s">
        <x:v>482</x:v>
      </x:c>
      <x:c r="B540" s="50"/>
      <x:c r="C540" s="50"/>
      <x:c r="D540" s="50"/>
      <x:c r="E540" s="50"/>
      <x:c r="F540" s="50"/>
      <x:c r="G540" s="50"/>
      <x:c r="H540" s="50"/>
      <x:c r="I540" s="50"/>
      <x:c r="J540" s="50"/>
      <x:c r="K540" s="50"/>
    </x:row>
    <x:row r="541">
      <x:c r="A541" s="50" t="s">
        <x:v>485</x:v>
      </x:c>
      <x:c r="B541" s="50"/>
      <x:c r="C541" s="50"/>
      <x:c r="D541" s="50"/>
      <x:c r="E541" s="50"/>
      <x:c r="F541" s="50"/>
      <x:c r="G541" s="50"/>
      <x:c r="H541" s="50"/>
      <x:c r="I541" s="50"/>
      <x:c r="J541" s="50"/>
      <x:c r="K541" s="50"/>
    </x:row>
    <x:row r="542">
      <x:c r="A542" s="50" t="s">
        <x:v>488</x:v>
      </x:c>
      <x:c r="B542" s="50" t="s">
        <x:v>632</x:v>
      </x:c>
      <x:c r="C542" s="50" t="s">
        <x:v>633</x:v>
      </x:c>
      <x:c r="D542" s="50" t="s">
        <x:v>642</x:v>
      </x:c>
      <x:c r="E542" s="50" t="s">
        <x:v>643</x:v>
      </x:c>
      <x:c r="F542" s="50" t="s">
        <x:v>661</x:v>
      </x:c>
      <x:c r="G542" s="50"/>
      <x:c r="H542" s="50"/>
      <x:c r="I542" s="50"/>
      <x:c r="J542" s="50"/>
      <x:c r="K542" s="50"/>
    </x:row>
    <x:row r="543">
      <x:c r="A543" s="50" t="s">
        <x:v>491</x:v>
      </x:c>
      <x:c r="B543" s="50" t="s">
        <x:v>632</x:v>
      </x:c>
      <x:c r="C543" s="50" t="s">
        <x:v>633</x:v>
      </x:c>
      <x:c r="D543" s="50" t="s">
        <x:v>642</x:v>
      </x:c>
      <x:c r="E543" s="50" t="s">
        <x:v>643</x:v>
      </x:c>
      <x:c r="F543" s="50" t="s">
        <x:v>661</x:v>
      </x:c>
      <x:c r="G543" s="50"/>
      <x:c r="H543" s="50"/>
      <x:c r="I543" s="50"/>
      <x:c r="J543" s="50"/>
      <x:c r="K543" s="50"/>
    </x:row>
    <x:row r="544">
      <x:c r="A544" s="50" t="s">
        <x:v>494</x:v>
      </x:c>
      <x:c r="B544" s="50" t="s">
        <x:v>632</x:v>
      </x:c>
      <x:c r="C544" s="50" t="s">
        <x:v>633</x:v>
      </x:c>
      <x:c r="D544" s="50" t="s">
        <x:v>642</x:v>
      </x:c>
      <x:c r="E544" s="50" t="s">
        <x:v>643</x:v>
      </x:c>
      <x:c r="F544" s="50" t="s">
        <x:v>661</x:v>
      </x:c>
      <x:c r="G544" s="50"/>
      <x:c r="H544" s="50"/>
      <x:c r="I544" s="50"/>
      <x:c r="J544" s="50"/>
      <x:c r="K544" s="50"/>
    </x:row>
    <x:row r="545">
      <x:c r="A545" s="50" t="s">
        <x:v>497</x:v>
      </x:c>
      <x:c r="B545" s="50" t="s">
        <x:v>632</x:v>
      </x:c>
      <x:c r="C545" s="50" t="s">
        <x:v>633</x:v>
      </x:c>
      <x:c r="D545" s="50" t="s">
        <x:v>642</x:v>
      </x:c>
      <x:c r="E545" s="50" t="s">
        <x:v>643</x:v>
      </x:c>
      <x:c r="F545" s="50" t="s">
        <x:v>661</x:v>
      </x:c>
      <x:c r="G545" s="50"/>
      <x:c r="H545" s="50"/>
      <x:c r="I545" s="50"/>
      <x:c r="J545" s="50"/>
      <x:c r="K545" s="50"/>
    </x:row>
    <x:row r="546">
      <x:c r="A546" s="50" t="s">
        <x:v>500</x:v>
      </x:c>
      <x:c r="B546" s="50" t="s">
        <x:v>632</x:v>
      </x:c>
      <x:c r="C546" s="50" t="s">
        <x:v>670</x:v>
      </x:c>
      <x:c r="D546" s="50" t="s">
        <x:v>633</x:v>
      </x:c>
      <x:c r="E546" s="50" t="s">
        <x:v>642</x:v>
      </x:c>
      <x:c r="F546" s="50" t="s">
        <x:v>643</x:v>
      </x:c>
      <x:c r="G546" s="50" t="s">
        <x:v>661</x:v>
      </x:c>
      <x:c r="H546" s="50"/>
      <x:c r="I546" s="50"/>
      <x:c r="J546" s="50"/>
      <x:c r="K546" s="50"/>
    </x:row>
    <x:row r="547">
      <x:c r="A547" s="50" t="s">
        <x:v>503</x:v>
      </x:c>
      <x:c r="B547" s="50" t="s">
        <x:v>632</x:v>
      </x:c>
      <x:c r="C547" s="50" t="s">
        <x:v>670</x:v>
      </x:c>
      <x:c r="D547" s="50" t="s">
        <x:v>633</x:v>
      </x:c>
      <x:c r="E547" s="50" t="s">
        <x:v>642</x:v>
      </x:c>
      <x:c r="F547" s="50" t="s">
        <x:v>643</x:v>
      </x:c>
      <x:c r="G547" s="50" t="s">
        <x:v>661</x:v>
      </x:c>
      <x:c r="H547" s="50"/>
      <x:c r="I547" s="50"/>
      <x:c r="J547" s="50"/>
      <x:c r="K547" s="50"/>
    </x:row>
    <x:row r="548">
      <x:c r="A548" s="50" t="s">
        <x:v>506</x:v>
      </x:c>
      <x:c r="B548" s="50" t="s">
        <x:v>632</x:v>
      </x:c>
      <x:c r="C548" s="50" t="s">
        <x:v>670</x:v>
      </x:c>
      <x:c r="D548" s="50" t="s">
        <x:v>633</x:v>
      </x:c>
      <x:c r="E548" s="50" t="s">
        <x:v>642</x:v>
      </x:c>
      <x:c r="F548" s="50" t="s">
        <x:v>643</x:v>
      </x:c>
      <x:c r="G548" s="50" t="s">
        <x:v>661</x:v>
      </x:c>
      <x:c r="H548" s="50"/>
      <x:c r="I548" s="50"/>
      <x:c r="J548" s="50"/>
      <x:c r="K548" s="50"/>
    </x:row>
    <x:row r="549">
      <x:c r="A549" s="50" t="s">
        <x:v>509</x:v>
      </x:c>
      <x:c r="B549" s="50" t="s">
        <x:v>632</x:v>
      </x:c>
      <x:c r="C549" s="50" t="s">
        <x:v>670</x:v>
      </x:c>
      <x:c r="D549" s="50" t="s">
        <x:v>633</x:v>
      </x:c>
      <x:c r="E549" s="50" t="s">
        <x:v>642</x:v>
      </x:c>
      <x:c r="F549" s="50" t="s">
        <x:v>643</x:v>
      </x:c>
      <x:c r="G549" s="50" t="s">
        <x:v>661</x:v>
      </x:c>
      <x:c r="H549" s="50"/>
      <x:c r="I549" s="50"/>
      <x:c r="J549" s="50"/>
      <x:c r="K549" s="50"/>
    </x:row>
    <x:row r="550">
      <x:c r="A550" s="50" t="s">
        <x:v>512</x:v>
      </x:c>
      <x:c r="B550" s="50" t="s">
        <x:v>632</x:v>
      </x:c>
      <x:c r="C550" s="50" t="s">
        <x:v>670</x:v>
      </x:c>
      <x:c r="D550" s="50" t="s">
        <x:v>633</x:v>
      </x:c>
      <x:c r="E550" s="50" t="s">
        <x:v>642</x:v>
      </x:c>
      <x:c r="F550" s="50" t="s">
        <x:v>643</x:v>
      </x:c>
      <x:c r="G550" s="50" t="s">
        <x:v>661</x:v>
      </x:c>
      <x:c r="H550" s="50"/>
      <x:c r="I550" s="50"/>
      <x:c r="J550" s="50"/>
      <x:c r="K550" s="50"/>
    </x:row>
    <x:row r="551">
      <x:c r="A551" s="50" t="s">
        <x:v>515</x:v>
      </x:c>
      <x:c r="B551" s="50" t="s">
        <x:v>632</x:v>
      </x:c>
      <x:c r="C551" s="50" t="s">
        <x:v>670</x:v>
      </x:c>
      <x:c r="D551" s="50" t="s">
        <x:v>633</x:v>
      </x:c>
      <x:c r="E551" s="50" t="s">
        <x:v>642</x:v>
      </x:c>
      <x:c r="F551" s="50" t="s">
        <x:v>643</x:v>
      </x:c>
      <x:c r="G551" s="50" t="s">
        <x:v>661</x:v>
      </x:c>
      <x:c r="H551" s="50"/>
      <x:c r="I551" s="50"/>
      <x:c r="J551" s="50"/>
      <x:c r="K551" s="50"/>
    </x:row>
    <x:row r="552">
      <x:c r="A552" s="50" t="s">
        <x:v>518</x:v>
      </x:c>
      <x:c r="B552" s="50" t="s">
        <x:v>632</x:v>
      </x:c>
      <x:c r="C552" s="50" t="s">
        <x:v>670</x:v>
      </x:c>
      <x:c r="D552" s="50" t="s">
        <x:v>633</x:v>
      </x:c>
      <x:c r="E552" s="50" t="s">
        <x:v>642</x:v>
      </x:c>
      <x:c r="F552" s="50" t="s">
        <x:v>643</x:v>
      </x:c>
      <x:c r="G552" s="50" t="s">
        <x:v>661</x:v>
      </x:c>
      <x:c r="H552" s="50"/>
      <x:c r="I552" s="50"/>
      <x:c r="J552" s="50"/>
      <x:c r="K552" s="50"/>
    </x:row>
    <x:row r="553">
      <x:c r="A553" s="50" t="s">
        <x:v>521</x:v>
      </x:c>
      <x:c r="B553" s="50" t="s">
        <x:v>632</x:v>
      </x:c>
      <x:c r="C553" s="50" t="s">
        <x:v>670</x:v>
      </x:c>
      <x:c r="D553" s="50" t="s">
        <x:v>633</x:v>
      </x:c>
      <x:c r="E553" s="50" t="s">
        <x:v>642</x:v>
      </x:c>
      <x:c r="F553" s="50" t="s">
        <x:v>643</x:v>
      </x:c>
      <x:c r="G553" s="50" t="s">
        <x:v>661</x:v>
      </x:c>
      <x:c r="H553" s="50"/>
      <x:c r="I553" s="50"/>
      <x:c r="J553" s="50"/>
      <x:c r="K553" s="50"/>
    </x:row>
    <x:row r="554">
      <x:c r="A554" s="50" t="s">
        <x:v>524</x:v>
      </x:c>
      <x:c r="B554" s="50" t="s">
        <x:v>632</x:v>
      </x:c>
      <x:c r="C554" s="50" t="s">
        <x:v>670</x:v>
      </x:c>
      <x:c r="D554" s="50" t="s">
        <x:v>633</x:v>
      </x:c>
      <x:c r="E554" s="50" t="s">
        <x:v>642</x:v>
      </x:c>
      <x:c r="F554" s="50" t="s">
        <x:v>643</x:v>
      </x:c>
      <x:c r="G554" s="50" t="s">
        <x:v>661</x:v>
      </x:c>
      <x:c r="H554" s="50"/>
      <x:c r="I554" s="50"/>
      <x:c r="J554" s="50"/>
      <x:c r="K554" s="50"/>
    </x:row>
    <x:row r="555">
      <x:c r="A555" s="50" t="s">
        <x:v>527</x:v>
      </x:c>
      <x:c r="B555" s="50" t="s">
        <x:v>632</x:v>
      </x:c>
      <x:c r="C555" s="50" t="s">
        <x:v>670</x:v>
      </x:c>
      <x:c r="D555" s="50" t="s">
        <x:v>633</x:v>
      </x:c>
      <x:c r="E555" s="50" t="s">
        <x:v>642</x:v>
      </x:c>
      <x:c r="F555" s="50" t="s">
        <x:v>643</x:v>
      </x:c>
      <x:c r="G555" s="50" t="s">
        <x:v>661</x:v>
      </x:c>
      <x:c r="H555" s="50"/>
      <x:c r="I555" s="50"/>
      <x:c r="J555" s="50"/>
      <x:c r="K555" s="50"/>
    </x:row>
    <x:row r="556">
      <x:c r="A556" s="50" t="s">
        <x:v>530</x:v>
      </x:c>
      <x:c r="B556" s="50" t="s">
        <x:v>670</x:v>
      </x:c>
      <x:c r="C556" s="50" t="s">
        <x:v>633</x:v>
      </x:c>
      <x:c r="D556" s="50" t="s">
        <x:v>642</x:v>
      </x:c>
      <x:c r="E556" s="50" t="s">
        <x:v>643</x:v>
      </x:c>
      <x:c r="F556" s="50" t="s">
        <x:v>661</x:v>
      </x:c>
      <x:c r="G556" s="50"/>
      <x:c r="H556" s="50"/>
      <x:c r="I556" s="50"/>
      <x:c r="J556" s="50"/>
      <x:c r="K556" s="50"/>
    </x:row>
    <x:row r="557">
      <x:c r="A557" s="50" t="s">
        <x:v>533</x:v>
      </x:c>
      <x:c r="B557" s="50" t="s">
        <x:v>670</x:v>
      </x:c>
      <x:c r="C557" s="50" t="s">
        <x:v>633</x:v>
      </x:c>
      <x:c r="D557" s="50" t="s">
        <x:v>642</x:v>
      </x:c>
      <x:c r="E557" s="50" t="s">
        <x:v>643</x:v>
      </x:c>
      <x:c r="F557" s="50" t="s">
        <x:v>661</x:v>
      </x:c>
      <x:c r="G557" s="50"/>
      <x:c r="H557" s="50"/>
      <x:c r="I557" s="50"/>
      <x:c r="J557" s="50"/>
      <x:c r="K557" s="50"/>
    </x:row>
    <x:row r="558">
      <x:c r="A558" s="50" t="s">
        <x:v>536</x:v>
      </x:c>
      <x:c r="B558" s="50" t="s">
        <x:v>670</x:v>
      </x:c>
      <x:c r="C558" s="50" t="s">
        <x:v>633</x:v>
      </x:c>
      <x:c r="D558" s="50" t="s">
        <x:v>642</x:v>
      </x:c>
      <x:c r="E558" s="50" t="s">
        <x:v>643</x:v>
      </x:c>
      <x:c r="F558" s="50" t="s">
        <x:v>661</x:v>
      </x:c>
      <x:c r="G558" s="50"/>
      <x:c r="H558" s="50"/>
      <x:c r="I558" s="50"/>
      <x:c r="J558" s="50"/>
      <x:c r="K558" s="50"/>
    </x:row>
    <x:row r="559">
      <x:c r="A559" s="50" t="s">
        <x:v>539</x:v>
      </x:c>
      <x:c r="B559" s="50" t="s">
        <x:v>670</x:v>
      </x:c>
      <x:c r="C559" s="50" t="s">
        <x:v>633</x:v>
      </x:c>
      <x:c r="D559" s="50" t="s">
        <x:v>642</x:v>
      </x:c>
      <x:c r="E559" s="50" t="s">
        <x:v>643</x:v>
      </x:c>
      <x:c r="F559" s="50" t="s">
        <x:v>661</x:v>
      </x:c>
      <x:c r="G559" s="50"/>
      <x:c r="H559" s="50"/>
      <x:c r="I559" s="50"/>
      <x:c r="J559" s="50"/>
      <x:c r="K559" s="50"/>
    </x:row>
    <x:row r="560">
      <x:c r="A560" s="50" t="s">
        <x:v>542</x:v>
      </x:c>
      <x:c r="B560" s="50" t="s">
        <x:v>670</x:v>
      </x:c>
      <x:c r="C560" s="50" t="s">
        <x:v>633</x:v>
      </x:c>
      <x:c r="D560" s="50" t="s">
        <x:v>642</x:v>
      </x:c>
      <x:c r="E560" s="50" t="s">
        <x:v>643</x:v>
      </x:c>
      <x:c r="F560" s="50" t="s">
        <x:v>661</x:v>
      </x:c>
      <x:c r="G560" s="50"/>
      <x:c r="H560" s="50"/>
      <x:c r="I560" s="50"/>
      <x:c r="J560" s="50"/>
      <x:c r="K560" s="50"/>
    </x:row>
    <x:row r="561">
      <x:c r="A561" s="50" t="s">
        <x:v>545</x:v>
      </x:c>
      <x:c r="B561" s="50" t="s">
        <x:v>670</x:v>
      </x:c>
      <x:c r="C561" s="50" t="s">
        <x:v>633</x:v>
      </x:c>
      <x:c r="D561" s="50" t="s">
        <x:v>642</x:v>
      </x:c>
      <x:c r="E561" s="50" t="s">
        <x:v>643</x:v>
      </x:c>
      <x:c r="F561" s="50" t="s">
        <x:v>661</x:v>
      </x:c>
      <x:c r="G561" s="50"/>
      <x:c r="H561" s="50"/>
      <x:c r="I561" s="50"/>
      <x:c r="J561" s="50"/>
      <x:c r="K561" s="50"/>
    </x:row>
    <x:row r="562">
      <x:c r="A562" s="50" t="s">
        <x:v>548</x:v>
      </x:c>
      <x:c r="B562" s="50" t="s">
        <x:v>670</x:v>
      </x:c>
      <x:c r="C562" s="50" t="s">
        <x:v>633</x:v>
      </x:c>
      <x:c r="D562" s="50" t="s">
        <x:v>642</x:v>
      </x:c>
      <x:c r="E562" s="50" t="s">
        <x:v>643</x:v>
      </x:c>
      <x:c r="F562" s="50" t="s">
        <x:v>661</x:v>
      </x:c>
      <x:c r="G562" s="50"/>
      <x:c r="H562" s="50"/>
      <x:c r="I562" s="50"/>
      <x:c r="J562" s="50"/>
      <x:c r="K562" s="50"/>
    </x:row>
    <x:row r="563">
      <x:c r="A563" s="50" t="s">
        <x:v>551</x:v>
      </x:c>
      <x:c r="B563" s="50" t="s">
        <x:v>670</x:v>
      </x:c>
      <x:c r="C563" s="50" t="s">
        <x:v>633</x:v>
      </x:c>
      <x:c r="D563" s="50" t="s">
        <x:v>642</x:v>
      </x:c>
      <x:c r="E563" s="50" t="s">
        <x:v>643</x:v>
      </x:c>
      <x:c r="F563" s="50" t="s">
        <x:v>661</x:v>
      </x:c>
      <x:c r="G563" s="50" t="s">
        <x:v>679</x:v>
      </x:c>
      <x:c r="H563" s="50"/>
      <x:c r="I563" s="50"/>
      <x:c r="J563" s="50"/>
      <x:c r="K563" s="50"/>
    </x:row>
    <x:row r="564">
      <x:c r="A564" s="50" t="s">
        <x:v>554</x:v>
      </x:c>
      <x:c r="B564" s="50" t="s">
        <x:v>670</x:v>
      </x:c>
      <x:c r="C564" s="50" t="s">
        <x:v>633</x:v>
      </x:c>
      <x:c r="D564" s="50" t="s">
        <x:v>643</x:v>
      </x:c>
      <x:c r="E564" s="50" t="s">
        <x:v>661</x:v>
      </x:c>
      <x:c r="F564" s="50" t="s">
        <x:v>679</x:v>
      </x:c>
      <x:c r="G564" s="50"/>
      <x:c r="H564" s="50"/>
      <x:c r="I564" s="50"/>
      <x:c r="J564" s="50"/>
      <x:c r="K564" s="50"/>
    </x:row>
    <x:row r="565">
      <x:c r="A565" s="50" t="s">
        <x:v>557</x:v>
      </x:c>
      <x:c r="B565" s="50" t="s">
        <x:v>670</x:v>
      </x:c>
      <x:c r="C565" s="50" t="s">
        <x:v>633</x:v>
      </x:c>
      <x:c r="D565" s="50" t="s">
        <x:v>643</x:v>
      </x:c>
      <x:c r="E565" s="50" t="s">
        <x:v>661</x:v>
      </x:c>
      <x:c r="F565" s="50" t="s">
        <x:v>679</x:v>
      </x:c>
      <x:c r="G565" s="50"/>
      <x:c r="H565" s="50"/>
      <x:c r="I565" s="50"/>
      <x:c r="J565" s="50"/>
      <x:c r="K565" s="50"/>
    </x:row>
    <x:row r="566">
      <x:c r="A566" s="50" t="s">
        <x:v>560</x:v>
      </x:c>
      <x:c r="B566" s="50" t="s">
        <x:v>670</x:v>
      </x:c>
      <x:c r="C566" s="50" t="s">
        <x:v>633</x:v>
      </x:c>
      <x:c r="D566" s="50" t="s">
        <x:v>643</x:v>
      </x:c>
      <x:c r="E566" s="50" t="s">
        <x:v>661</x:v>
      </x:c>
      <x:c r="F566" s="50" t="s">
        <x:v>679</x:v>
      </x:c>
      <x:c r="G566" s="50"/>
      <x:c r="H566" s="50"/>
      <x:c r="I566" s="50"/>
      <x:c r="J566" s="50"/>
      <x:c r="K566" s="50"/>
    </x:row>
    <x:row r="567">
      <x:c r="A567" s="50" t="s">
        <x:v>563</x:v>
      </x:c>
      <x:c r="B567" s="50" t="s">
        <x:v>670</x:v>
      </x:c>
      <x:c r="C567" s="50" t="s">
        <x:v>633</x:v>
      </x:c>
      <x:c r="D567" s="50" t="s">
        <x:v>643</x:v>
      </x:c>
      <x:c r="E567" s="50" t="s">
        <x:v>661</x:v>
      </x:c>
      <x:c r="F567" s="50" t="s">
        <x:v>679</x:v>
      </x:c>
      <x:c r="G567" s="50"/>
      <x:c r="H567" s="50"/>
      <x:c r="I567" s="50"/>
      <x:c r="J567" s="50"/>
      <x:c r="K567" s="50"/>
    </x:row>
    <x:row r="568">
      <x:c r="A568" s="50" t="s">
        <x:v>566</x:v>
      </x:c>
      <x:c r="B568" s="50" t="s">
        <x:v>670</x:v>
      </x:c>
      <x:c r="C568" s="50" t="s">
        <x:v>633</x:v>
      </x:c>
      <x:c r="D568" s="50" t="s">
        <x:v>643</x:v>
      </x:c>
      <x:c r="E568" s="50" t="s">
        <x:v>661</x:v>
      </x:c>
      <x:c r="F568" s="50" t="s">
        <x:v>679</x:v>
      </x:c>
      <x:c r="G568" s="50"/>
      <x:c r="H568" s="50"/>
      <x:c r="I568" s="50"/>
      <x:c r="J568" s="50"/>
      <x:c r="K568" s="50"/>
    </x:row>
    <x:row r="569">
      <x:c r="A569" s="50" t="s">
        <x:v>569</x:v>
      </x:c>
      <x:c r="B569" s="50" t="s">
        <x:v>670</x:v>
      </x:c>
      <x:c r="C569" s="50" t="s">
        <x:v>633</x:v>
      </x:c>
      <x:c r="D569" s="50" t="s">
        <x:v>643</x:v>
      </x:c>
      <x:c r="E569" s="50" t="s">
        <x:v>661</x:v>
      </x:c>
      <x:c r="F569" s="50" t="s">
        <x:v>679</x:v>
      </x:c>
      <x:c r="G569" s="50"/>
      <x:c r="H569" s="50"/>
      <x:c r="I569" s="50"/>
      <x:c r="J569" s="50"/>
      <x:c r="K569" s="50"/>
    </x:row>
    <x:row r="570">
      <x:c r="A570" s="50" t="s">
        <x:v>572</x:v>
      </x:c>
      <x:c r="B570" s="50" t="s">
        <x:v>670</x:v>
      </x:c>
      <x:c r="C570" s="50" t="s">
        <x:v>633</x:v>
      </x:c>
      <x:c r="D570" s="50" t="s">
        <x:v>643</x:v>
      </x:c>
      <x:c r="E570" s="50" t="s">
        <x:v>661</x:v>
      </x:c>
      <x:c r="F570" s="50" t="s">
        <x:v>679</x:v>
      </x:c>
      <x:c r="G570" s="50" t="s">
        <x:v>696</x:v>
      </x:c>
      <x:c r="H570" s="50"/>
      <x:c r="I570" s="50"/>
      <x:c r="J570" s="50"/>
      <x:c r="K570" s="50"/>
    </x:row>
    <x:row r="571">
      <x:c r="A571" s="50" t="s">
        <x:v>575</x:v>
      </x:c>
      <x:c r="B571" s="50" t="s">
        <x:v>670</x:v>
      </x:c>
      <x:c r="C571" s="50" t="s">
        <x:v>633</x:v>
      </x:c>
      <x:c r="D571" s="50" t="s">
        <x:v>643</x:v>
      </x:c>
      <x:c r="E571" s="50" t="s">
        <x:v>661</x:v>
      </x:c>
      <x:c r="F571" s="50" t="s">
        <x:v>679</x:v>
      </x:c>
      <x:c r="G571" s="50" t="s">
        <x:v>696</x:v>
      </x:c>
      <x:c r="H571" s="50"/>
      <x:c r="I571" s="50"/>
      <x:c r="J571" s="50"/>
      <x:c r="K571" s="50"/>
    </x:row>
    <x:row r="572">
      <x:c r="A572" s="50" t="s">
        <x:v>578</x:v>
      </x:c>
      <x:c r="B572" s="50" t="s">
        <x:v>670</x:v>
      </x:c>
      <x:c r="C572" s="50" t="s">
        <x:v>633</x:v>
      </x:c>
      <x:c r="D572" s="50" t="s">
        <x:v>643</x:v>
      </x:c>
      <x:c r="E572" s="50" t="s">
        <x:v>661</x:v>
      </x:c>
      <x:c r="F572" s="50" t="s">
        <x:v>679</x:v>
      </x:c>
      <x:c r="G572" s="50" t="s">
        <x:v>696</x:v>
      </x:c>
      <x:c r="H572" s="50"/>
      <x:c r="I572" s="50"/>
      <x:c r="J572" s="50"/>
      <x:c r="K572" s="50"/>
    </x:row>
    <x:row r="573">
      <x:c r="A573" s="50" t="s">
        <x:v>581</x:v>
      </x:c>
      <x:c r="B573" s="50" t="s">
        <x:v>670</x:v>
      </x:c>
      <x:c r="C573" s="50" t="s">
        <x:v>633</x:v>
      </x:c>
      <x:c r="D573" s="50" t="s">
        <x:v>643</x:v>
      </x:c>
      <x:c r="E573" s="50" t="s">
        <x:v>661</x:v>
      </x:c>
      <x:c r="F573" s="50" t="s">
        <x:v>679</x:v>
      </x:c>
      <x:c r="G573" s="50" t="s">
        <x:v>696</x:v>
      </x:c>
      <x:c r="H573" s="50"/>
      <x:c r="I573" s="50"/>
      <x:c r="J573" s="50"/>
      <x:c r="K573" s="50"/>
    </x:row>
    <x:row r="574">
      <x:c r="A574" s="50" t="s">
        <x:v>584</x:v>
      </x:c>
      <x:c r="B574" s="50" t="s">
        <x:v>670</x:v>
      </x:c>
      <x:c r="C574" s="50" t="s">
        <x:v>633</x:v>
      </x:c>
      <x:c r="D574" s="50" t="s">
        <x:v>643</x:v>
      </x:c>
      <x:c r="E574" s="50" t="s">
        <x:v>661</x:v>
      </x:c>
      <x:c r="F574" s="50" t="s">
        <x:v>679</x:v>
      </x:c>
      <x:c r="G574" s="50" t="s">
        <x:v>696</x:v>
      </x:c>
      <x:c r="H574" s="50"/>
      <x:c r="I574" s="50"/>
      <x:c r="J574" s="50"/>
      <x:c r="K574" s="50"/>
    </x:row>
    <x:row r="575">
      <x:c r="A575" s="50" t="s">
        <x:v>587</x:v>
      </x:c>
      <x:c r="B575" s="50" t="s">
        <x:v>670</x:v>
      </x:c>
      <x:c r="C575" s="50" t="s">
        <x:v>633</x:v>
      </x:c>
      <x:c r="D575" s="50" t="s">
        <x:v>643</x:v>
      </x:c>
      <x:c r="E575" s="50" t="s">
        <x:v>661</x:v>
      </x:c>
      <x:c r="F575" s="50" t="s">
        <x:v>679</x:v>
      </x:c>
      <x:c r="G575" s="50" t="s">
        <x:v>696</x:v>
      </x:c>
      <x:c r="H575" s="50"/>
      <x:c r="I575" s="50"/>
      <x:c r="J575" s="50"/>
      <x:c r="K575" s="50"/>
    </x:row>
    <x:row r="576">
      <x:c r="A576" s="50" t="s">
        <x:v>590</x:v>
      </x:c>
      <x:c r="B576" s="50" t="s">
        <x:v>670</x:v>
      </x:c>
      <x:c r="C576" s="50" t="s">
        <x:v>633</x:v>
      </x:c>
      <x:c r="D576" s="50" t="s">
        <x:v>643</x:v>
      </x:c>
      <x:c r="E576" s="50" t="s">
        <x:v>661</x:v>
      </x:c>
      <x:c r="F576" s="50" t="s">
        <x:v>679</x:v>
      </x:c>
      <x:c r="G576" s="50" t="s">
        <x:v>696</x:v>
      </x:c>
      <x:c r="H576" s="50"/>
      <x:c r="I576" s="50"/>
      <x:c r="J576" s="50"/>
      <x:c r="K576" s="50"/>
    </x:row>
    <x:row r="577">
      <x:c r="A577" s="50" t="s">
        <x:v>593</x:v>
      </x:c>
      <x:c r="B577" s="50" t="s">
        <x:v>670</x:v>
      </x:c>
      <x:c r="C577" s="50" t="s">
        <x:v>633</x:v>
      </x:c>
      <x:c r="D577" s="50" t="s">
        <x:v>643</x:v>
      </x:c>
      <x:c r="E577" s="50" t="s">
        <x:v>661</x:v>
      </x:c>
      <x:c r="F577" s="50" t="s">
        <x:v>679</x:v>
      </x:c>
      <x:c r="G577" s="50" t="s">
        <x:v>696</x:v>
      </x:c>
      <x:c r="H577" s="50"/>
      <x:c r="I577" s="50"/>
      <x:c r="J577" s="50"/>
      <x:c r="K577" s="50"/>
    </x:row>
    <x:row r="578">
      <x:c r="A578" s="50" t="s">
        <x:v>596</x:v>
      </x:c>
      <x:c r="B578" s="50" t="s">
        <x:v>670</x:v>
      </x:c>
      <x:c r="C578" s="50" t="s">
        <x:v>643</x:v>
      </x:c>
      <x:c r="D578" s="50" t="s">
        <x:v>661</x:v>
      </x:c>
      <x:c r="E578" s="50" t="s">
        <x:v>679</x:v>
      </x:c>
      <x:c r="F578" s="50" t="s">
        <x:v>696</x:v>
      </x:c>
      <x:c r="G578" s="50"/>
      <x:c r="H578" s="50"/>
      <x:c r="I578" s="50"/>
      <x:c r="J578" s="50"/>
      <x:c r="K578" s="50"/>
    </x:row>
    <x:row r="579">
      <x:c r="A579" s="50" t="s">
        <x:v>599</x:v>
      </x:c>
      <x:c r="B579" s="50" t="s">
        <x:v>670</x:v>
      </x:c>
      <x:c r="C579" s="50" t="s">
        <x:v>643</x:v>
      </x:c>
      <x:c r="D579" s="50" t="s">
        <x:v>661</x:v>
      </x:c>
      <x:c r="E579" s="50" t="s">
        <x:v>679</x:v>
      </x:c>
      <x:c r="F579" s="50" t="s">
        <x:v>696</x:v>
      </x:c>
      <x:c r="G579" s="50"/>
      <x:c r="H579" s="50"/>
      <x:c r="I579" s="50"/>
      <x:c r="J579" s="50"/>
      <x:c r="K579" s="50"/>
    </x:row>
    <x:row r="580">
      <x:c r="A580" s="50" t="s">
        <x:v>602</x:v>
      </x:c>
      <x:c r="B580" s="50" t="s">
        <x:v>670</x:v>
      </x:c>
      <x:c r="C580" s="50" t="s">
        <x:v>643</x:v>
      </x:c>
      <x:c r="D580" s="50" t="s">
        <x:v>661</x:v>
      </x:c>
      <x:c r="E580" s="50" t="s">
        <x:v>679</x:v>
      </x:c>
      <x:c r="F580" s="50" t="s">
        <x:v>696</x:v>
      </x:c>
      <x:c r="G580" s="50"/>
      <x:c r="H580" s="50"/>
      <x:c r="I580" s="50"/>
      <x:c r="J580" s="50"/>
      <x:c r="K580" s="50"/>
    </x:row>
    <x:row r="581">
      <x:c r="A581" s="50" t="s">
        <x:v>605</x:v>
      </x:c>
      <x:c r="B581" s="50" t="s">
        <x:v>670</x:v>
      </x:c>
      <x:c r="C581" s="50" t="s">
        <x:v>643</x:v>
      </x:c>
      <x:c r="D581" s="50" t="s">
        <x:v>661</x:v>
      </x:c>
      <x:c r="E581" s="50" t="s">
        <x:v>679</x:v>
      </x:c>
      <x:c r="F581" s="50" t="s">
        <x:v>696</x:v>
      </x:c>
      <x:c r="G581" s="50"/>
      <x:c r="H581" s="50"/>
      <x:c r="I581" s="50"/>
      <x:c r="J581" s="50"/>
      <x:c r="K581" s="50"/>
    </x:row>
    <x:row r="582">
      <x:c r="A582" s="50" t="s">
        <x:v>608</x:v>
      </x:c>
      <x:c r="B582" s="50" t="s">
        <x:v>670</x:v>
      </x:c>
      <x:c r="C582" s="50" t="s">
        <x:v>643</x:v>
      </x:c>
      <x:c r="D582" s="50" t="s">
        <x:v>661</x:v>
      </x:c>
      <x:c r="E582" s="50" t="s">
        <x:v>679</x:v>
      </x:c>
      <x:c r="F582" s="50" t="s">
        <x:v>696</x:v>
      </x:c>
      <x:c r="G582" s="50"/>
      <x:c r="H582" s="50"/>
      <x:c r="I582" s="50"/>
      <x:c r="J582" s="50"/>
      <x:c r="K582" s="50"/>
    </x:row>
    <x:row r="583">
      <x:c r="A583" s="50" t="s">
        <x:v>611</x:v>
      </x:c>
      <x:c r="B583" s="50" t="s">
        <x:v>670</x:v>
      </x:c>
      <x:c r="C583" s="50" t="s">
        <x:v>643</x:v>
      </x:c>
      <x:c r="D583" s="50" t="s">
        <x:v>661</x:v>
      </x:c>
      <x:c r="E583" s="50" t="s">
        <x:v>679</x:v>
      </x:c>
      <x:c r="F583" s="50" t="s">
        <x:v>696</x:v>
      </x:c>
      <x:c r="G583" s="50"/>
      <x:c r="H583" s="50"/>
      <x:c r="I583" s="50"/>
      <x:c r="J583" s="50"/>
      <x:c r="K583" s="50"/>
    </x:row>
    <x:row r="584">
      <x:c r="A584" s="50" t="s">
        <x:v>614</x:v>
      </x:c>
      <x:c r="B584" s="50" t="s">
        <x:v>670</x:v>
      </x:c>
      <x:c r="C584" s="50" t="s">
        <x:v>643</x:v>
      </x:c>
      <x:c r="D584" s="50" t="s">
        <x:v>661</x:v>
      </x:c>
      <x:c r="E584" s="50" t="s">
        <x:v>679</x:v>
      </x:c>
      <x:c r="F584" s="50" t="s">
        <x:v>696</x:v>
      </x:c>
      <x:c r="G584" s="50"/>
      <x:c r="H584" s="50"/>
      <x:c r="I584" s="50"/>
      <x:c r="J584" s="50"/>
      <x:c r="K584" s="50"/>
    </x:row>
    <x:row r="585">
      <x:c r="A585" s="50" t="s">
        <x:v>617</x:v>
      </x:c>
      <x:c r="B585" s="50" t="s">
        <x:v>670</x:v>
      </x:c>
      <x:c r="C585" s="50" t="s">
        <x:v>643</x:v>
      </x:c>
      <x:c r="D585" s="50" t="s">
        <x:v>661</x:v>
      </x:c>
      <x:c r="E585" s="50" t="s">
        <x:v>679</x:v>
      </x:c>
      <x:c r="F585" s="50" t="s">
        <x:v>696</x:v>
      </x:c>
      <x:c r="G585" s="50"/>
      <x:c r="H585" s="50"/>
      <x:c r="I585" s="50"/>
      <x:c r="J585" s="50"/>
      <x:c r="K585" s="50"/>
    </x:row>
    <x:row r="586">
      <x:c r="A586" s="50" t="s">
        <x:v>620</x:v>
      </x:c>
      <x:c r="B586" s="50" t="s">
        <x:v>670</x:v>
      </x:c>
      <x:c r="C586" s="50" t="s">
        <x:v>643</x:v>
      </x:c>
      <x:c r="D586" s="50" t="s">
        <x:v>661</x:v>
      </x:c>
      <x:c r="E586" s="50" t="s">
        <x:v>679</x:v>
      </x:c>
      <x:c r="F586" s="50" t="s">
        <x:v>696</x:v>
      </x:c>
      <x:c r="G586" s="50"/>
      <x:c r="H586" s="50"/>
      <x:c r="I586" s="50"/>
      <x:c r="J586" s="50"/>
      <x:c r="K586" s="50"/>
    </x:row>
  </x:sheetData>
  <x:mergeCells>
    <x:mergeCell ref="A27:L27"/>
    <x:mergeCell ref="A46:L46"/>
    <x:mergeCell ref="A48:I48"/>
    <x:mergeCell ref="A25:D25"/>
    <x:mergeCell ref="A26:D26"/>
    <x:mergeCell ref="E25:H25"/>
    <x:mergeCell ref="E26:H26"/>
    <x:mergeCell ref="I25:L25"/>
    <x:mergeCell ref="I26:L26"/>
    <x:mergeCell ref="A23:D23"/>
    <x:mergeCell ref="A24:D24"/>
    <x:mergeCell ref="E23:H23"/>
    <x:mergeCell ref="E24:H24"/>
    <x:mergeCell ref="I23:L23"/>
    <x:mergeCell ref="I24:L24"/>
    <x:mergeCell ref="A19:L19"/>
    <x:mergeCell ref="A21:D21"/>
    <x:mergeCell ref="A22:D22"/>
    <x:mergeCell ref="E21:H21"/>
    <x:mergeCell ref="E22:H22"/>
    <x:mergeCell ref="I21:L21"/>
    <x:mergeCell ref="I22:L22"/>
    <x:mergeCell ref="A1:L1"/>
    <x:mergeCell ref="B2:D2"/>
    <x:mergeCell ref="F2:H2"/>
    <x:mergeCell ref="J2:L2"/>
    <x:mergeCell ref="A3:L3"/>
  </x:mergeCells>
  <x:conditionalFormatting sqref="A50:I59">
    <x:cfRule type="expression" dxfId="2" priority="1">
      <x:formula>MOD(ROW(),2)=0</x:formula>
    </x:cfRule>
  </x:conditionalFormatting>
  <x:dataValidations count="1">
    <x:dataValidation type="list" sqref="B2">
      <x:formula1>$AA$2:$AA$258</x:formula1>
    </x:dataValidation>
  </x:dataValidations>
  <x:pageMargins left="0.7" right="0.7" top="0.75" bottom="0.75" header="0.3" footer="0.3"/>
  <x:drawing xmlns:r="http://schemas.openxmlformats.org/officeDocument/2006/relationships" r:id="R298215393cda4ffa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5" customWidth="1"/>
    <x:col min="2" max="14" width="15" customWidth="1"/>
    <x:col min="24" max="198" width="2" customWidth="1"/>
  </x:cols>
  <x:sheetData>
    <x:row r="1" ht="30" customHeight="1">
      <x:c r="A1" s="136" t="s">
        <x:v>904</x:v>
      </x:c>
      <x:c r="B1" s="136"/>
      <x:c r="C1" s="136"/>
      <x:c r="D1" s="136"/>
      <x:c r="E1" s="136"/>
      <x:c r="F1" s="136"/>
      <x:c r="G1" s="136"/>
      <x:c r="H1" s="136"/>
      <x:c r="I1" s="136"/>
      <x:c r="J1" s="136"/>
      <x:c r="K1" s="136"/>
      <x:c r="L1" s="136"/>
      <x:c r="M1" s="136"/>
      <x:c r="N1" s="136"/>
      <x:c r="X1" s="78" t="s">
        <x:v>905</x:v>
      </x:c>
      <x:c r="Y1" s="78" t="s">
        <x:v>862</x:v>
      </x:c>
      <x:c r="Z1" s="78" t="s">
        <x:v>906</x:v>
      </x:c>
      <x:c r="AA1" s="78" t="s">
        <x:v>907</x:v>
      </x:c>
      <x:c r="AB1" s="78"/>
      <x:c r="AC1" s="78"/>
      <x:c r="AD1" s="78" t="s">
        <x:v>623</x:v>
      </x:c>
      <x:c r="AE1" s="78" t="s">
        <x:v>908</x:v>
      </x:c>
      <x:c r="AF1" s="78" t="s">
        <x:v>909</x:v>
      </x:c>
      <x:c r="AG1" s="78" t="s">
        <x:v>910</x:v>
      </x:c>
      <x:c r="AH1" s="78" t="s">
        <x:v>911</x:v>
      </x:c>
      <x:c r="AI1" s="78" t="s">
        <x:v>912</x:v>
      </x:c>
      <x:c r="AJ1" s="78" t="s">
        <x:v>913</x:v>
      </x:c>
      <x:c r="AK1" s="78" t="s">
        <x:v>914</x:v>
      </x:c>
      <x:c r="AL1" s="78" t="s">
        <x:v>915</x:v>
      </x:c>
      <x:c r="AM1" s="78" t="s">
        <x:v>916</x:v>
      </x:c>
      <x:c r="AN1" s="78" t="s">
        <x:v>917</x:v>
      </x:c>
      <x:c r="AO1" s="78" t="s">
        <x:v>918</x:v>
      </x:c>
      <x:c r="AP1" s="78" t="s">
        <x:v>919</x:v>
      </x:c>
      <x:c r="AQ1" s="78" t="s">
        <x:v>920</x:v>
      </x:c>
      <x:c r="AR1" s="78" t="s">
        <x:v>921</x:v>
      </x:c>
      <x:c r="AS1" s="78" t="s">
        <x:v>922</x:v>
      </x:c>
      <x:c r="AT1" s="78" t="s">
        <x:v>923</x:v>
      </x:c>
      <x:c r="AU1" s="78" t="s">
        <x:v>924</x:v>
      </x:c>
      <x:c r="AV1" s="78" t="s">
        <x:v>925</x:v>
      </x:c>
      <x:c r="AW1" s="78" t="s">
        <x:v>926</x:v>
      </x:c>
      <x:c r="AX1" s="78" t="s">
        <x:v>927</x:v>
      </x:c>
      <x:c r="AY1" s="78" t="s">
        <x:v>928</x:v>
      </x:c>
      <x:c r="AZ1" s="78" t="s">
        <x:v>929</x:v>
      </x:c>
      <x:c r="BA1" s="78" t="s">
        <x:v>930</x:v>
      </x:c>
      <x:c r="BB1" s="78" t="s">
        <x:v>931</x:v>
      </x:c>
      <x:c r="BC1" s="78" t="s">
        <x:v>932</x:v>
      </x:c>
      <x:c r="BD1" s="78" t="s">
        <x:v>933</x:v>
      </x:c>
      <x:c r="BE1" s="78" t="s">
        <x:v>934</x:v>
      </x:c>
      <x:c r="BF1" s="78" t="s">
        <x:v>935</x:v>
      </x:c>
      <x:c r="BG1" s="78" t="s">
        <x:v>936</x:v>
      </x:c>
      <x:c r="BH1" s="78" t="s">
        <x:v>937</x:v>
      </x:c>
      <x:c r="BI1" s="78" t="s">
        <x:v>938</x:v>
      </x:c>
      <x:c r="BJ1" s="78" t="s">
        <x:v>939</x:v>
      </x:c>
      <x:c r="BK1" s="78" t="s">
        <x:v>940</x:v>
      </x:c>
      <x:c r="BL1" s="78" t="s">
        <x:v>941</x:v>
      </x:c>
      <x:c r="BM1" s="78" t="s">
        <x:v>942</x:v>
      </x:c>
      <x:c r="BN1" s="78" t="s">
        <x:v>943</x:v>
      </x:c>
      <x:c r="BO1" s="78" t="s">
        <x:v>944</x:v>
      </x:c>
      <x:c r="BP1" s="78" t="s">
        <x:v>945</x:v>
      </x:c>
      <x:c r="BQ1" s="78" t="s">
        <x:v>946</x:v>
      </x:c>
      <x:c r="BR1" s="78" t="s">
        <x:v>947</x:v>
      </x:c>
      <x:c r="BS1" s="78" t="s">
        <x:v>948</x:v>
      </x:c>
      <x:c r="BT1" s="78" t="s">
        <x:v>949</x:v>
      </x:c>
      <x:c r="BU1" s="78" t="s">
        <x:v>950</x:v>
      </x:c>
      <x:c r="BV1" s="78" t="s">
        <x:v>951</x:v>
      </x:c>
      <x:c r="BW1" s="78" t="s">
        <x:v>952</x:v>
      </x:c>
      <x:c r="BX1" s="78" t="s">
        <x:v>953</x:v>
      </x:c>
      <x:c r="BY1" s="78" t="s">
        <x:v>954</x:v>
      </x:c>
      <x:c r="BZ1" s="78" t="s">
        <x:v>955</x:v>
      </x:c>
      <x:c r="CA1" s="78" t="s">
        <x:v>956</x:v>
      </x:c>
      <x:c r="CB1" s="78" t="s">
        <x:v>957</x:v>
      </x:c>
      <x:c r="CC1" s="78" t="s">
        <x:v>958</x:v>
      </x:c>
      <x:c r="CD1" s="78" t="s">
        <x:v>959</x:v>
      </x:c>
      <x:c r="CE1" s="78" t="s">
        <x:v>960</x:v>
      </x:c>
      <x:c r="CF1" s="78" t="s">
        <x:v>961</x:v>
      </x:c>
      <x:c r="CG1" s="78" t="s">
        <x:v>962</x:v>
      </x:c>
      <x:c r="CH1" s="78" t="s">
        <x:v>963</x:v>
      </x:c>
      <x:c r="CI1" s="78" t="s">
        <x:v>964</x:v>
      </x:c>
      <x:c r="CJ1" s="78" t="s">
        <x:v>965</x:v>
      </x:c>
      <x:c r="CK1" s="78" t="s">
        <x:v>966</x:v>
      </x:c>
      <x:c r="CL1" s="78" t="s">
        <x:v>967</x:v>
      </x:c>
      <x:c r="CM1" s="78" t="s">
        <x:v>968</x:v>
      </x:c>
      <x:c r="CN1" s="78" t="s">
        <x:v>969</x:v>
      </x:c>
      <x:c r="CO1" s="78" t="s">
        <x:v>970</x:v>
      </x:c>
      <x:c r="CP1" s="78" t="s">
        <x:v>971</x:v>
      </x:c>
      <x:c r="CQ1" s="78" t="s">
        <x:v>972</x:v>
      </x:c>
      <x:c r="CR1" s="78" t="s">
        <x:v>973</x:v>
      </x:c>
      <x:c r="CS1" s="78" t="s">
        <x:v>974</x:v>
      </x:c>
      <x:c r="CT1" s="78" t="s">
        <x:v>975</x:v>
      </x:c>
      <x:c r="CU1" s="78" t="s">
        <x:v>976</x:v>
      </x:c>
      <x:c r="CV1" s="78" t="s">
        <x:v>977</x:v>
      </x:c>
      <x:c r="CW1" s="78" t="s">
        <x:v>623</x:v>
      </x:c>
      <x:c r="CX1" s="78" t="s">
        <x:v>978</x:v>
      </x:c>
      <x:c r="CY1" s="78" t="s">
        <x:v>979</x:v>
      </x:c>
      <x:c r="CZ1" s="78" t="s">
        <x:v>980</x:v>
      </x:c>
      <x:c r="DA1" s="78" t="s">
        <x:v>981</x:v>
      </x:c>
      <x:c r="DB1" s="78" t="s">
        <x:v>982</x:v>
      </x:c>
      <x:c r="DC1" s="78" t="s">
        <x:v>983</x:v>
      </x:c>
      <x:c r="DD1" s="78" t="s">
        <x:v>984</x:v>
      </x:c>
      <x:c r="DE1" s="78" t="s">
        <x:v>985</x:v>
      </x:c>
      <x:c r="DF1" s="78" t="s">
        <x:v>986</x:v>
      </x:c>
      <x:c r="DG1" s="78" t="s">
        <x:v>987</x:v>
      </x:c>
      <x:c r="DH1" s="78" t="s">
        <x:v>988</x:v>
      </x:c>
      <x:c r="DI1" s="78" t="s">
        <x:v>989</x:v>
      </x:c>
      <x:c r="DJ1" s="78" t="s">
        <x:v>990</x:v>
      </x:c>
      <x:c r="DK1" s="78" t="s">
        <x:v>991</x:v>
      </x:c>
      <x:c r="DL1" s="78" t="s">
        <x:v>992</x:v>
      </x:c>
      <x:c r="DM1" s="78" t="s">
        <x:v>993</x:v>
      </x:c>
      <x:c r="DN1" s="78" t="s">
        <x:v>994</x:v>
      </x:c>
      <x:c r="DO1" s="78" t="s">
        <x:v>995</x:v>
      </x:c>
      <x:c r="DP1" s="78" t="s">
        <x:v>996</x:v>
      </x:c>
      <x:c r="DQ1" s="78" t="s">
        <x:v>997</x:v>
      </x:c>
      <x:c r="DR1" s="78" t="s">
        <x:v>998</x:v>
      </x:c>
      <x:c r="DS1" s="78" t="s">
        <x:v>999</x:v>
      </x:c>
      <x:c r="DT1" s="78" t="s">
        <x:v>1000</x:v>
      </x:c>
      <x:c r="DU1" s="78" t="s">
        <x:v>1001</x:v>
      </x:c>
      <x:c r="DV1" s="78" t="s">
        <x:v>1002</x:v>
      </x:c>
      <x:c r="DW1" s="78" t="s">
        <x:v>1003</x:v>
      </x:c>
      <x:c r="DX1" s="78" t="s">
        <x:v>1004</x:v>
      </x:c>
      <x:c r="DY1" s="78" t="s">
        <x:v>1005</x:v>
      </x:c>
      <x:c r="DZ1" s="78" t="s">
        <x:v>1006</x:v>
      </x:c>
      <x:c r="EA1" s="78" t="s">
        <x:v>1007</x:v>
      </x:c>
      <x:c r="EB1" s="78" t="s">
        <x:v>1008</x:v>
      </x:c>
      <x:c r="EC1" s="78" t="s">
        <x:v>1009</x:v>
      </x:c>
      <x:c r="ED1" s="78" t="s">
        <x:v>1010</x:v>
      </x:c>
      <x:c r="EE1" s="78" t="s">
        <x:v>1011</x:v>
      </x:c>
      <x:c r="EF1" s="78" t="s">
        <x:v>1012</x:v>
      </x:c>
      <x:c r="EG1" s="78" t="s">
        <x:v>1013</x:v>
      </x:c>
      <x:c r="EH1" s="78" t="s">
        <x:v>1014</x:v>
      </x:c>
      <x:c r="EI1" s="78" t="s">
        <x:v>1015</x:v>
      </x:c>
      <x:c r="EJ1" s="78" t="s">
        <x:v>1016</x:v>
      </x:c>
      <x:c r="EK1" s="78" t="s">
        <x:v>1017</x:v>
      </x:c>
      <x:c r="EL1" s="78" t="s">
        <x:v>1018</x:v>
      </x:c>
      <x:c r="EM1" s="78" t="s">
        <x:v>1019</x:v>
      </x:c>
      <x:c r="EN1" s="78" t="s">
        <x:v>1020</x:v>
      </x:c>
      <x:c r="EO1" s="78" t="s">
        <x:v>1021</x:v>
      </x:c>
      <x:c r="EP1" s="78" t="s">
        <x:v>1022</x:v>
      </x:c>
      <x:c r="EQ1" s="78" t="s">
        <x:v>1023</x:v>
      </x:c>
      <x:c r="ER1" s="78" t="s">
        <x:v>1024</x:v>
      </x:c>
      <x:c r="ES1" s="78" t="s">
        <x:v>1025</x:v>
      </x:c>
      <x:c r="ET1" s="78" t="s">
        <x:v>1026</x:v>
      </x:c>
      <x:c r="EU1" s="78" t="s">
        <x:v>1027</x:v>
      </x:c>
      <x:c r="EV1" s="78" t="s">
        <x:v>1028</x:v>
      </x:c>
      <x:c r="EW1" s="78" t="s">
        <x:v>1029</x:v>
      </x:c>
      <x:c r="EX1" s="78" t="s">
        <x:v>1030</x:v>
      </x:c>
      <x:c r="EY1" s="78" t="s">
        <x:v>1031</x:v>
      </x:c>
      <x:c r="EZ1" s="78" t="s">
        <x:v>1032</x:v>
      </x:c>
      <x:c r="FA1" s="78" t="s">
        <x:v>1033</x:v>
      </x:c>
      <x:c r="FB1" s="78" t="s">
        <x:v>1034</x:v>
      </x:c>
      <x:c r="FC1" s="78" t="s">
        <x:v>1035</x:v>
      </x:c>
      <x:c r="FD1" s="78" t="s">
        <x:v>1036</x:v>
      </x:c>
      <x:c r="FE1" s="78" t="s">
        <x:v>1037</x:v>
      </x:c>
      <x:c r="FF1" s="78" t="s">
        <x:v>1038</x:v>
      </x:c>
      <x:c r="FG1" s="78" t="s">
        <x:v>1039</x:v>
      </x:c>
      <x:c r="FH1" s="78" t="s">
        <x:v>1040</x:v>
      </x:c>
      <x:c r="FI1" s="78" t="s">
        <x:v>1041</x:v>
      </x:c>
      <x:c r="FJ1" s="78" t="s">
        <x:v>1042</x:v>
      </x:c>
      <x:c r="FK1" s="78" t="s">
        <x:v>1043</x:v>
      </x:c>
      <x:c r="FL1" s="78" t="s">
        <x:v>1044</x:v>
      </x:c>
      <x:c r="FM1" s="78" t="s">
        <x:v>1045</x:v>
      </x:c>
      <x:c r="FN1" s="78" t="s">
        <x:v>1046</x:v>
      </x:c>
      <x:c r="FO1" s="78" t="s">
        <x:v>1047</x:v>
      </x:c>
      <x:c r="FP1" s="78" t="s">
        <x:v>1048</x:v>
      </x:c>
      <x:c r="FQ1" s="78" t="s">
        <x:v>1049</x:v>
      </x:c>
      <x:c r="FR1" s="78" t="s">
        <x:v>1050</x:v>
      </x:c>
      <x:c r="FS1" s="78" t="s">
        <x:v>1051</x:v>
      </x:c>
      <x:c r="FT1" s="78" t="s">
        <x:v>1052</x:v>
      </x:c>
      <x:c r="FU1" s="78" t="s">
        <x:v>1053</x:v>
      </x:c>
      <x:c r="FV1" s="78" t="s">
        <x:v>1054</x:v>
      </x:c>
      <x:c r="FW1" s="78" t="s">
        <x:v>1055</x:v>
      </x:c>
      <x:c r="FX1" s="78" t="s">
        <x:v>1056</x:v>
      </x:c>
      <x:c r="FY1" s="78" t="s">
        <x:v>1057</x:v>
      </x:c>
      <x:c r="FZ1" s="78" t="s">
        <x:v>1058</x:v>
      </x:c>
      <x:c r="GA1" s="78" t="s">
        <x:v>1059</x:v>
      </x:c>
      <x:c r="GB1" s="78" t="s">
        <x:v>1060</x:v>
      </x:c>
      <x:c r="GC1" s="78" t="s">
        <x:v>1061</x:v>
      </x:c>
      <x:c r="GD1" s="78" t="s">
        <x:v>1062</x:v>
      </x:c>
      <x:c r="GE1" s="78" t="s">
        <x:v>1063</x:v>
      </x:c>
      <x:c r="GF1" s="78" t="s">
        <x:v>1064</x:v>
      </x:c>
      <x:c r="GG1" s="78" t="s">
        <x:v>1065</x:v>
      </x:c>
      <x:c r="GH1" s="78" t="s">
        <x:v>1066</x:v>
      </x:c>
      <x:c r="GI1" s="78" t="s">
        <x:v>1067</x:v>
      </x:c>
      <x:c r="GJ1" s="78" t="s">
        <x:v>1068</x:v>
      </x:c>
      <x:c r="GK1" s="78" t="s">
        <x:v>1069</x:v>
      </x:c>
      <x:c r="GL1" s="78" t="s">
        <x:v>1070</x:v>
      </x:c>
      <x:c r="GM1" s="78" t="s">
        <x:v>1071</x:v>
      </x:c>
      <x:c r="GN1" s="78" t="s">
        <x:v>623</x:v>
      </x:c>
      <x:c r="GO1" s="78" t="s">
        <x:v>1072</x:v>
      </x:c>
      <x:c r="GP1" s="78" t="s">
        <x:v>1073</x:v>
      </x:c>
      <x:c r="GQ1" t="s">
        <x:v>1074</x:v>
      </x:c>
      <x:c r="GR1" t="s">
        <x:v>1075</x:v>
      </x:c>
      <x:c r="GS1" t="s">
        <x:v>1076</x:v>
      </x:c>
      <x:c r="GT1" t="s">
        <x:v>1077</x:v>
      </x:c>
      <x:c r="GU1" t="s">
        <x:v>1078</x:v>
      </x:c>
      <x:c r="GV1" t="s">
        <x:v>1079</x:v>
      </x:c>
      <x:c r="GW1" t="s">
        <x:v>1080</x:v>
      </x:c>
      <x:c r="GX1" t="s">
        <x:v>1081</x:v>
      </x:c>
      <x:c r="GY1" t="s">
        <x:v>1082</x:v>
      </x:c>
      <x:c r="GZ1" t="s">
        <x:v>1083</x:v>
      </x:c>
      <x:c r="HA1" t="s">
        <x:v>1084</x:v>
      </x:c>
      <x:c r="HB1" t="s">
        <x:v>1085</x:v>
      </x:c>
      <x:c r="HC1" t="s">
        <x:v>1086</x:v>
      </x:c>
      <x:c r="HD1" t="s">
        <x:v>1087</x:v>
      </x:c>
      <x:c r="HE1" t="s">
        <x:v>1088</x:v>
      </x:c>
      <x:c r="HF1" t="s">
        <x:v>1089</x:v>
      </x:c>
      <x:c r="HG1" t="s">
        <x:v>1090</x:v>
      </x:c>
      <x:c r="HH1" t="s">
        <x:v>1091</x:v>
      </x:c>
      <x:c r="HI1" t="s">
        <x:v>1092</x:v>
      </x:c>
      <x:c r="HJ1" t="s">
        <x:v>1093</x:v>
      </x:c>
      <x:c r="HK1" t="s">
        <x:v>1094</x:v>
      </x:c>
      <x:c r="HL1" t="s">
        <x:v>1095</x:v>
      </x:c>
      <x:c r="HM1" t="s">
        <x:v>1096</x:v>
      </x:c>
      <x:c r="HN1" t="s">
        <x:v>1097</x:v>
      </x:c>
      <x:c r="HO1" t="s">
        <x:v>1098</x:v>
      </x:c>
      <x:c r="HP1" t="s">
        <x:v>1099</x:v>
      </x:c>
      <x:c r="HQ1" t="s">
        <x:v>1100</x:v>
      </x:c>
      <x:c r="HR1" t="s">
        <x:v>1101</x:v>
      </x:c>
      <x:c r="HS1" t="s">
        <x:v>1102</x:v>
      </x:c>
      <x:c r="HT1" t="s">
        <x:v>1103</x:v>
      </x:c>
      <x:c r="HU1" t="s">
        <x:v>1104</x:v>
      </x:c>
      <x:c r="HV1" t="s">
        <x:v>1105</x:v>
      </x:c>
      <x:c r="HW1" t="s">
        <x:v>1106</x:v>
      </x:c>
      <x:c r="HX1" t="s">
        <x:v>1107</x:v>
      </x:c>
      <x:c r="HY1" t="s">
        <x:v>1108</x:v>
      </x:c>
      <x:c r="HZ1" t="s">
        <x:v>1109</x:v>
      </x:c>
      <x:c r="IA1" t="s">
        <x:v>1110</x:v>
      </x:c>
      <x:c r="IB1" t="s">
        <x:v>1111</x:v>
      </x:c>
      <x:c r="IC1" t="s">
        <x:v>1112</x:v>
      </x:c>
      <x:c r="ID1" t="s">
        <x:v>1113</x:v>
      </x:c>
      <x:c r="IE1" t="s">
        <x:v>1114</x:v>
      </x:c>
      <x:c r="IF1" t="s">
        <x:v>1115</x:v>
      </x:c>
      <x:c r="IG1" t="s">
        <x:v>1116</x:v>
      </x:c>
    </x:row>
    <x:row r="2">
      <x:c r="A2" s="92" t="s">
        <x:v>882</x:v>
      </x:c>
      <x:c r="B2" s="150" t="s">
        <x:v>816</x:v>
      </x:c>
      <x:c r="C2" s="151"/>
      <x:c r="D2" s="152"/>
      <x:c r="E2" s="146" t="s">
        <x:v>1117</x:v>
      </x:c>
      <x:c r="F2" s="147" t="s">
        <x:v>1118</x:v>
      </x:c>
      <x:c r="G2" s="153" t="s">
        <x:v>1118</x:v>
      </x:c>
      <x:c r="H2" s="154"/>
      <x:c r="I2" s="155" t="s">
        <x:v>1119</x:v>
      </x:c>
      <x:c r="J2" s="147"/>
      <x:c r="K2" s="148" t="s">
        <x:v>1120</x:v>
      </x:c>
      <x:c r="L2" s="148"/>
      <x:c r="M2" s="148"/>
      <x:c r="N2" s="148"/>
      <x:c r="X2" t="str">
        <x:f>INDEX(Personas!$A$2:$A$30,MATCH($B$2,Personas!$B$2:$B$30,0))</x:f>
        <x:v>P017</x:v>
      </x:c>
      <x:c r="Y2" t="str">
        <x:f>INDEX('Decisiones'!$A$2:$A$258,MATCH($G$3,'Decisiones'!$B$2:$B$258,0))</x:f>
        <x:v>D20260625</x:v>
      </x:c>
      <x:c r="Z2" t="str">
        <x:f>Personas!B2</x:f>
        <x:v>Miguel Mancera Aguayo</x:v>
      </x:c>
      <x:c r="AA2" t="n">
        <x:f>Decisiones!B2</x:f>
        <x:v>36543</x:v>
      </x:c>
      <x:c r="AD2" t="s">
        <x:v>790</x:v>
      </x:c>
      <x:c r="CW2" t="s">
        <x:v>790</x:v>
      </x:c>
      <x:c r="FP2"/>
      <x:c r="FQ2"/>
      <x:c r="FR2"/>
      <x:c r="FS2"/>
      <x:c r="FT2"/>
      <x:c r="FU2"/>
      <x:c r="FV2"/>
      <x:c r="FW2"/>
      <x:c r="FX2"/>
      <x:c r="FY2"/>
      <x:c r="FZ2"/>
      <x:c r="GA2"/>
      <x:c r="GB2"/>
      <x:c r="GC2"/>
      <x:c r="GD2"/>
      <x:c r="GE2"/>
      <x:c r="GF2"/>
      <x:c r="GG2"/>
      <x:c r="GH2"/>
      <x:c r="GI2"/>
      <x:c r="GJ2"/>
      <x:c r="GK2"/>
      <x:c r="GL2"/>
      <x:c r="GM2"/>
      <x:c r="GN2" t="str">
        <x:v>P001</x:v>
      </x:c>
      <x:c r="GO2"/>
      <x:c r="GP2"/>
      <x:c r="GQ2"/>
      <x:c r="GR2"/>
      <x:c r="GS2"/>
      <x:c r="GT2"/>
      <x:c r="GU2"/>
      <x:c r="GV2"/>
      <x:c r="GW2"/>
      <x:c r="GX2"/>
      <x:c r="GY2"/>
      <x:c r="GZ2"/>
      <x:c r="HA2"/>
      <x:c r="HB2"/>
      <x:c r="HC2"/>
      <x:c r="HD2"/>
      <x:c r="HE2"/>
      <x:c r="HF2"/>
      <x:c r="HG2"/>
      <x:c r="HH2"/>
      <x:c r="HI2"/>
      <x:c r="HJ2"/>
      <x:c r="HK2"/>
      <x:c r="HL2"/>
      <x:c r="HM2"/>
      <x:c r="HN2"/>
      <x:c r="HO2"/>
      <x:c r="HP2"/>
      <x:c r="HQ2"/>
      <x:c r="HR2"/>
      <x:c r="HS2"/>
      <x:c r="HT2"/>
      <x:c r="HU2"/>
      <x:c r="HV2"/>
      <x:c r="HW2"/>
      <x:c r="HX2"/>
      <x:c r="HY2"/>
      <x:c r="HZ2"/>
      <x:c r="IA2"/>
      <x:c r="IB2"/>
      <x:c r="IC2"/>
      <x:c r="ID2"/>
      <x:c r="IE2"/>
      <x:c r="IF2"/>
      <x:c r="IG2"/>
      <x:c r="IH2" cm="1">
        <x:f t="array" ref="IH2"/>
      </x:c>
      <x:c r="II2"/>
      <x:c r="IJ2"/>
      <x:c r="IK2"/>
      <x:c r="IL2"/>
      <x:c r="IM2"/>
      <x:c r="IN2"/>
      <x:c r="IO2"/>
      <x:c r="IP2"/>
      <x:c r="IQ2"/>
      <x:c r="IR2"/>
      <x:c r="IS2"/>
      <x:c r="IT2"/>
      <x:c r="IU2"/>
      <x:c r="IV2"/>
      <x:c r="IW2"/>
      <x:c r="IX2"/>
      <x:c r="IY2"/>
      <x:c r="IZ2"/>
      <x:c r="JA2"/>
    </x:row>
    <x:row r="3">
      <x:c r="A3" s="93"/>
      <x:c r="B3" s="93"/>
      <x:c r="C3" s="93"/>
      <x:c r="D3" s="93"/>
      <x:c r="E3" s="156" t="str">
        <x:f>IFERROR(IF(INDEX($FP$2:$IG$30,MATCH($X$2,$CW$2:$CW$30,0),COUNTIFS(Votaciones!$B$2:$B$341,$X$2,Votaciones!$A$2:$A$341,"&lt;"&amp;$Y$2,Votaciones!$E$2:$E$341,"Público")+1-1)=0,"— inicio —",TEXT(INDEX($FP$2:$IG$30,MATCH($X$2,$CW$2:$CW$30,0),COUNTIFS(Votaciones!$B$2:$B$341,$X$2,Votaciones!$A$2:$A$341,"&lt;"&amp;$Y$2,Votaciones!$E$2:$E$341,"Público")+1-1),"dd-mmm-yyyy")),"— inicio —")</x:f>
        <x:v>07-May-2026</x:v>
      </x:c>
      <x:c r="F3" s="157"/>
      <x:c r="G3" s="158">
        <x:v>46198</x:v>
      </x:c>
      <x:c r="H3" s="159"/>
      <x:c r="I3" s="156" t="str">
        <x:f>IFERROR(IF(INDEX($FP$2:$IG$30,MATCH($X$2,$CW$2:$CW$30,0),COUNTIFS(Votaciones!$B$2:$B$341,$X$2,Votaciones!$A$2:$A$341,"&lt;"&amp;$Y$2,Votaciones!$E$2:$E$341,"Público")+1+1)=0,"— final —",TEXT(INDEX($FP$2:$IG$30,MATCH($X$2,$CW$2:$CW$30,0),COUNTIFS(Votaciones!$B$2:$B$341,$X$2,Votaciones!$A$2:$A$341,"&lt;"&amp;$Y$2,Votaciones!$E$2:$E$341,"Público")+1+1),"dd-mmm-yyyy")),"— final —")</x:f>
        <x:v>06-Aug-2026</x:v>
      </x:c>
      <x:c r="J3" s="157"/>
      <x:c r="K3" s="160" t="s">
        <x:v>1121</x:v>
      </x:c>
      <x:c r="L3" s="160"/>
      <x:c r="M3" s="160"/>
      <x:c r="N3" s="160"/>
      <x:c r="Y3" t="n">
        <x:f>$G$3</x:f>
        <x:v>46198</x:v>
      </x:c>
      <x:c r="Z3" t="str">
        <x:f>Personas!B3</x:f>
        <x:v>Ariel Buira Seira</x:v>
      </x:c>
      <x:c r="AA3" t="n">
        <x:f>Decisiones!B3</x:f>
        <x:v>36662</x:v>
      </x:c>
      <x:c r="AD3" t="s">
        <x:v>792</x:v>
      </x:c>
      <x:c r="CW3" t="s">
        <x:v>792</x:v>
      </x:c>
      <x:c r="FP3"/>
      <x:c r="FQ3"/>
      <x:c r="FR3"/>
      <x:c r="FS3"/>
      <x:c r="FT3"/>
      <x:c r="FU3"/>
      <x:c r="FV3"/>
      <x:c r="FW3"/>
      <x:c r="FX3"/>
      <x:c r="FY3"/>
      <x:c r="FZ3"/>
      <x:c r="GA3"/>
      <x:c r="GB3"/>
      <x:c r="GC3"/>
      <x:c r="GD3"/>
      <x:c r="GE3"/>
      <x:c r="GF3"/>
      <x:c r="GG3"/>
      <x:c r="GH3"/>
      <x:c r="GI3"/>
      <x:c r="GJ3"/>
      <x:c r="GK3"/>
      <x:c r="GL3"/>
      <x:c r="GM3"/>
      <x:c r="GN3" t="str">
        <x:v>P002</x:v>
      </x:c>
      <x:c r="GO3"/>
      <x:c r="GP3"/>
      <x:c r="GQ3"/>
      <x:c r="GR3"/>
      <x:c r="GS3"/>
      <x:c r="GT3"/>
      <x:c r="GU3"/>
      <x:c r="GV3"/>
      <x:c r="GW3"/>
      <x:c r="GX3"/>
      <x:c r="GY3"/>
      <x:c r="GZ3"/>
      <x:c r="HA3"/>
      <x:c r="HB3"/>
      <x:c r="HC3"/>
      <x:c r="HD3"/>
      <x:c r="HE3"/>
      <x:c r="HF3"/>
      <x:c r="HG3"/>
      <x:c r="HH3"/>
      <x:c r="HI3"/>
      <x:c r="HJ3"/>
      <x:c r="HK3"/>
      <x:c r="HL3"/>
      <x:c r="HM3"/>
      <x:c r="HN3"/>
      <x:c r="HO3"/>
      <x:c r="HP3"/>
      <x:c r="HQ3"/>
      <x:c r="HR3"/>
      <x:c r="HS3"/>
      <x:c r="HT3"/>
      <x:c r="HU3"/>
      <x:c r="HV3"/>
      <x:c r="HW3"/>
      <x:c r="HX3"/>
      <x:c r="HY3"/>
      <x:c r="HZ3"/>
      <x:c r="IA3"/>
      <x:c r="IB3"/>
      <x:c r="IC3"/>
      <x:c r="ID3"/>
      <x:c r="IE3"/>
      <x:c r="IF3"/>
      <x:c r="IG3"/>
      <x:c r="IH3"/>
      <x:c r="II3"/>
      <x:c r="IJ3"/>
      <x:c r="IK3"/>
      <x:c r="IL3"/>
      <x:c r="IM3"/>
      <x:c r="IN3"/>
      <x:c r="IO3"/>
      <x:c r="IP3"/>
      <x:c r="IQ3"/>
      <x:c r="IR3"/>
      <x:c r="IS3"/>
      <x:c r="IT3"/>
      <x:c r="IU3"/>
      <x:c r="IV3"/>
      <x:c r="IW3"/>
      <x:c r="IX3"/>
      <x:c r="IY3"/>
      <x:c r="IZ3"/>
      <x:c r="JA3"/>
    </x:row>
    <x:row r="4">
      <x:c r="A4" s="149" t="s">
        <x:v>1122</x:v>
      </x:c>
      <x:c r="B4" s="149"/>
      <x:c r="C4" s="149"/>
      <x:c r="D4" s="149"/>
      <x:c r="E4" s="149"/>
      <x:c r="F4" s="149"/>
      <x:c r="G4" s="149"/>
      <x:c r="H4" s="149"/>
      <x:c r="I4" s="149"/>
      <x:c r="J4" s="149"/>
      <x:c r="K4" s="149"/>
      <x:c r="L4" s="149"/>
      <x:c r="M4" s="149"/>
      <x:c r="N4" s="149"/>
      <x:c r="Z4" t="str">
        <x:f>Personas!B4</x:f>
        <x:v>Francisco Gil Díaz</x:v>
      </x:c>
      <x:c r="AA4" t="n">
        <x:f>Decisiones!B4</x:f>
        <x:v>36703</x:v>
      </x:c>
      <x:c r="AD4" t="s">
        <x:v>794</x:v>
      </x:c>
      <x:c r="CW4" t="s">
        <x:v>794</x:v>
      </x:c>
      <x:c r="FP4"/>
      <x:c r="FQ4"/>
      <x:c r="FR4"/>
      <x:c r="FS4"/>
      <x:c r="FT4"/>
      <x:c r="FU4"/>
      <x:c r="FV4"/>
      <x:c r="FW4"/>
      <x:c r="FX4"/>
      <x:c r="FY4"/>
      <x:c r="FZ4"/>
      <x:c r="GA4"/>
      <x:c r="GB4"/>
      <x:c r="GC4"/>
      <x:c r="GD4"/>
      <x:c r="GE4"/>
      <x:c r="GF4"/>
      <x:c r="GG4"/>
      <x:c r="GH4"/>
      <x:c r="GI4"/>
      <x:c r="GJ4"/>
      <x:c r="GK4"/>
      <x:c r="GL4"/>
      <x:c r="GM4"/>
      <x:c r="GN4" t="str">
        <x:v>P003</x:v>
      </x:c>
      <x:c r="GO4"/>
      <x:c r="GP4"/>
      <x:c r="GQ4"/>
      <x:c r="GR4"/>
      <x:c r="GS4"/>
      <x:c r="GT4"/>
      <x:c r="GU4"/>
      <x:c r="GV4"/>
      <x:c r="GW4"/>
      <x:c r="GX4"/>
      <x:c r="GY4"/>
      <x:c r="GZ4"/>
      <x:c r="HA4"/>
      <x:c r="HB4"/>
      <x:c r="HC4"/>
      <x:c r="HD4"/>
      <x:c r="HE4"/>
      <x:c r="HF4"/>
      <x:c r="HG4"/>
      <x:c r="HH4"/>
      <x:c r="HI4"/>
      <x:c r="HJ4"/>
      <x:c r="HK4"/>
      <x:c r="HL4"/>
      <x:c r="HM4"/>
      <x:c r="HN4"/>
      <x:c r="HO4"/>
      <x:c r="HP4"/>
      <x:c r="HQ4"/>
      <x:c r="HR4"/>
      <x:c r="HS4"/>
      <x:c r="HT4"/>
      <x:c r="HU4"/>
      <x:c r="HV4"/>
      <x:c r="HW4"/>
      <x:c r="HX4"/>
      <x:c r="HY4"/>
      <x:c r="HZ4"/>
      <x:c r="IA4"/>
      <x:c r="IB4"/>
      <x:c r="IC4"/>
      <x:c r="ID4"/>
      <x:c r="IE4"/>
      <x:c r="IF4"/>
      <x:c r="IG4"/>
      <x:c r="IH4"/>
      <x:c r="II4"/>
      <x:c r="IJ4"/>
      <x:c r="IK4"/>
      <x:c r="IL4"/>
      <x:c r="IM4"/>
      <x:c r="IN4"/>
      <x:c r="IO4"/>
      <x:c r="IP4"/>
      <x:c r="IQ4"/>
      <x:c r="IR4"/>
      <x:c r="IS4"/>
      <x:c r="IT4"/>
      <x:c r="IU4"/>
      <x:c r="IV4"/>
      <x:c r="IW4"/>
      <x:c r="IX4"/>
      <x:c r="IY4"/>
      <x:c r="IZ4"/>
      <x:c r="JA4"/>
    </x:row>
    <x:row r="5">
      <x:c r="Z5" t="str">
        <x:f>Personas!B5</x:f>
        <x:v>Guillermo Güémez García</x:v>
      </x:c>
      <x:c r="AA5" t="n">
        <x:f>Decisiones!B5</x:f>
        <x:v>36738</x:v>
      </x:c>
      <x:c r="AD5" t="s">
        <x:v>796</x:v>
      </x:c>
      <x:c r="CW5" t="s">
        <x:v>796</x:v>
      </x:c>
      <x:c r="FP5"/>
      <x:c r="FQ5"/>
      <x:c r="FR5"/>
      <x:c r="FS5"/>
      <x:c r="FT5"/>
      <x:c r="FU5"/>
      <x:c r="FV5"/>
      <x:c r="FW5"/>
      <x:c r="FX5"/>
      <x:c r="FY5"/>
      <x:c r="FZ5"/>
      <x:c r="GA5"/>
      <x:c r="GB5"/>
      <x:c r="GC5"/>
      <x:c r="GD5"/>
      <x:c r="GE5"/>
      <x:c r="GF5"/>
      <x:c r="GG5"/>
      <x:c r="GH5"/>
      <x:c r="GI5"/>
      <x:c r="GJ5"/>
      <x:c r="GK5"/>
      <x:c r="GL5"/>
      <x:c r="GM5"/>
      <x:c r="GN5" t="str">
        <x:v>P004</x:v>
      </x:c>
      <x:c r="GO5"/>
      <x:c r="GP5"/>
      <x:c r="GQ5"/>
      <x:c r="GR5"/>
      <x:c r="GS5"/>
      <x:c r="GT5"/>
      <x:c r="GU5"/>
      <x:c r="GV5"/>
      <x:c r="GW5"/>
      <x:c r="GX5"/>
      <x:c r="GY5"/>
      <x:c r="GZ5"/>
      <x:c r="HA5"/>
      <x:c r="HB5"/>
      <x:c r="HC5"/>
      <x:c r="HD5"/>
      <x:c r="HE5"/>
      <x:c r="HF5"/>
      <x:c r="HG5"/>
      <x:c r="HH5"/>
      <x:c r="HI5"/>
      <x:c r="HJ5"/>
      <x:c r="HK5"/>
      <x:c r="HL5"/>
      <x:c r="HM5"/>
      <x:c r="HN5"/>
      <x:c r="HO5"/>
      <x:c r="HP5"/>
      <x:c r="HQ5"/>
      <x:c r="HR5"/>
      <x:c r="HS5"/>
      <x:c r="HT5"/>
      <x:c r="HU5"/>
      <x:c r="HV5"/>
      <x:c r="HW5"/>
      <x:c r="HX5"/>
      <x:c r="HY5"/>
      <x:c r="HZ5"/>
      <x:c r="IA5"/>
      <x:c r="IB5"/>
      <x:c r="IC5"/>
      <x:c r="ID5"/>
      <x:c r="IE5"/>
      <x:c r="IF5"/>
      <x:c r="IG5"/>
      <x:c r="IH5"/>
      <x:c r="II5"/>
      <x:c r="IJ5"/>
      <x:c r="IK5"/>
      <x:c r="IL5"/>
      <x:c r="IM5"/>
      <x:c r="IN5"/>
      <x:c r="IO5"/>
      <x:c r="IP5"/>
      <x:c r="IQ5"/>
      <x:c r="IR5"/>
      <x:c r="IS5"/>
      <x:c r="IT5"/>
      <x:c r="IU5"/>
      <x:c r="IV5"/>
      <x:c r="IW5"/>
      <x:c r="IX5"/>
      <x:c r="IY5"/>
      <x:c r="IZ5"/>
      <x:c r="JA5"/>
    </x:row>
    <x:row r="6">
      <x:c r="Z6" t="str">
        <x:f>Personas!B6</x:f>
        <x:v>Jesús Marcos Yacamán</x:v>
      </x:c>
      <x:c r="AA6" t="n">
        <x:f>Decisiones!B6</x:f>
        <x:v>36816</x:v>
      </x:c>
      <x:c r="AD6" t="s">
        <x:v>798</x:v>
      </x:c>
      <x:c r="CW6" t="s">
        <x:v>798</x:v>
      </x:c>
      <x:c r="FP6"/>
      <x:c r="FQ6"/>
      <x:c r="FR6"/>
      <x:c r="FS6"/>
      <x:c r="FT6"/>
      <x:c r="FU6"/>
      <x:c r="FV6"/>
      <x:c r="FW6"/>
      <x:c r="FX6"/>
      <x:c r="FY6"/>
      <x:c r="FZ6"/>
      <x:c r="GA6"/>
      <x:c r="GB6"/>
      <x:c r="GC6"/>
      <x:c r="GD6"/>
      <x:c r="GE6"/>
      <x:c r="GF6"/>
      <x:c r="GG6"/>
      <x:c r="GH6"/>
      <x:c r="GI6"/>
      <x:c r="GJ6"/>
      <x:c r="GK6"/>
      <x:c r="GL6"/>
      <x:c r="GM6"/>
      <x:c r="GN6" t="str">
        <x:v>P005</x:v>
      </x:c>
      <x:c r="GO6"/>
      <x:c r="GP6"/>
      <x:c r="GQ6"/>
      <x:c r="GR6"/>
      <x:c r="GS6"/>
      <x:c r="GT6"/>
      <x:c r="GU6"/>
      <x:c r="GV6"/>
      <x:c r="GW6"/>
      <x:c r="GX6"/>
      <x:c r="GY6"/>
      <x:c r="GZ6"/>
      <x:c r="HA6"/>
      <x:c r="HB6"/>
      <x:c r="HC6"/>
      <x:c r="HD6"/>
      <x:c r="HE6"/>
      <x:c r="HF6"/>
      <x:c r="HG6"/>
      <x:c r="HH6"/>
      <x:c r="HI6"/>
      <x:c r="HJ6"/>
      <x:c r="HK6"/>
      <x:c r="HL6"/>
      <x:c r="HM6"/>
      <x:c r="HN6"/>
      <x:c r="HO6"/>
      <x:c r="HP6"/>
      <x:c r="HQ6"/>
      <x:c r="HR6"/>
      <x:c r="HS6"/>
      <x:c r="HT6"/>
      <x:c r="HU6"/>
      <x:c r="HV6"/>
      <x:c r="HW6"/>
      <x:c r="HX6"/>
      <x:c r="HY6"/>
      <x:c r="HZ6"/>
      <x:c r="IA6"/>
      <x:c r="IB6"/>
      <x:c r="IC6"/>
      <x:c r="ID6"/>
      <x:c r="IE6"/>
      <x:c r="IF6"/>
      <x:c r="IG6"/>
      <x:c r="IH6"/>
      <x:c r="II6"/>
      <x:c r="IJ6"/>
      <x:c r="IK6"/>
      <x:c r="IL6"/>
      <x:c r="IM6"/>
      <x:c r="IN6"/>
      <x:c r="IO6"/>
      <x:c r="IP6"/>
      <x:c r="IQ6"/>
      <x:c r="IR6"/>
      <x:c r="IS6"/>
      <x:c r="IT6"/>
      <x:c r="IU6"/>
      <x:c r="IV6"/>
      <x:c r="IW6"/>
      <x:c r="IX6"/>
      <x:c r="IY6"/>
      <x:c r="IZ6"/>
      <x:c r="JA6"/>
    </x:row>
    <x:row r="7">
      <x:c r="Z7" t="str">
        <x:f>Personas!B7</x:f>
        <x:v>José Julián Sidaoui Dib</x:v>
      </x:c>
      <x:c r="AA7" t="n">
        <x:f>Decisiones!B7</x:f>
        <x:v>36840</x:v>
      </x:c>
      <x:c r="AD7" t="s">
        <x:v>800</x:v>
      </x:c>
      <x:c r="CW7" t="s">
        <x:v>800</x:v>
      </x:c>
      <x:c r="FP7"/>
      <x:c r="FQ7"/>
      <x:c r="FR7"/>
      <x:c r="FS7"/>
      <x:c r="FT7"/>
      <x:c r="FU7"/>
      <x:c r="FV7"/>
      <x:c r="FW7"/>
      <x:c r="FX7"/>
      <x:c r="FY7"/>
      <x:c r="FZ7"/>
      <x:c r="GA7"/>
      <x:c r="GB7"/>
      <x:c r="GC7"/>
      <x:c r="GD7"/>
      <x:c r="GE7"/>
      <x:c r="GF7"/>
      <x:c r="GG7"/>
      <x:c r="GH7"/>
      <x:c r="GI7"/>
      <x:c r="GJ7"/>
      <x:c r="GK7"/>
      <x:c r="GL7"/>
      <x:c r="GM7"/>
      <x:c r="GN7" t="str">
        <x:v>P006</x:v>
      </x:c>
      <x:c r="GO7"/>
      <x:c r="GP7"/>
      <x:c r="GQ7"/>
      <x:c r="GR7"/>
      <x:c r="GS7"/>
      <x:c r="GT7"/>
      <x:c r="GU7"/>
      <x:c r="GV7"/>
      <x:c r="GW7"/>
      <x:c r="GX7"/>
      <x:c r="GY7"/>
      <x:c r="GZ7"/>
      <x:c r="HA7"/>
      <x:c r="HB7"/>
      <x:c r="HC7"/>
      <x:c r="HD7"/>
      <x:c r="HE7"/>
      <x:c r="HF7"/>
      <x:c r="HG7"/>
      <x:c r="HH7"/>
      <x:c r="HI7"/>
      <x:c r="HJ7"/>
      <x:c r="HK7"/>
      <x:c r="HL7"/>
      <x:c r="HM7"/>
      <x:c r="HN7"/>
      <x:c r="HO7"/>
      <x:c r="HP7"/>
      <x:c r="HQ7"/>
      <x:c r="HR7"/>
      <x:c r="HS7"/>
      <x:c r="HT7"/>
      <x:c r="HU7"/>
      <x:c r="HV7"/>
      <x:c r="HW7"/>
      <x:c r="HX7"/>
      <x:c r="HY7"/>
      <x:c r="HZ7"/>
      <x:c r="IA7"/>
      <x:c r="IB7"/>
      <x:c r="IC7"/>
      <x:c r="ID7"/>
      <x:c r="IE7"/>
      <x:c r="IF7"/>
      <x:c r="IG7"/>
      <x:c r="IH7"/>
      <x:c r="II7"/>
      <x:c r="IJ7"/>
      <x:c r="IK7"/>
      <x:c r="IL7"/>
      <x:c r="IM7"/>
      <x:c r="IN7"/>
      <x:c r="IO7"/>
      <x:c r="IP7"/>
      <x:c r="IQ7"/>
      <x:c r="IR7"/>
      <x:c r="IS7"/>
      <x:c r="IT7"/>
      <x:c r="IU7"/>
      <x:c r="IV7"/>
      <x:c r="IW7"/>
      <x:c r="IX7"/>
      <x:c r="IY7"/>
      <x:c r="IZ7"/>
      <x:c r="JA7"/>
    </x:row>
    <x:row r="8">
      <x:c r="Z8" t="str">
        <x:f>Personas!B8</x:f>
        <x:v>Everardo Elizondo Almaguer</x:v>
      </x:c>
      <x:c r="AA8" t="n">
        <x:f>Decisiones!B8</x:f>
        <x:v>36903</x:v>
      </x:c>
      <x:c r="AD8" t="s">
        <x:v>802</x:v>
      </x:c>
      <x:c r="CW8" t="s">
        <x:v>802</x:v>
      </x:c>
      <x:c r="FP8"/>
      <x:c r="FQ8"/>
      <x:c r="FR8"/>
      <x:c r="FS8"/>
      <x:c r="FT8"/>
      <x:c r="FU8"/>
      <x:c r="FV8"/>
      <x:c r="FW8"/>
      <x:c r="FX8"/>
      <x:c r="FY8"/>
      <x:c r="FZ8"/>
      <x:c r="GA8"/>
      <x:c r="GB8"/>
      <x:c r="GC8"/>
      <x:c r="GD8"/>
      <x:c r="GE8"/>
      <x:c r="GF8"/>
      <x:c r="GG8"/>
      <x:c r="GH8"/>
      <x:c r="GI8"/>
      <x:c r="GJ8"/>
      <x:c r="GK8"/>
      <x:c r="GL8"/>
      <x:c r="GM8"/>
      <x:c r="GN8" t="str">
        <x:v>P007</x:v>
      </x:c>
      <x:c r="GO8"/>
      <x:c r="GP8"/>
      <x:c r="GQ8"/>
      <x:c r="GR8"/>
      <x:c r="GS8"/>
      <x:c r="GT8"/>
      <x:c r="GU8"/>
      <x:c r="GV8"/>
      <x:c r="GW8"/>
      <x:c r="GX8"/>
      <x:c r="GY8"/>
      <x:c r="GZ8"/>
      <x:c r="HA8"/>
      <x:c r="HB8"/>
      <x:c r="HC8"/>
      <x:c r="HD8"/>
      <x:c r="HE8"/>
      <x:c r="HF8"/>
      <x:c r="HG8"/>
      <x:c r="HH8"/>
      <x:c r="HI8"/>
      <x:c r="HJ8"/>
      <x:c r="HK8"/>
      <x:c r="HL8"/>
      <x:c r="HM8"/>
      <x:c r="HN8"/>
      <x:c r="HO8"/>
      <x:c r="HP8"/>
      <x:c r="HQ8"/>
      <x:c r="HR8"/>
      <x:c r="HS8"/>
      <x:c r="HT8"/>
      <x:c r="HU8"/>
      <x:c r="HV8"/>
      <x:c r="HW8"/>
      <x:c r="HX8"/>
      <x:c r="HY8"/>
      <x:c r="HZ8"/>
      <x:c r="IA8"/>
      <x:c r="IB8"/>
      <x:c r="IC8"/>
      <x:c r="ID8"/>
      <x:c r="IE8"/>
      <x:c r="IF8"/>
      <x:c r="IG8"/>
      <x:c r="IH8"/>
      <x:c r="II8"/>
      <x:c r="IJ8"/>
      <x:c r="IK8"/>
      <x:c r="IL8"/>
      <x:c r="IM8"/>
      <x:c r="IN8"/>
      <x:c r="IO8"/>
      <x:c r="IP8"/>
      <x:c r="IQ8"/>
      <x:c r="IR8"/>
      <x:c r="IS8"/>
      <x:c r="IT8"/>
      <x:c r="IU8"/>
      <x:c r="IV8"/>
      <x:c r="IW8"/>
      <x:c r="IX8"/>
      <x:c r="IY8"/>
      <x:c r="IZ8"/>
      <x:c r="JA8"/>
    </x:row>
    <x:row r="9">
      <x:c r="Z9" t="str">
        <x:f>Personas!B9</x:f>
        <x:v>Guillermo Ortiz Martínez</x:v>
      </x:c>
      <x:c r="AA9" t="n">
        <x:f>Decisiones!B9</x:f>
        <x:v>37029</x:v>
      </x:c>
      <x:c r="AD9" t="s">
        <x:v>804</x:v>
      </x:c>
      <x:c r="CW9" t="s">
        <x:v>804</x:v>
      </x:c>
      <x:c r="FP9"/>
      <x:c r="FQ9"/>
      <x:c r="FR9"/>
      <x:c r="FS9"/>
      <x:c r="FT9"/>
      <x:c r="FU9"/>
      <x:c r="FV9"/>
      <x:c r="FW9"/>
      <x:c r="FX9"/>
      <x:c r="FY9"/>
      <x:c r="FZ9"/>
      <x:c r="GA9"/>
      <x:c r="GB9"/>
      <x:c r="GC9"/>
      <x:c r="GD9"/>
      <x:c r="GE9"/>
      <x:c r="GF9"/>
      <x:c r="GG9"/>
      <x:c r="GH9"/>
      <x:c r="GI9"/>
      <x:c r="GJ9"/>
      <x:c r="GK9"/>
      <x:c r="GL9"/>
      <x:c r="GM9"/>
      <x:c r="GN9" t="str">
        <x:v>P008</x:v>
      </x:c>
      <x:c r="GO9"/>
      <x:c r="GP9"/>
      <x:c r="GQ9"/>
      <x:c r="GR9"/>
      <x:c r="GS9"/>
      <x:c r="GT9"/>
      <x:c r="GU9"/>
      <x:c r="GV9"/>
      <x:c r="GW9"/>
      <x:c r="GX9"/>
      <x:c r="GY9"/>
      <x:c r="GZ9"/>
      <x:c r="HA9"/>
      <x:c r="HB9"/>
      <x:c r="HC9"/>
      <x:c r="HD9"/>
      <x:c r="HE9"/>
      <x:c r="HF9"/>
      <x:c r="HG9"/>
      <x:c r="HH9"/>
      <x:c r="HI9"/>
      <x:c r="HJ9"/>
      <x:c r="HK9"/>
      <x:c r="HL9"/>
      <x:c r="HM9"/>
      <x:c r="HN9"/>
      <x:c r="HO9"/>
      <x:c r="HP9"/>
      <x:c r="HQ9"/>
      <x:c r="HR9"/>
      <x:c r="HS9"/>
      <x:c r="HT9"/>
      <x:c r="HU9"/>
      <x:c r="HV9"/>
      <x:c r="HW9"/>
      <x:c r="HX9"/>
      <x:c r="HY9"/>
      <x:c r="HZ9"/>
      <x:c r="IA9"/>
      <x:c r="IB9"/>
      <x:c r="IC9"/>
      <x:c r="ID9"/>
      <x:c r="IE9"/>
      <x:c r="IF9"/>
      <x:c r="IG9"/>
      <x:c r="IH9"/>
      <x:c r="II9"/>
      <x:c r="IJ9"/>
      <x:c r="IK9"/>
      <x:c r="IL9"/>
      <x:c r="IM9"/>
      <x:c r="IN9"/>
      <x:c r="IO9"/>
      <x:c r="IP9"/>
      <x:c r="IQ9"/>
      <x:c r="IR9"/>
      <x:c r="IS9"/>
      <x:c r="IT9"/>
      <x:c r="IU9"/>
      <x:c r="IV9"/>
      <x:c r="IW9"/>
      <x:c r="IX9"/>
      <x:c r="IY9"/>
      <x:c r="IZ9"/>
      <x:c r="JA9"/>
    </x:row>
    <x:row r="10">
      <x:c r="Z10" t="str">
        <x:f>Personas!B10</x:f>
        <x:v>Roberto del Cueto Legaspi</x:v>
      </x:c>
      <x:c r="AA10" t="n">
        <x:f>Decisiones!B10</x:f>
        <x:v>37103</x:v>
      </x:c>
      <x:c r="AD10" t="s">
        <x:v>626</x:v>
      </x:c>
      <x:c r="CW10" t="s">
        <x:v>626</x:v>
      </x:c>
      <x:c r="CX10" t="s">
        <x:v>422</x:v>
      </x:c>
      <x:c r="CY10" t="s">
        <x:v>425</x:v>
      </x:c>
      <x:c r="CZ10" t="s">
        <x:v>428</x:v>
      </x:c>
      <x:c r="DA10" t="s">
        <x:v>431</x:v>
      </x:c>
      <x:c r="DB10" t="s">
        <x:v>434</x:v>
      </x:c>
      <x:c r="FP10" t="n">
        <x:v>43237</x:v>
      </x:c>
      <x:c r="FQ10" t="n">
        <x:v>43272</x:v>
      </x:c>
      <x:c r="FR10" t="n">
        <x:v>43314</x:v>
      </x:c>
      <x:c r="FS10" t="n">
        <x:v>43377</x:v>
      </x:c>
      <x:c r="FT10" t="n">
        <x:v>43419</x:v>
      </x:c>
      <x:c r="FU10"/>
      <x:c r="FV10"/>
      <x:c r="FW10"/>
      <x:c r="FX10"/>
      <x:c r="FY10"/>
      <x:c r="FZ10"/>
      <x:c r="GA10"/>
      <x:c r="GB10"/>
      <x:c r="GC10"/>
      <x:c r="GD10"/>
      <x:c r="GE10"/>
      <x:c r="GF10"/>
      <x:c r="GG10"/>
      <x:c r="GH10"/>
      <x:c r="GI10"/>
      <x:c r="GJ10"/>
      <x:c r="GK10"/>
      <x:c r="GL10"/>
      <x:c r="GM10"/>
      <x:c r="GN10" t="str">
        <x:v>P009</x:v>
      </x:c>
      <x:c r="GO10" t="n">
        <x:v>43237</x:v>
      </x:c>
      <x:c r="GP10" t="n">
        <x:v>43419</x:v>
      </x:c>
      <x:c r="GQ10"/>
      <x:c r="GR10"/>
      <x:c r="GS10"/>
      <x:c r="GT10"/>
      <x:c r="GU10"/>
      <x:c r="GV10"/>
      <x:c r="GW10"/>
      <x:c r="GX10"/>
      <x:c r="GY10"/>
      <x:c r="GZ10"/>
      <x:c r="HA10"/>
      <x:c r="HB10"/>
      <x:c r="HC10"/>
      <x:c r="HD10"/>
      <x:c r="HE10"/>
      <x:c r="HF10"/>
      <x:c r="HG10"/>
      <x:c r="HH10"/>
      <x:c r="HI10"/>
      <x:c r="HJ10"/>
      <x:c r="HK10"/>
      <x:c r="HL10"/>
      <x:c r="HM10"/>
      <x:c r="HN10"/>
      <x:c r="HO10"/>
      <x:c r="HP10"/>
      <x:c r="HQ10"/>
      <x:c r="HR10"/>
      <x:c r="HS10"/>
      <x:c r="HT10"/>
      <x:c r="HU10"/>
      <x:c r="HV10"/>
      <x:c r="HW10"/>
      <x:c r="HX10"/>
      <x:c r="HY10"/>
      <x:c r="HZ10"/>
      <x:c r="IA10"/>
      <x:c r="IB10"/>
      <x:c r="IC10"/>
      <x:c r="ID10"/>
      <x:c r="IE10"/>
      <x:c r="IF10"/>
      <x:c r="IG10"/>
      <x:c r="IH10"/>
      <x:c r="II10"/>
      <x:c r="IJ10"/>
      <x:c r="IK10"/>
      <x:c r="IL10"/>
      <x:c r="IM10"/>
      <x:c r="IN10"/>
      <x:c r="IO10"/>
      <x:c r="IP10"/>
      <x:c r="IQ10"/>
      <x:c r="IR10"/>
      <x:c r="IS10"/>
      <x:c r="IT10"/>
      <x:c r="IU10"/>
      <x:c r="IV10"/>
      <x:c r="IW10"/>
      <x:c r="IX10"/>
      <x:c r="IY10"/>
      <x:c r="IZ10"/>
      <x:c r="JA10"/>
    </x:row>
    <x:row r="11">
      <x:c r="Z11" t="str">
        <x:f>Personas!B11</x:f>
        <x:v>Manuel Sánchez González</x:v>
      </x:c>
      <x:c r="AA11" t="n">
        <x:f>Decisiones!B11</x:f>
        <x:v>37295</x:v>
      </x:c>
      <x:c r="AD11" t="s">
        <x:v>807</x:v>
      </x:c>
      <x:c r="CW11" t="s">
        <x:v>807</x:v>
      </x:c>
      <x:c r="FP11"/>
      <x:c r="FQ11"/>
      <x:c r="FR11"/>
      <x:c r="FS11"/>
      <x:c r="FT11"/>
      <x:c r="FU11"/>
      <x:c r="FV11"/>
      <x:c r="FW11"/>
      <x:c r="FX11"/>
      <x:c r="FY11"/>
      <x:c r="FZ11"/>
      <x:c r="GA11"/>
      <x:c r="GB11"/>
      <x:c r="GC11"/>
      <x:c r="GD11"/>
      <x:c r="GE11"/>
      <x:c r="GF11"/>
      <x:c r="GG11"/>
      <x:c r="GH11"/>
      <x:c r="GI11"/>
      <x:c r="GJ11"/>
      <x:c r="GK11"/>
      <x:c r="GL11"/>
      <x:c r="GM11"/>
      <x:c r="GN11" t="str">
        <x:v>P010</x:v>
      </x:c>
      <x:c r="GO11"/>
      <x:c r="GP11"/>
      <x:c r="GQ11"/>
      <x:c r="GR11"/>
      <x:c r="GS11"/>
      <x:c r="GT11"/>
      <x:c r="GU11"/>
      <x:c r="GV11"/>
      <x:c r="GW11"/>
      <x:c r="GX11"/>
      <x:c r="GY11"/>
      <x:c r="GZ11"/>
      <x:c r="HA11"/>
      <x:c r="HB11"/>
      <x:c r="HC11"/>
      <x:c r="HD11"/>
      <x:c r="HE11"/>
      <x:c r="HF11"/>
      <x:c r="HG11"/>
      <x:c r="HH11"/>
      <x:c r="HI11"/>
      <x:c r="HJ11"/>
      <x:c r="HK11"/>
      <x:c r="HL11"/>
      <x:c r="HM11"/>
      <x:c r="HN11"/>
      <x:c r="HO11"/>
      <x:c r="HP11"/>
      <x:c r="HQ11"/>
      <x:c r="HR11"/>
      <x:c r="HS11"/>
      <x:c r="HT11"/>
      <x:c r="HU11"/>
      <x:c r="HV11"/>
      <x:c r="HW11"/>
      <x:c r="HX11"/>
      <x:c r="HY11"/>
      <x:c r="HZ11"/>
      <x:c r="IA11"/>
      <x:c r="IB11"/>
      <x:c r="IC11"/>
      <x:c r="ID11"/>
      <x:c r="IE11"/>
      <x:c r="IF11"/>
      <x:c r="IG11"/>
      <x:c r="IH11"/>
      <x:c r="II11"/>
      <x:c r="IJ11"/>
      <x:c r="IK11"/>
      <x:c r="IL11"/>
      <x:c r="IM11"/>
      <x:c r="IN11"/>
      <x:c r="IO11"/>
      <x:c r="IP11"/>
      <x:c r="IQ11"/>
      <x:c r="IR11"/>
      <x:c r="IS11"/>
      <x:c r="IT11"/>
      <x:c r="IU11"/>
      <x:c r="IV11"/>
      <x:c r="IW11"/>
      <x:c r="IX11"/>
      <x:c r="IY11"/>
      <x:c r="IZ11"/>
      <x:c r="JA11"/>
    </x:row>
    <x:row r="12">
      <x:c r="Z12" t="str">
        <x:f>Personas!B12</x:f>
        <x:v>Agustín Carstens Carstens</x:v>
      </x:c>
      <x:c r="AA12" t="n">
        <x:f>Decisiones!B12</x:f>
        <x:v>37358</x:v>
      </x:c>
      <x:c r="AD12" t="s">
        <x:v>809</x:v>
      </x:c>
      <x:c r="CW12" t="s">
        <x:v>809</x:v>
      </x:c>
      <x:c r="FP12"/>
      <x:c r="FQ12"/>
      <x:c r="FR12"/>
      <x:c r="FS12"/>
      <x:c r="FT12"/>
      <x:c r="FU12"/>
      <x:c r="FV12"/>
      <x:c r="FW12"/>
      <x:c r="FX12"/>
      <x:c r="FY12"/>
      <x:c r="FZ12"/>
      <x:c r="GA12"/>
      <x:c r="GB12"/>
      <x:c r="GC12"/>
      <x:c r="GD12"/>
      <x:c r="GE12"/>
      <x:c r="GF12"/>
      <x:c r="GG12"/>
      <x:c r="GH12"/>
      <x:c r="GI12"/>
      <x:c r="GJ12"/>
      <x:c r="GK12"/>
      <x:c r="GL12"/>
      <x:c r="GM12"/>
      <x:c r="GN12" t="str">
        <x:v>P011</x:v>
      </x:c>
      <x:c r="GO12"/>
      <x:c r="GP12"/>
      <x:c r="GQ12"/>
      <x:c r="GR12"/>
      <x:c r="GS12"/>
      <x:c r="GT12"/>
      <x:c r="GU12"/>
      <x:c r="GV12"/>
      <x:c r="GW12"/>
      <x:c r="GX12"/>
      <x:c r="GY12"/>
      <x:c r="GZ12"/>
      <x:c r="HA12"/>
      <x:c r="HB12"/>
      <x:c r="HC12"/>
      <x:c r="HD12"/>
      <x:c r="HE12"/>
      <x:c r="HF12"/>
      <x:c r="HG12"/>
      <x:c r="HH12"/>
      <x:c r="HI12"/>
      <x:c r="HJ12"/>
      <x:c r="HK12"/>
      <x:c r="HL12"/>
      <x:c r="HM12"/>
      <x:c r="HN12"/>
      <x:c r="HO12"/>
      <x:c r="HP12"/>
      <x:c r="HQ12"/>
      <x:c r="HR12"/>
      <x:c r="HS12"/>
      <x:c r="HT12"/>
      <x:c r="HU12"/>
      <x:c r="HV12"/>
      <x:c r="HW12"/>
      <x:c r="HX12"/>
      <x:c r="HY12"/>
      <x:c r="HZ12"/>
      <x:c r="IA12"/>
      <x:c r="IB12"/>
      <x:c r="IC12"/>
      <x:c r="ID12"/>
      <x:c r="IE12"/>
      <x:c r="IF12"/>
      <x:c r="IG12"/>
      <x:c r="IH12"/>
      <x:c r="II12"/>
      <x:c r="IJ12"/>
      <x:c r="IK12"/>
      <x:c r="IL12"/>
      <x:c r="IM12"/>
      <x:c r="IN12"/>
      <x:c r="IO12"/>
      <x:c r="IP12"/>
      <x:c r="IQ12"/>
      <x:c r="IR12"/>
      <x:c r="IS12"/>
      <x:c r="IT12"/>
      <x:c r="IU12"/>
      <x:c r="IV12"/>
      <x:c r="IW12"/>
      <x:c r="IX12"/>
      <x:c r="IY12"/>
      <x:c r="IZ12"/>
      <x:c r="JA12"/>
    </x:row>
    <x:row r="13">
      <x:c r="Z13" t="str">
        <x:f>Personas!B13</x:f>
        <x:v>Manuel Ramos Francia</x:v>
      </x:c>
      <x:c r="AA13" t="n">
        <x:f>Decisiones!B13</x:f>
        <x:v>37522</x:v>
      </x:c>
      <x:c r="AD13" t="s">
        <x:v>630</x:v>
      </x:c>
      <x:c r="AE13">
        <x:v>43377</x:v>
      </x:c>
      <x:c r="AS13">
        <x:v>7.75</x:v>
      </x:c>
      <x:c r="BG13">
        <x:v>0</x:v>
      </x:c>
      <x:c r="BU13" t="s">
        <x:v>15</x:v>
      </x:c>
      <x:c r="CI13" t="s">
        <x:v>722</x:v>
      </x:c>
      <x:c r="CW13" t="s">
        <x:v>630</x:v>
      </x:c>
      <x:c r="CX13" t="s">
        <x:v>422</x:v>
      </x:c>
      <x:c r="CY13" t="s">
        <x:v>425</x:v>
      </x:c>
      <x:c r="CZ13" t="s">
        <x:v>428</x:v>
      </x:c>
      <x:c r="DA13" t="s">
        <x:v>431</x:v>
      </x:c>
      <x:c r="DB13" t="s">
        <x:v>434</x:v>
      </x:c>
      <x:c r="DC13" t="s">
        <x:v>437</x:v>
      </x:c>
      <x:c r="FP13" t="n">
        <x:v>43237</x:v>
      </x:c>
      <x:c r="FQ13" t="n">
        <x:v>43272</x:v>
      </x:c>
      <x:c r="FR13" t="n">
        <x:v>43314</x:v>
      </x:c>
      <x:c r="FS13" t="n">
        <x:v>43377</x:v>
      </x:c>
      <x:c r="FT13" t="n">
        <x:v>43419</x:v>
      </x:c>
      <x:c r="FU13" t="n">
        <x:v>43454</x:v>
      </x:c>
      <x:c r="FV13"/>
      <x:c r="FW13"/>
      <x:c r="FX13"/>
      <x:c r="FY13"/>
      <x:c r="FZ13"/>
      <x:c r="GA13"/>
      <x:c r="GB13"/>
      <x:c r="GC13"/>
      <x:c r="GD13"/>
      <x:c r="GE13"/>
      <x:c r="GF13"/>
      <x:c r="GG13"/>
      <x:c r="GH13"/>
      <x:c r="GI13"/>
      <x:c r="GJ13"/>
      <x:c r="GK13"/>
      <x:c r="GL13"/>
      <x:c r="GM13"/>
      <x:c r="GN13" t="str">
        <x:v>P012</x:v>
      </x:c>
      <x:c r="GO13" t="n">
        <x:v>43237</x:v>
      </x:c>
      <x:c r="GP13" t="n">
        <x:v>43454</x:v>
      </x:c>
      <x:c r="GQ13"/>
      <x:c r="GR13"/>
      <x:c r="GS13"/>
      <x:c r="GT13"/>
      <x:c r="GU13"/>
      <x:c r="GV13"/>
      <x:c r="GW13"/>
      <x:c r="GX13"/>
      <x:c r="GY13"/>
      <x:c r="GZ13"/>
      <x:c r="HA13"/>
      <x:c r="HB13"/>
      <x:c r="HC13"/>
      <x:c r="HD13"/>
      <x:c r="HE13"/>
      <x:c r="HF13"/>
      <x:c r="HG13"/>
      <x:c r="HH13"/>
      <x:c r="HI13"/>
      <x:c r="HJ13"/>
      <x:c r="HK13"/>
      <x:c r="HL13"/>
      <x:c r="HM13"/>
      <x:c r="HN13"/>
      <x:c r="HO13"/>
      <x:c r="HP13"/>
      <x:c r="HQ13"/>
      <x:c r="HR13"/>
      <x:c r="HS13"/>
      <x:c r="HT13"/>
      <x:c r="HU13"/>
      <x:c r="HV13"/>
      <x:c r="HW13"/>
      <x:c r="HX13"/>
      <x:c r="HY13"/>
      <x:c r="HZ13"/>
      <x:c r="IA13"/>
      <x:c r="IB13"/>
      <x:c r="IC13"/>
      <x:c r="ID13"/>
      <x:c r="IE13"/>
      <x:c r="IF13"/>
      <x:c r="IG13"/>
      <x:c r="IH13"/>
      <x:c r="II13"/>
      <x:c r="IJ13"/>
      <x:c r="IK13"/>
      <x:c r="IL13"/>
      <x:c r="IM13"/>
      <x:c r="IN13"/>
      <x:c r="IO13"/>
      <x:c r="IP13"/>
      <x:c r="IQ13"/>
      <x:c r="IR13"/>
      <x:c r="IS13"/>
      <x:c r="IT13"/>
      <x:c r="IU13"/>
      <x:c r="IV13"/>
      <x:c r="IW13"/>
      <x:c r="IX13"/>
      <x:c r="IY13"/>
      <x:c r="IZ13"/>
      <x:c r="JA13"/>
    </x:row>
    <x:row r="14">
      <x:c r="Z14" t="str">
        <x:f>Personas!B14</x:f>
        <x:v>Javier Eduardo Guzmán Calafell</x:v>
      </x:c>
      <x:c r="AA14" t="n">
        <x:f>Decisiones!B14</x:f>
        <x:v>37596</x:v>
      </x:c>
      <x:c r="AD14" t="s">
        <x:v>631</x:v>
      </x:c>
      <x:c r="AE14">
        <x:v>43692</x:v>
      </x:c>
      <x:c r="AF14">
        <x:v>43910</x:v>
      </x:c>
      <x:c r="AS14">
        <x:v>8</x:v>
      </x:c>
      <x:c r="AT14">
        <x:v>6.5</x:v>
      </x:c>
      <x:c r="BG14">
        <x:v>-25</x:v>
      </x:c>
      <x:c r="BH14">
        <x:v>-50</x:v>
      </x:c>
      <x:c r="BU14" t="s">
        <x:v>15</x:v>
      </x:c>
      <x:c r="BV14" t="s">
        <x:v>369</x:v>
      </x:c>
      <x:c r="CI14" t="s">
        <x:v>722</x:v>
      </x:c>
      <x:c r="CJ14" t="s">
        <x:v>722</x:v>
      </x:c>
      <x:c r="CW14" t="s">
        <x:v>631</x:v>
      </x:c>
      <x:c r="CX14" t="s">
        <x:v>422</x:v>
      </x:c>
      <x:c r="CY14" t="s">
        <x:v>425</x:v>
      </x:c>
      <x:c r="CZ14" t="s">
        <x:v>428</x:v>
      </x:c>
      <x:c r="DA14" t="s">
        <x:v>431</x:v>
      </x:c>
      <x:c r="DB14" t="s">
        <x:v>434</x:v>
      </x:c>
      <x:c r="DC14" t="s">
        <x:v>437</x:v>
      </x:c>
      <x:c r="DD14" t="s">
        <x:v>440</x:v>
      </x:c>
      <x:c r="DE14" t="s">
        <x:v>443</x:v>
      </x:c>
      <x:c r="DF14" t="s">
        <x:v>446</x:v>
      </x:c>
      <x:c r="DG14" t="s">
        <x:v>449</x:v>
      </x:c>
      <x:c r="DH14" t="s">
        <x:v>452</x:v>
      </x:c>
      <x:c r="DI14" t="s">
        <x:v>455</x:v>
      </x:c>
      <x:c r="DJ14" t="s">
        <x:v>458</x:v>
      </x:c>
      <x:c r="DK14" t="s">
        <x:v>461</x:v>
      </x:c>
      <x:c r="DL14" t="s">
        <x:v>464</x:v>
      </x:c>
      <x:c r="DM14" t="s">
        <x:v>467</x:v>
      </x:c>
      <x:c r="DN14" t="s">
        <x:v>470</x:v>
      </x:c>
      <x:c r="DO14" t="s">
        <x:v>473</x:v>
      </x:c>
      <x:c r="DP14" t="s">
        <x:v>476</x:v>
      </x:c>
      <x:c r="DQ14" t="s">
        <x:v>479</x:v>
      </x:c>
      <x:c r="DR14" t="s">
        <x:v>482</x:v>
      </x:c>
      <x:c r="DS14" t="s">
        <x:v>485</x:v>
      </x:c>
      <x:c r="DT14" t="s">
        <x:v>488</x:v>
      </x:c>
      <x:c r="FP14" t="n">
        <x:v>43237</x:v>
      </x:c>
      <x:c r="FQ14" t="n">
        <x:v>43272</x:v>
      </x:c>
      <x:c r="FR14" t="n">
        <x:v>43314</x:v>
      </x:c>
      <x:c r="FS14" t="n">
        <x:v>43377</x:v>
      </x:c>
      <x:c r="FT14" t="n">
        <x:v>43419</x:v>
      </x:c>
      <x:c r="FU14" t="n">
        <x:v>43454</x:v>
      </x:c>
      <x:c r="FV14" t="n">
        <x:v>43503</x:v>
      </x:c>
      <x:c r="FW14" t="n">
        <x:v>43552</x:v>
      </x:c>
      <x:c r="FX14" t="n">
        <x:v>43601</x:v>
      </x:c>
      <x:c r="FY14" t="n">
        <x:v>43643</x:v>
      </x:c>
      <x:c r="FZ14" t="n">
        <x:v>43692</x:v>
      </x:c>
      <x:c r="GA14" t="n">
        <x:v>43734</x:v>
      </x:c>
      <x:c r="GB14" t="n">
        <x:v>43783</x:v>
      </x:c>
      <x:c r="GC14" t="n">
        <x:v>43818</x:v>
      </x:c>
      <x:c r="GD14" t="n">
        <x:v>43874</x:v>
      </x:c>
      <x:c r="GE14" t="n">
        <x:v>43910</x:v>
      </x:c>
      <x:c r="GF14" t="n">
        <x:v>43942</x:v>
      </x:c>
      <x:c r="GG14" t="n">
        <x:v>43965</x:v>
      </x:c>
      <x:c r="GH14" t="n">
        <x:v>44007</x:v>
      </x:c>
      <x:c r="GI14" t="n">
        <x:v>44056</x:v>
      </x:c>
      <x:c r="GJ14" t="n">
        <x:v>44098</x:v>
      </x:c>
      <x:c r="GK14" t="n">
        <x:v>44147</x:v>
      </x:c>
      <x:c r="GL14" t="n">
        <x:v>44182</x:v>
      </x:c>
      <x:c r="GM14"/>
      <x:c r="GN14" t="str">
        <x:v>P013</x:v>
      </x:c>
      <x:c r="GO14" t="n">
        <x:v>43237</x:v>
      </x:c>
      <x:c r="GP14" t="n">
        <x:v>44182</x:v>
      </x:c>
      <x:c r="GQ14"/>
      <x:c r="GR14"/>
      <x:c r="GS14"/>
      <x:c r="GT14"/>
      <x:c r="GU14"/>
      <x:c r="GV14"/>
      <x:c r="GW14"/>
      <x:c r="GX14"/>
      <x:c r="GY14"/>
      <x:c r="GZ14"/>
      <x:c r="HA14"/>
      <x:c r="HB14"/>
      <x:c r="HC14"/>
      <x:c r="HD14"/>
      <x:c r="HE14"/>
      <x:c r="HF14"/>
      <x:c r="HG14"/>
      <x:c r="HH14"/>
      <x:c r="HI14"/>
      <x:c r="HJ14"/>
      <x:c r="HK14"/>
      <x:c r="HL14"/>
      <x:c r="HM14"/>
      <x:c r="HN14"/>
      <x:c r="HO14"/>
      <x:c r="HP14"/>
      <x:c r="HQ14"/>
      <x:c r="HR14"/>
      <x:c r="HS14"/>
      <x:c r="HT14"/>
      <x:c r="HU14"/>
      <x:c r="HV14"/>
      <x:c r="HW14"/>
      <x:c r="HX14"/>
      <x:c r="HY14"/>
      <x:c r="HZ14"/>
      <x:c r="IA14"/>
      <x:c r="IB14"/>
      <x:c r="IC14"/>
      <x:c r="ID14"/>
      <x:c r="IE14"/>
      <x:c r="IF14"/>
      <x:c r="IG14"/>
      <x:c r="IH14"/>
      <x:c r="II14"/>
      <x:c r="IJ14"/>
      <x:c r="IK14"/>
      <x:c r="IL14"/>
      <x:c r="IM14"/>
      <x:c r="IN14"/>
      <x:c r="IO14"/>
      <x:c r="IP14"/>
      <x:c r="IQ14"/>
      <x:c r="IR14"/>
      <x:c r="IS14"/>
      <x:c r="IT14"/>
      <x:c r="IU14"/>
      <x:c r="IV14"/>
      <x:c r="IW14"/>
      <x:c r="IX14"/>
      <x:c r="IY14"/>
      <x:c r="IZ14"/>
      <x:c r="JA14"/>
    </x:row>
    <x:row r="15">
      <x:c r="Z15" t="str">
        <x:f>Personas!B15</x:f>
        <x:v>Alejandro Díaz de León Carrillo</x:v>
      </x:c>
      <x:c r="AA15" t="n">
        <x:f>Decisiones!B15</x:f>
        <x:v>37631</x:v>
      </x:c>
      <x:c r="AD15" t="s">
        <x:v>632</x:v>
      </x:c>
      <x:c r="CW15" t="s">
        <x:v>632</x:v>
      </x:c>
      <x:c r="CX15" t="s">
        <x:v>422</x:v>
      </x:c>
      <x:c r="CY15" t="s">
        <x:v>425</x:v>
      </x:c>
      <x:c r="CZ15" t="s">
        <x:v>428</x:v>
      </x:c>
      <x:c r="DA15" t="s">
        <x:v>431</x:v>
      </x:c>
      <x:c r="DB15" t="s">
        <x:v>434</x:v>
      </x:c>
      <x:c r="DC15" t="s">
        <x:v>437</x:v>
      </x:c>
      <x:c r="DD15" t="s">
        <x:v>440</x:v>
      </x:c>
      <x:c r="DE15" t="s">
        <x:v>443</x:v>
      </x:c>
      <x:c r="DF15" t="s">
        <x:v>446</x:v>
      </x:c>
      <x:c r="DG15" t="s">
        <x:v>449</x:v>
      </x:c>
      <x:c r="DH15" t="s">
        <x:v>452</x:v>
      </x:c>
      <x:c r="DI15" t="s">
        <x:v>455</x:v>
      </x:c>
      <x:c r="DJ15" t="s">
        <x:v>458</x:v>
      </x:c>
      <x:c r="DK15" t="s">
        <x:v>461</x:v>
      </x:c>
      <x:c r="DL15" t="s">
        <x:v>464</x:v>
      </x:c>
      <x:c r="DM15" t="s">
        <x:v>467</x:v>
      </x:c>
      <x:c r="DN15" t="s">
        <x:v>470</x:v>
      </x:c>
      <x:c r="DO15" t="s">
        <x:v>473</x:v>
      </x:c>
      <x:c r="DP15" t="s">
        <x:v>476</x:v>
      </x:c>
      <x:c r="DQ15" t="s">
        <x:v>479</x:v>
      </x:c>
      <x:c r="DR15" t="s">
        <x:v>482</x:v>
      </x:c>
      <x:c r="DS15" t="s">
        <x:v>485</x:v>
      </x:c>
      <x:c r="DT15" t="s">
        <x:v>488</x:v>
      </x:c>
      <x:c r="DU15" t="s">
        <x:v>491</x:v>
      </x:c>
      <x:c r="DV15" t="s">
        <x:v>494</x:v>
      </x:c>
      <x:c r="DW15" t="s">
        <x:v>497</x:v>
      </x:c>
      <x:c r="DX15" t="s">
        <x:v>500</x:v>
      </x:c>
      <x:c r="DY15" t="s">
        <x:v>503</x:v>
      </x:c>
      <x:c r="DZ15" t="s">
        <x:v>506</x:v>
      </x:c>
      <x:c r="EA15" t="s">
        <x:v>509</x:v>
      </x:c>
      <x:c r="EB15" t="s">
        <x:v>512</x:v>
      </x:c>
      <x:c r="FP15" t="n">
        <x:v>43237</x:v>
      </x:c>
      <x:c r="FQ15" t="n">
        <x:v>43272</x:v>
      </x:c>
      <x:c r="FR15" t="n">
        <x:v>43314</x:v>
      </x:c>
      <x:c r="FS15" t="n">
        <x:v>43377</x:v>
      </x:c>
      <x:c r="FT15" t="n">
        <x:v>43419</x:v>
      </x:c>
      <x:c r="FU15" t="n">
        <x:v>43454</x:v>
      </x:c>
      <x:c r="FV15" t="n">
        <x:v>43503</x:v>
      </x:c>
      <x:c r="FW15" t="n">
        <x:v>43552</x:v>
      </x:c>
      <x:c r="FX15" t="n">
        <x:v>43601</x:v>
      </x:c>
      <x:c r="FY15" t="n">
        <x:v>43643</x:v>
      </x:c>
      <x:c r="FZ15" t="n">
        <x:v>43692</x:v>
      </x:c>
      <x:c r="GA15" t="n">
        <x:v>43734</x:v>
      </x:c>
      <x:c r="GB15" t="n">
        <x:v>43783</x:v>
      </x:c>
      <x:c r="GC15" t="n">
        <x:v>43818</x:v>
      </x:c>
      <x:c r="GD15" t="n">
        <x:v>43874</x:v>
      </x:c>
      <x:c r="GE15" t="n">
        <x:v>43910</x:v>
      </x:c>
      <x:c r="GF15" t="n">
        <x:v>43942</x:v>
      </x:c>
      <x:c r="GG15" t="n">
        <x:v>43965</x:v>
      </x:c>
      <x:c r="GH15" t="n">
        <x:v>44007</x:v>
      </x:c>
      <x:c r="GI15" t="n">
        <x:v>44056</x:v>
      </x:c>
      <x:c r="GJ15" t="n">
        <x:v>44098</x:v>
      </x:c>
      <x:c r="GK15" t="n">
        <x:v>44147</x:v>
      </x:c>
      <x:c r="GL15" t="n">
        <x:v>44182</x:v>
      </x:c>
      <x:c r="GM15" t="n">
        <x:v>44238</x:v>
      </x:c>
      <x:c r="GN15" t="str">
        <x:v>P014</x:v>
      </x:c>
      <x:c r="GO15" t="n">
        <x:v>43237</x:v>
      </x:c>
      <x:c r="GP15" t="n">
        <x:v>44546</x:v>
      </x:c>
      <x:c r="GQ15" t="n">
        <x:v>44420</x:v>
      </x:c>
      <x:c r="GR15" t="n">
        <x:v>44469</x:v>
      </x:c>
      <x:c r="GS15" t="n">
        <x:v>44511</x:v>
      </x:c>
      <x:c r="GT15" t="n">
        <x:v>44546</x:v>
      </x:c>
      <x:c r="GU15"/>
      <x:c r="GV15"/>
      <x:c r="GW15"/>
      <x:c r="GX15"/>
      <x:c r="GY15"/>
      <x:c r="GZ15"/>
      <x:c r="HA15"/>
      <x:c r="HB15"/>
      <x:c r="HC15"/>
      <x:c r="HD15"/>
      <x:c r="HE15"/>
      <x:c r="HF15"/>
      <x:c r="HG15"/>
      <x:c r="HH15"/>
      <x:c r="HI15"/>
      <x:c r="HJ15"/>
      <x:c r="HK15"/>
      <x:c r="HL15"/>
      <x:c r="HM15"/>
      <x:c r="HN15"/>
      <x:c r="HO15"/>
      <x:c r="HP15"/>
      <x:c r="HQ15"/>
      <x:c r="HR15"/>
      <x:c r="HS15"/>
      <x:c r="HT15"/>
      <x:c r="HU15"/>
      <x:c r="HV15"/>
      <x:c r="HW15"/>
      <x:c r="HX15"/>
      <x:c r="HY15"/>
      <x:c r="HZ15"/>
      <x:c r="IA15"/>
      <x:c r="IB15"/>
      <x:c r="IC15"/>
      <x:c r="ID15"/>
      <x:c r="IE15"/>
      <x:c r="IF15"/>
      <x:c r="IG15"/>
      <x:c r="IH15"/>
      <x:c r="II15"/>
      <x:c r="IJ15"/>
      <x:c r="IK15"/>
      <x:c r="IL15"/>
      <x:c r="IM15"/>
      <x:c r="IN15"/>
      <x:c r="IO15"/>
      <x:c r="IP15"/>
      <x:c r="IQ15"/>
      <x:c r="IR15"/>
      <x:c r="IS15"/>
      <x:c r="IT15"/>
      <x:c r="IU15"/>
      <x:c r="IV15"/>
      <x:c r="IW15"/>
      <x:c r="IX15"/>
      <x:c r="IY15"/>
      <x:c r="IZ15"/>
      <x:c r="JA15"/>
    </x:row>
    <x:row r="16">
      <x:c r="Z16" t="str">
        <x:f>Personas!B16</x:f>
        <x:v>Irene Espinosa Cantellano</x:v>
      </x:c>
      <x:c r="AA16" t="n">
        <x:f>Decisiones!B16</x:f>
        <x:v>37645</x:v>
      </x:c>
      <x:c r="AD16" t="s">
        <x:v>633</x:v>
      </x:c>
      <x:c r="AE16">
        <x:v>43419</x:v>
      </x:c>
      <x:c r="AF16">
        <x:v>44056</x:v>
      </x:c>
      <x:c r="AG16">
        <x:v>44693</x:v>
      </x:c>
      <x:c r="AH16">
        <x:v>45372</x:v>
      </x:c>
      <x:c r="AI16">
        <x:v>45512</x:v>
      </x:c>
      <x:c r="AS16">
        <x:v>8</x:v>
      </x:c>
      <x:c r="AT16">
        <x:v>4.5</x:v>
      </x:c>
      <x:c r="AU16">
        <x:v>7</x:v>
      </x:c>
      <x:c r="AV16">
        <x:v>11</x:v>
      </x:c>
      <x:c r="AW16">
        <x:v>10.75</x:v>
      </x:c>
      <x:c r="BG16">
        <x:v>25</x:v>
      </x:c>
      <x:c r="BH16">
        <x:v>-50</x:v>
      </x:c>
      <x:c r="BI16">
        <x:v>50</x:v>
      </x:c>
      <x:c r="BJ16">
        <x:v>-25</x:v>
      </x:c>
      <x:c r="BK16">
        <x:v>-25</x:v>
      </x:c>
      <x:c r="BU16" t="s">
        <x:v>15</x:v>
      </x:c>
      <x:c r="BV16" t="s">
        <x:v>15</x:v>
      </x:c>
      <x:c r="BW16" t="s">
        <x:v>15</x:v>
      </x:c>
      <x:c r="BX16" t="s">
        <x:v>15</x:v>
      </x:c>
      <x:c r="BY16" t="s">
        <x:v>15</x:v>
      </x:c>
      <x:c r="CI16" t="s">
        <x:v>722</x:v>
      </x:c>
      <x:c r="CJ16" t="s">
        <x:v>722</x:v>
      </x:c>
      <x:c r="CK16" t="s">
        <x:v>722</x:v>
      </x:c>
      <x:c r="CL16" t="s">
        <x:v>722</x:v>
      </x:c>
      <x:c r="CM16" t="s">
        <x:v>722</x:v>
      </x:c>
      <x:c r="CW16" t="s">
        <x:v>633</x:v>
      </x:c>
      <x:c r="CX16" t="s">
        <x:v>422</x:v>
      </x:c>
      <x:c r="CY16" t="s">
        <x:v>425</x:v>
      </x:c>
      <x:c r="CZ16" t="s">
        <x:v>428</x:v>
      </x:c>
      <x:c r="DA16" t="s">
        <x:v>431</x:v>
      </x:c>
      <x:c r="DB16" t="s">
        <x:v>434</x:v>
      </x:c>
      <x:c r="DC16" t="s">
        <x:v>437</x:v>
      </x:c>
      <x:c r="DD16" t="s">
        <x:v>440</x:v>
      </x:c>
      <x:c r="DE16" t="s">
        <x:v>443</x:v>
      </x:c>
      <x:c r="DF16" t="s">
        <x:v>446</x:v>
      </x:c>
      <x:c r="DG16" t="s">
        <x:v>449</x:v>
      </x:c>
      <x:c r="DH16" t="s">
        <x:v>452</x:v>
      </x:c>
      <x:c r="DI16" t="s">
        <x:v>455</x:v>
      </x:c>
      <x:c r="DJ16" t="s">
        <x:v>458</x:v>
      </x:c>
      <x:c r="DK16" t="s">
        <x:v>461</x:v>
      </x:c>
      <x:c r="DL16" t="s">
        <x:v>464</x:v>
      </x:c>
      <x:c r="DM16" t="s">
        <x:v>467</x:v>
      </x:c>
      <x:c r="DN16" t="s">
        <x:v>470</x:v>
      </x:c>
      <x:c r="DO16" t="s">
        <x:v>473</x:v>
      </x:c>
      <x:c r="DP16" t="s">
        <x:v>476</x:v>
      </x:c>
      <x:c r="DQ16" t="s">
        <x:v>479</x:v>
      </x:c>
      <x:c r="DR16" t="s">
        <x:v>482</x:v>
      </x:c>
      <x:c r="DS16" t="s">
        <x:v>485</x:v>
      </x:c>
      <x:c r="DT16" t="s">
        <x:v>488</x:v>
      </x:c>
      <x:c r="DU16" t="s">
        <x:v>491</x:v>
      </x:c>
      <x:c r="DV16" t="s">
        <x:v>494</x:v>
      </x:c>
      <x:c r="DW16" t="s">
        <x:v>497</x:v>
      </x:c>
      <x:c r="DX16" t="s">
        <x:v>500</x:v>
      </x:c>
      <x:c r="DY16" t="s">
        <x:v>503</x:v>
      </x:c>
      <x:c r="DZ16" t="s">
        <x:v>506</x:v>
      </x:c>
      <x:c r="EA16" t="s">
        <x:v>509</x:v>
      </x:c>
      <x:c r="EB16" t="s">
        <x:v>512</x:v>
      </x:c>
      <x:c r="EC16" t="s">
        <x:v>515</x:v>
      </x:c>
      <x:c r="ED16" t="s">
        <x:v>518</x:v>
      </x:c>
      <x:c r="EE16" t="s">
        <x:v>521</x:v>
      </x:c>
      <x:c r="EF16" t="s">
        <x:v>524</x:v>
      </x:c>
      <x:c r="EG16" t="s">
        <x:v>527</x:v>
      </x:c>
      <x:c r="EH16" t="s">
        <x:v>530</x:v>
      </x:c>
      <x:c r="EI16" t="s">
        <x:v>533</x:v>
      </x:c>
      <x:c r="EJ16" t="s">
        <x:v>536</x:v>
      </x:c>
      <x:c r="EK16" t="s">
        <x:v>539</x:v>
      </x:c>
      <x:c r="EL16" t="s">
        <x:v>542</x:v>
      </x:c>
      <x:c r="EM16" t="s">
        <x:v>545</x:v>
      </x:c>
      <x:c r="EN16" t="s">
        <x:v>548</x:v>
      </x:c>
      <x:c r="EO16" t="s">
        <x:v>551</x:v>
      </x:c>
      <x:c r="EP16" t="s">
        <x:v>554</x:v>
      </x:c>
      <x:c r="EQ16" t="s">
        <x:v>557</x:v>
      </x:c>
      <x:c r="ER16" t="s">
        <x:v>560</x:v>
      </x:c>
      <x:c r="ES16" t="s">
        <x:v>563</x:v>
      </x:c>
      <x:c r="ET16" t="s">
        <x:v>566</x:v>
      </x:c>
      <x:c r="EU16" t="s">
        <x:v>569</x:v>
      </x:c>
      <x:c r="EV16" t="s">
        <x:v>572</x:v>
      </x:c>
      <x:c r="EW16" t="s">
        <x:v>575</x:v>
      </x:c>
      <x:c r="EX16" t="s">
        <x:v>578</x:v>
      </x:c>
      <x:c r="EY16" t="s">
        <x:v>581</x:v>
      </x:c>
      <x:c r="EZ16" t="s">
        <x:v>584</x:v>
      </x:c>
      <x:c r="FP16" t="n">
        <x:v>43237</x:v>
      </x:c>
      <x:c r="FQ16" t="n">
        <x:v>43272</x:v>
      </x:c>
      <x:c r="FR16" t="n">
        <x:v>43314</x:v>
      </x:c>
      <x:c r="FS16" t="n">
        <x:v>43377</x:v>
      </x:c>
      <x:c r="FT16" t="n">
        <x:v>43419</x:v>
      </x:c>
      <x:c r="FU16" t="n">
        <x:v>43454</x:v>
      </x:c>
      <x:c r="FV16" t="n">
        <x:v>43503</x:v>
      </x:c>
      <x:c r="FW16" t="n">
        <x:v>43552</x:v>
      </x:c>
      <x:c r="FX16" t="n">
        <x:v>43601</x:v>
      </x:c>
      <x:c r="FY16" t="n">
        <x:v>43643</x:v>
      </x:c>
      <x:c r="FZ16" t="n">
        <x:v>43692</x:v>
      </x:c>
      <x:c r="GA16" t="n">
        <x:v>43734</x:v>
      </x:c>
      <x:c r="GB16" t="n">
        <x:v>43783</x:v>
      </x:c>
      <x:c r="GC16" t="n">
        <x:v>43818</x:v>
      </x:c>
      <x:c r="GD16" t="n">
        <x:v>43874</x:v>
      </x:c>
      <x:c r="GE16" t="n">
        <x:v>43910</x:v>
      </x:c>
      <x:c r="GF16" t="n">
        <x:v>43942</x:v>
      </x:c>
      <x:c r="GG16" t="n">
        <x:v>43965</x:v>
      </x:c>
      <x:c r="GH16" t="n">
        <x:v>44007</x:v>
      </x:c>
      <x:c r="GI16" t="n">
        <x:v>44056</x:v>
      </x:c>
      <x:c r="GJ16" t="n">
        <x:v>44098</x:v>
      </x:c>
      <x:c r="GK16" t="n">
        <x:v>44147</x:v>
      </x:c>
      <x:c r="GL16" t="n">
        <x:v>44182</x:v>
      </x:c>
      <x:c r="GM16" t="n">
        <x:v>44238</x:v>
      </x:c>
      <x:c r="GN16" t="str">
        <x:v>P015</x:v>
      </x:c>
      <x:c r="GO16" t="n">
        <x:v>43237</x:v>
      </x:c>
      <x:c r="GP16" t="n">
        <x:v>45645</x:v>
      </x:c>
      <x:c r="GQ16" t="n">
        <x:v>44420</x:v>
      </x:c>
      <x:c r="GR16" t="n">
        <x:v>44469</x:v>
      </x:c>
      <x:c r="GS16" t="n">
        <x:v>44511</x:v>
      </x:c>
      <x:c r="GT16" t="n">
        <x:v>44546</x:v>
      </x:c>
      <x:c r="GU16" t="n">
        <x:v>44602</x:v>
      </x:c>
      <x:c r="GV16" t="n">
        <x:v>44644</x:v>
      </x:c>
      <x:c r="GW16" t="n">
        <x:v>44693</x:v>
      </x:c>
      <x:c r="GX16" t="n">
        <x:v>44735</x:v>
      </x:c>
      <x:c r="GY16" t="n">
        <x:v>44784</x:v>
      </x:c>
      <x:c r="GZ16" t="n">
        <x:v>44833</x:v>
      </x:c>
      <x:c r="HA16" t="n">
        <x:v>44875</x:v>
      </x:c>
      <x:c r="HB16" t="n">
        <x:v>44910</x:v>
      </x:c>
      <x:c r="HC16" t="n">
        <x:v>44966</x:v>
      </x:c>
      <x:c r="HD16" t="n">
        <x:v>45015</x:v>
      </x:c>
      <x:c r="HE16" t="n">
        <x:v>45064</x:v>
      </x:c>
      <x:c r="HF16" t="n">
        <x:v>45099</x:v>
      </x:c>
      <x:c r="HG16" t="n">
        <x:v>45148</x:v>
      </x:c>
      <x:c r="HH16" t="n">
        <x:v>45197</x:v>
      </x:c>
      <x:c r="HI16" t="n">
        <x:v>45239</x:v>
      </x:c>
      <x:c r="HJ16" t="n">
        <x:v>45274</x:v>
      </x:c>
      <x:c r="HK16" t="n">
        <x:v>45330</x:v>
      </x:c>
      <x:c r="HL16" t="n">
        <x:v>45372</x:v>
      </x:c>
      <x:c r="HM16" t="n">
        <x:v>45421</x:v>
      </x:c>
      <x:c r="HN16" t="n">
        <x:v>45470</x:v>
      </x:c>
      <x:c r="HO16" t="n">
        <x:v>45512</x:v>
      </x:c>
      <x:c r="HP16" t="n">
        <x:v>45561</x:v>
      </x:c>
      <x:c r="HQ16" t="n">
        <x:v>45610</x:v>
      </x:c>
      <x:c r="HR16" t="n">
        <x:v>45645</x:v>
      </x:c>
      <x:c r="HS16"/>
      <x:c r="HT16"/>
      <x:c r="HU16"/>
      <x:c r="HV16"/>
      <x:c r="HW16"/>
      <x:c r="HX16"/>
      <x:c r="HY16"/>
      <x:c r="HZ16"/>
      <x:c r="IA16"/>
      <x:c r="IB16"/>
      <x:c r="IC16"/>
      <x:c r="ID16"/>
      <x:c r="IE16"/>
      <x:c r="IF16"/>
      <x:c r="IG16"/>
      <x:c r="IH16"/>
      <x:c r="II16"/>
      <x:c r="IJ16"/>
      <x:c r="IK16"/>
      <x:c r="IL16"/>
      <x:c r="IM16"/>
      <x:c r="IN16"/>
      <x:c r="IO16"/>
      <x:c r="IP16"/>
      <x:c r="IQ16"/>
      <x:c r="IR16"/>
      <x:c r="IS16"/>
      <x:c r="IT16"/>
      <x:c r="IU16"/>
      <x:c r="IV16"/>
      <x:c r="IW16"/>
      <x:c r="IX16"/>
      <x:c r="IY16"/>
      <x:c r="IZ16"/>
      <x:c r="JA16"/>
    </x:row>
    <x:row r="17">
      <x:c r="Z17" t="str">
        <x:f>Personas!B17</x:f>
        <x:v>Gerardo Esquivel Hernández</x:v>
      </x:c>
      <x:c r="AA17" t="n">
        <x:f>Decisiones!B17</x:f>
        <x:v>37659</x:v>
      </x:c>
      <x:c r="AD17" t="s">
        <x:v>642</x:v>
      </x:c>
      <x:c r="AE17">
        <x:v>43643</x:v>
      </x:c>
      <x:c r="AF17">
        <x:v>43734</x:v>
      </x:c>
      <x:c r="AG17">
        <x:v>43783</x:v>
      </x:c>
      <x:c r="AH17">
        <x:v>43818</x:v>
      </x:c>
      <x:c r="AI17">
        <x:v>44182</x:v>
      </x:c>
      <x:c r="AJ17">
        <x:v>44371</x:v>
      </x:c>
      <x:c r="AK17">
        <x:v>44420</x:v>
      </x:c>
      <x:c r="AL17">
        <x:v>44469</x:v>
      </x:c>
      <x:c r="AM17">
        <x:v>44511</x:v>
      </x:c>
      <x:c r="AN17">
        <x:v>44546</x:v>
      </x:c>
      <x:c r="AO17">
        <x:v>44602</x:v>
      </x:c>
      <x:c r="AP17">
        <x:v>44875</x:v>
      </x:c>
      <x:c r="AQ17">
        <x:v>44910</x:v>
      </x:c>
      <x:c r="AS17">
        <x:v>8.25</x:v>
      </x:c>
      <x:c r="AT17">
        <x:v>7.75</x:v>
      </x:c>
      <x:c r="AU17">
        <x:v>7.5</x:v>
      </x:c>
      <x:c r="AV17">
        <x:v>7.25</x:v>
      </x:c>
      <x:c r="AW17">
        <x:v>4.25</x:v>
      </x:c>
      <x:c r="AX17">
        <x:v>4.25</x:v>
      </x:c>
      <x:c r="AY17">
        <x:v>4.5</x:v>
      </x:c>
      <x:c r="AZ17">
        <x:v>4.75</x:v>
      </x:c>
      <x:c r="BA17">
        <x:v>5</x:v>
      </x:c>
      <x:c r="BB17">
        <x:v>5.5</x:v>
      </x:c>
      <x:c r="BC17">
        <x:v>6</x:v>
      </x:c>
      <x:c r="BD17">
        <x:v>10</x:v>
      </x:c>
      <x:c r="BE17">
        <x:v>10.5</x:v>
      </x:c>
      <x:c r="BG17">
        <x:v>0</x:v>
      </x:c>
      <x:c r="BH17">
        <x:v>-25</x:v>
      </x:c>
      <x:c r="BI17">
        <x:v>-25</x:v>
      </x:c>
      <x:c r="BJ17">
        <x:v>-25</x:v>
      </x:c>
      <x:c r="BK17">
        <x:v>0</x:v>
      </x:c>
      <x:c r="BL17">
        <x:v>25</x:v>
      </x:c>
      <x:c r="BM17">
        <x:v>25</x:v>
      </x:c>
      <x:c r="BN17">
        <x:v>25</x:v>
      </x:c>
      <x:c r="BO17">
        <x:v>25</x:v>
      </x:c>
      <x:c r="BP17">
        <x:v>50</x:v>
      </x:c>
      <x:c r="BQ17">
        <x:v>50</x:v>
      </x:c>
      <x:c r="BR17">
        <x:v>75</x:v>
      </x:c>
      <x:c r="BS17">
        <x:v>50</x:v>
      </x:c>
      <x:c r="BU17" t="s">
        <x:v>15</x:v>
      </x:c>
      <x:c r="BV17" t="s">
        <x:v>15</x:v>
      </x:c>
      <x:c r="BW17" t="s">
        <x:v>15</x:v>
      </x:c>
      <x:c r="BX17" t="s">
        <x:v>15</x:v>
      </x:c>
      <x:c r="BY17" t="s">
        <x:v>15</x:v>
      </x:c>
      <x:c r="BZ17" t="s">
        <x:v>15</x:v>
      </x:c>
      <x:c r="CA17" t="s">
        <x:v>15</x:v>
      </x:c>
      <x:c r="CB17" t="s">
        <x:v>15</x:v>
      </x:c>
      <x:c r="CC17" t="s">
        <x:v>15</x:v>
      </x:c>
      <x:c r="CD17" t="s">
        <x:v>15</x:v>
      </x:c>
      <x:c r="CE17" t="s">
        <x:v>15</x:v>
      </x:c>
      <x:c r="CF17" t="s">
        <x:v>15</x:v>
      </x:c>
      <x:c r="CG17" t="s">
        <x:v>15</x:v>
      </x:c>
      <x:c r="CI17" t="s">
        <x:v>730</x:v>
      </x:c>
      <x:c r="CJ17" t="s">
        <x:v>730</x:v>
      </x:c>
      <x:c r="CK17" t="s">
        <x:v>730</x:v>
      </x:c>
      <x:c r="CL17" t="s">
        <x:v>730</x:v>
      </x:c>
      <x:c r="CM17" t="s">
        <x:v>730</x:v>
      </x:c>
      <x:c r="CN17" t="s">
        <x:v>730</x:v>
      </x:c>
      <x:c r="CO17" t="s">
        <x:v>730</x:v>
      </x:c>
      <x:c r="CP17" t="s">
        <x:v>730</x:v>
      </x:c>
      <x:c r="CQ17" t="s">
        <x:v>730</x:v>
      </x:c>
      <x:c r="CR17" t="s">
        <x:v>730</x:v>
      </x:c>
      <x:c r="CS17" t="s">
        <x:v>730</x:v>
      </x:c>
      <x:c r="CT17" t="s">
        <x:v>730</x:v>
      </x:c>
      <x:c r="CU17" t="s">
        <x:v>730</x:v>
      </x:c>
      <x:c r="CW17" t="s">
        <x:v>642</x:v>
      </x:c>
      <x:c r="CX17" t="s">
        <x:v>440</x:v>
      </x:c>
      <x:c r="CY17" t="s">
        <x:v>443</x:v>
      </x:c>
      <x:c r="CZ17" t="s">
        <x:v>446</x:v>
      </x:c>
      <x:c r="DA17" t="s">
        <x:v>449</x:v>
      </x:c>
      <x:c r="DB17" t="s">
        <x:v>452</x:v>
      </x:c>
      <x:c r="DC17" t="s">
        <x:v>455</x:v>
      </x:c>
      <x:c r="DD17" t="s">
        <x:v>458</x:v>
      </x:c>
      <x:c r="DE17" t="s">
        <x:v>461</x:v>
      </x:c>
      <x:c r="DF17" t="s">
        <x:v>464</x:v>
      </x:c>
      <x:c r="DG17" t="s">
        <x:v>467</x:v>
      </x:c>
      <x:c r="DH17" t="s">
        <x:v>470</x:v>
      </x:c>
      <x:c r="DI17" t="s">
        <x:v>473</x:v>
      </x:c>
      <x:c r="DJ17" t="s">
        <x:v>476</x:v>
      </x:c>
      <x:c r="DK17" t="s">
        <x:v>479</x:v>
      </x:c>
      <x:c r="DL17" t="s">
        <x:v>482</x:v>
      </x:c>
      <x:c r="DM17" t="s">
        <x:v>485</x:v>
      </x:c>
      <x:c r="DN17" t="s">
        <x:v>488</x:v>
      </x:c>
      <x:c r="DO17" t="s">
        <x:v>491</x:v>
      </x:c>
      <x:c r="DP17" t="s">
        <x:v>494</x:v>
      </x:c>
      <x:c r="DQ17" t="s">
        <x:v>497</x:v>
      </x:c>
      <x:c r="DR17" t="s">
        <x:v>500</x:v>
      </x:c>
      <x:c r="DS17" t="s">
        <x:v>503</x:v>
      </x:c>
      <x:c r="DT17" t="s">
        <x:v>506</x:v>
      </x:c>
      <x:c r="DU17" t="s">
        <x:v>509</x:v>
      </x:c>
      <x:c r="DV17" t="s">
        <x:v>512</x:v>
      </x:c>
      <x:c r="DW17" t="s">
        <x:v>515</x:v>
      </x:c>
      <x:c r="DX17" t="s">
        <x:v>518</x:v>
      </x:c>
      <x:c r="DY17" t="s">
        <x:v>521</x:v>
      </x:c>
      <x:c r="DZ17" t="s">
        <x:v>524</x:v>
      </x:c>
      <x:c r="EA17" t="s">
        <x:v>527</x:v>
      </x:c>
      <x:c r="EB17" t="s">
        <x:v>530</x:v>
      </x:c>
      <x:c r="EC17" t="s">
        <x:v>533</x:v>
      </x:c>
      <x:c r="ED17" t="s">
        <x:v>536</x:v>
      </x:c>
      <x:c r="FP17" t="n">
        <x:v>43503</x:v>
      </x:c>
      <x:c r="FQ17" t="n">
        <x:v>43552</x:v>
      </x:c>
      <x:c r="FR17" t="n">
        <x:v>43601</x:v>
      </x:c>
      <x:c r="FS17" t="n">
        <x:v>43643</x:v>
      </x:c>
      <x:c r="FT17" t="n">
        <x:v>43692</x:v>
      </x:c>
      <x:c r="FU17" t="n">
        <x:v>43734</x:v>
      </x:c>
      <x:c r="FV17" t="n">
        <x:v>43783</x:v>
      </x:c>
      <x:c r="FW17" t="n">
        <x:v>43818</x:v>
      </x:c>
      <x:c r="FX17" t="n">
        <x:v>43874</x:v>
      </x:c>
      <x:c r="FY17" t="n">
        <x:v>43910</x:v>
      </x:c>
      <x:c r="FZ17" t="n">
        <x:v>43942</x:v>
      </x:c>
      <x:c r="GA17" t="n">
        <x:v>43965</x:v>
      </x:c>
      <x:c r="GB17" t="n">
        <x:v>44007</x:v>
      </x:c>
      <x:c r="GC17" t="n">
        <x:v>44056</x:v>
      </x:c>
      <x:c r="GD17" t="n">
        <x:v>44098</x:v>
      </x:c>
      <x:c r="GE17" t="n">
        <x:v>44147</x:v>
      </x:c>
      <x:c r="GF17" t="n">
        <x:v>44182</x:v>
      </x:c>
      <x:c r="GG17" t="n">
        <x:v>44238</x:v>
      </x:c>
      <x:c r="GH17" t="n">
        <x:v>44280</x:v>
      </x:c>
      <x:c r="GI17" t="n">
        <x:v>44329</x:v>
      </x:c>
      <x:c r="GJ17" t="n">
        <x:v>44371</x:v>
      </x:c>
      <x:c r="GK17" t="n">
        <x:v>44420</x:v>
      </x:c>
      <x:c r="GL17" t="n">
        <x:v>44469</x:v>
      </x:c>
      <x:c r="GM17" t="n">
        <x:v>44511</x:v>
      </x:c>
      <x:c r="GN17" t="str">
        <x:v>P016</x:v>
      </x:c>
      <x:c r="GO17" t="n">
        <x:v>43503</x:v>
      </x:c>
      <x:c r="GP17" t="n">
        <x:v>44910</x:v>
      </x:c>
      <x:c r="GQ17" t="n">
        <x:v>44693</x:v>
      </x:c>
      <x:c r="GR17" t="n">
        <x:v>44735</x:v>
      </x:c>
      <x:c r="GS17" t="n">
        <x:v>44784</x:v>
      </x:c>
      <x:c r="GT17" t="n">
        <x:v>44833</x:v>
      </x:c>
      <x:c r="GU17" t="n">
        <x:v>44875</x:v>
      </x:c>
      <x:c r="GV17" t="n">
        <x:v>44910</x:v>
      </x:c>
      <x:c r="GW17"/>
      <x:c r="GX17"/>
      <x:c r="GY17"/>
      <x:c r="GZ17"/>
      <x:c r="HA17"/>
      <x:c r="HB17"/>
      <x:c r="HC17"/>
      <x:c r="HD17"/>
      <x:c r="HE17"/>
      <x:c r="HF17"/>
      <x:c r="HG17"/>
      <x:c r="HH17"/>
      <x:c r="HI17"/>
      <x:c r="HJ17"/>
      <x:c r="HK17"/>
      <x:c r="HL17"/>
      <x:c r="HM17"/>
      <x:c r="HN17"/>
      <x:c r="HO17"/>
      <x:c r="HP17"/>
      <x:c r="HQ17"/>
      <x:c r="HR17"/>
      <x:c r="HS17"/>
      <x:c r="HT17"/>
      <x:c r="HU17"/>
      <x:c r="HV17"/>
      <x:c r="HW17"/>
      <x:c r="HX17"/>
      <x:c r="HY17"/>
      <x:c r="HZ17"/>
      <x:c r="IA17"/>
      <x:c r="IB17"/>
      <x:c r="IC17"/>
      <x:c r="ID17"/>
      <x:c r="IE17"/>
      <x:c r="IF17"/>
      <x:c r="IG17"/>
      <x:c r="IH17"/>
      <x:c r="II17"/>
      <x:c r="IJ17"/>
      <x:c r="IK17"/>
      <x:c r="IL17"/>
      <x:c r="IM17"/>
      <x:c r="IN17"/>
      <x:c r="IO17"/>
      <x:c r="IP17"/>
      <x:c r="IQ17"/>
      <x:c r="IR17"/>
      <x:c r="IS17"/>
      <x:c r="IT17"/>
      <x:c r="IU17"/>
      <x:c r="IV17"/>
      <x:c r="IW17"/>
      <x:c r="IX17"/>
      <x:c r="IY17"/>
      <x:c r="IZ17"/>
      <x:c r="JA17"/>
    </x:row>
    <x:row r="18" ht="16.049999237060547" customHeight="1">
      <x:c r="A18" s="95" t="s">
        <x:v>1123</x:v>
      </x:c>
      <x:c r="B18" s="96">
        <x:v>2008</x:v>
      </x:c>
      <x:c r="C18" s="96">
        <x:v>2010</x:v>
      </x:c>
      <x:c r="D18" s="96">
        <x:v>2012</x:v>
      </x:c>
      <x:c r="E18" s="96">
        <x:v>2014</x:v>
      </x:c>
      <x:c r="F18" s="96">
        <x:v>2016</x:v>
      </x:c>
      <x:c r="G18" s="96">
        <x:v>2018</x:v>
      </x:c>
      <x:c r="H18" s="96">
        <x:v>2020</x:v>
      </x:c>
      <x:c r="I18" s="96">
        <x:v>2022</x:v>
      </x:c>
      <x:c r="J18" s="96">
        <x:v>2024</x:v>
      </x:c>
      <x:c r="K18" s="96">
        <x:v>2026</x:v>
      </x:c>
      <x:c r="L18" s="96"/>
      <x:c r="M18" s="96"/>
      <x:c r="Z18" t="str">
        <x:f>Personas!B18</x:f>
        <x:v>Jonathan Heath Constable</x:v>
      </x:c>
      <x:c r="AA18" t="n">
        <x:f>Decisiones!B18</x:f>
        <x:v>37673</x:v>
      </x:c>
      <x:c r="AD18" t="s">
        <x:v>643</x:v>
      </x:c>
      <x:c r="AE18">
        <x:v>43734</x:v>
      </x:c>
      <x:c r="AF18">
        <x:v>43783</x:v>
      </x:c>
      <x:c r="AG18">
        <x:v>44147</x:v>
      </x:c>
      <x:c r="AH18">
        <x:v>44182</x:v>
      </x:c>
      <x:c r="AI18">
        <x:v>45512</x:v>
      </x:c>
      <x:c r="AJ18">
        <x:v>45561</x:v>
      </x:c>
      <x:c r="AK18">
        <x:v>45694</x:v>
      </x:c>
      <x:c r="AL18">
        <x:v>45834</x:v>
      </x:c>
      <x:c r="AM18">
        <x:v>45876</x:v>
      </x:c>
      <x:c r="AN18">
        <x:v>45925</x:v>
      </x:c>
      <x:c r="AO18">
        <x:v>45967</x:v>
      </x:c>
      <x:c r="AP18">
        <x:v>46009</x:v>
      </x:c>
      <x:c r="AQ18">
        <x:v>46107</x:v>
      </x:c>
      <x:c r="AR18">
        <x:v>46149</x:v>
      </x:c>
      <x:c r="AS18">
        <x:v>7.75</x:v>
      </x:c>
      <x:c r="AT18">
        <x:v>7.5</x:v>
      </x:c>
      <x:c r="AU18">
        <x:v>4.25</x:v>
      </x:c>
      <x:c r="AV18">
        <x:v>4.25</x:v>
      </x:c>
      <x:c r="AW18">
        <x:v>10.75</x:v>
      </x:c>
      <x:c r="AX18">
        <x:v>10.5</x:v>
      </x:c>
      <x:c r="AY18">
        <x:v>9.5</x:v>
      </x:c>
      <x:c r="AZ18">
        <x:v>8</x:v>
      </x:c>
      <x:c r="BA18">
        <x:v>7.75</x:v>
      </x:c>
      <x:c r="BB18">
        <x:v>7.5</x:v>
      </x:c>
      <x:c r="BC18">
        <x:v>7.25</x:v>
      </x:c>
      <x:c r="BD18">
        <x:v>7</x:v>
      </x:c>
      <x:c r="BE18">
        <x:v>6.75</x:v>
      </x:c>
      <x:c r="BF18">
        <x:v>6.5</x:v>
      </x:c>
      <x:c r="BG18">
        <x:v>-25</x:v>
      </x:c>
      <x:c r="BH18">
        <x:v>-25</x:v>
      </x:c>
      <x:c r="BI18">
        <x:v>0</x:v>
      </x:c>
      <x:c r="BJ18">
        <x:v>0</x:v>
      </x:c>
      <x:c r="BK18">
        <x:v>-25</x:v>
      </x:c>
      <x:c r="BL18">
        <x:v>-25</x:v>
      </x:c>
      <x:c r="BM18">
        <x:v>-50</x:v>
      </x:c>
      <x:c r="BN18">
        <x:v>-50</x:v>
      </x:c>
      <x:c r="BO18">
        <x:v>-25</x:v>
      </x:c>
      <x:c r="BP18">
        <x:v>-25</x:v>
      </x:c>
      <x:c r="BQ18">
        <x:v>-25</x:v>
      </x:c>
      <x:c r="BR18">
        <x:v>-25</x:v>
      </x:c>
      <x:c r="BS18">
        <x:v>-25</x:v>
      </x:c>
      <x:c r="BT18">
        <x:v>-25</x:v>
      </x:c>
      <x:c r="BU18" t="s">
        <x:v>15</x:v>
      </x:c>
      <x:c r="BV18" t="s">
        <x:v>15</x:v>
      </x:c>
      <x:c r="BW18" t="s">
        <x:v>15</x:v>
      </x:c>
      <x:c r="BX18" t="s">
        <x:v>15</x:v>
      </x:c>
      <x:c r="BY18" t="s">
        <x:v>15</x:v>
      </x:c>
      <x:c r="BZ18" t="s">
        <x:v>15</x:v>
      </x:c>
      <x:c r="CA18" t="s">
        <x:v>15</x:v>
      </x:c>
      <x:c r="CB18" t="s">
        <x:v>15</x:v>
      </x:c>
      <x:c r="CC18" t="s">
        <x:v>15</x:v>
      </x:c>
      <x:c r="CD18" t="s">
        <x:v>15</x:v>
      </x:c>
      <x:c r="CE18" t="s">
        <x:v>15</x:v>
      </x:c>
      <x:c r="CF18" t="s">
        <x:v>15</x:v>
      </x:c>
      <x:c r="CG18" t="s">
        <x:v>15</x:v>
      </x:c>
      <x:c r="CH18" t="s">
        <x:v>15</x:v>
      </x:c>
      <x:c r="CI18" t="s">
        <x:v>730</x:v>
      </x:c>
      <x:c r="CJ18" t="s">
        <x:v>730</x:v>
      </x:c>
      <x:c r="CK18" t="s">
        <x:v>730</x:v>
      </x:c>
      <x:c r="CL18" t="s">
        <x:v>730</x:v>
      </x:c>
      <x:c r="CM18" t="s">
        <x:v>722</x:v>
      </x:c>
      <x:c r="CN18" t="s">
        <x:v>722</x:v>
      </x:c>
      <x:c r="CO18" t="s">
        <x:v>722</x:v>
      </x:c>
      <x:c r="CP18" t="s">
        <x:v>722</x:v>
      </x:c>
      <x:c r="CQ18" t="s">
        <x:v>722</x:v>
      </x:c>
      <x:c r="CR18" t="s">
        <x:v>722</x:v>
      </x:c>
      <x:c r="CS18" t="s">
        <x:v>722</x:v>
      </x:c>
      <x:c r="CT18" t="s">
        <x:v>722</x:v>
      </x:c>
      <x:c r="CU18" t="s">
        <x:v>722</x:v>
      </x:c>
      <x:c r="CV18" t="s">
        <x:v>722</x:v>
      </x:c>
      <x:c r="CW18" t="s">
        <x:v>643</x:v>
      </x:c>
      <x:c r="CX18" t="s">
        <x:v>440</x:v>
      </x:c>
      <x:c r="CY18" t="s">
        <x:v>443</x:v>
      </x:c>
      <x:c r="CZ18" t="s">
        <x:v>446</x:v>
      </x:c>
      <x:c r="DA18" t="s">
        <x:v>449</x:v>
      </x:c>
      <x:c r="DB18" t="s">
        <x:v>452</x:v>
      </x:c>
      <x:c r="DC18" t="s">
        <x:v>455</x:v>
      </x:c>
      <x:c r="DD18" t="s">
        <x:v>458</x:v>
      </x:c>
      <x:c r="DE18" t="s">
        <x:v>461</x:v>
      </x:c>
      <x:c r="DF18" t="s">
        <x:v>464</x:v>
      </x:c>
      <x:c r="DG18" t="s">
        <x:v>467</x:v>
      </x:c>
      <x:c r="DH18" t="s">
        <x:v>470</x:v>
      </x:c>
      <x:c r="DI18" t="s">
        <x:v>473</x:v>
      </x:c>
      <x:c r="DJ18" t="s">
        <x:v>476</x:v>
      </x:c>
      <x:c r="DK18" t="s">
        <x:v>479</x:v>
      </x:c>
      <x:c r="DL18" t="s">
        <x:v>482</x:v>
      </x:c>
      <x:c r="DM18" t="s">
        <x:v>485</x:v>
      </x:c>
      <x:c r="DN18" t="s">
        <x:v>488</x:v>
      </x:c>
      <x:c r="DO18" t="s">
        <x:v>491</x:v>
      </x:c>
      <x:c r="DP18" t="s">
        <x:v>494</x:v>
      </x:c>
      <x:c r="DQ18" t="s">
        <x:v>497</x:v>
      </x:c>
      <x:c r="DR18" t="s">
        <x:v>500</x:v>
      </x:c>
      <x:c r="DS18" t="s">
        <x:v>503</x:v>
      </x:c>
      <x:c r="DT18" t="s">
        <x:v>506</x:v>
      </x:c>
      <x:c r="DU18" t="s">
        <x:v>509</x:v>
      </x:c>
      <x:c r="DV18" t="s">
        <x:v>512</x:v>
      </x:c>
      <x:c r="DW18" t="s">
        <x:v>515</x:v>
      </x:c>
      <x:c r="DX18" t="s">
        <x:v>518</x:v>
      </x:c>
      <x:c r="DY18" t="s">
        <x:v>521</x:v>
      </x:c>
      <x:c r="DZ18" t="s">
        <x:v>524</x:v>
      </x:c>
      <x:c r="EA18" t="s">
        <x:v>527</x:v>
      </x:c>
      <x:c r="EB18" t="s">
        <x:v>530</x:v>
      </x:c>
      <x:c r="EC18" t="s">
        <x:v>533</x:v>
      </x:c>
      <x:c r="ED18" t="s">
        <x:v>536</x:v>
      </x:c>
      <x:c r="EE18" t="s">
        <x:v>539</x:v>
      </x:c>
      <x:c r="EF18" t="s">
        <x:v>542</x:v>
      </x:c>
      <x:c r="EG18" t="s">
        <x:v>545</x:v>
      </x:c>
      <x:c r="EH18" t="s">
        <x:v>548</x:v>
      </x:c>
      <x:c r="EI18" t="s">
        <x:v>551</x:v>
      </x:c>
      <x:c r="EJ18" t="s">
        <x:v>554</x:v>
      </x:c>
      <x:c r="EK18" t="s">
        <x:v>557</x:v>
      </x:c>
      <x:c r="EL18" t="s">
        <x:v>560</x:v>
      </x:c>
      <x:c r="EM18" t="s">
        <x:v>563</x:v>
      </x:c>
      <x:c r="EN18" t="s">
        <x:v>566</x:v>
      </x:c>
      <x:c r="EO18" t="s">
        <x:v>569</x:v>
      </x:c>
      <x:c r="EP18" t="s">
        <x:v>572</x:v>
      </x:c>
      <x:c r="EQ18" t="s">
        <x:v>575</x:v>
      </x:c>
      <x:c r="ER18" t="s">
        <x:v>578</x:v>
      </x:c>
      <x:c r="ES18" t="s">
        <x:v>581</x:v>
      </x:c>
      <x:c r="ET18" t="s">
        <x:v>584</x:v>
      </x:c>
      <x:c r="EU18" t="s">
        <x:v>587</x:v>
      </x:c>
      <x:c r="EV18" t="s">
        <x:v>590</x:v>
      </x:c>
      <x:c r="EW18" t="s">
        <x:v>593</x:v>
      </x:c>
      <x:c r="EX18" t="s">
        <x:v>596</x:v>
      </x:c>
      <x:c r="EY18" t="s">
        <x:v>599</x:v>
      </x:c>
      <x:c r="EZ18" t="s">
        <x:v>602</x:v>
      </x:c>
      <x:c r="FA18" t="s">
        <x:v>605</x:v>
      </x:c>
      <x:c r="FB18" t="s">
        <x:v>608</x:v>
      </x:c>
      <x:c r="FC18" t="s">
        <x:v>611</x:v>
      </x:c>
      <x:c r="FD18" t="s">
        <x:v>614</x:v>
      </x:c>
      <x:c r="FE18" t="s">
        <x:v>617</x:v>
      </x:c>
      <x:c r="FF18" t="s">
        <x:v>620</x:v>
      </x:c>
      <x:c r="FP18" t="n">
        <x:v>43503</x:v>
      </x:c>
      <x:c r="FQ18" t="n">
        <x:v>43552</x:v>
      </x:c>
      <x:c r="FR18" t="n">
        <x:v>43601</x:v>
      </x:c>
      <x:c r="FS18" t="n">
        <x:v>43643</x:v>
      </x:c>
      <x:c r="FT18" t="n">
        <x:v>43692</x:v>
      </x:c>
      <x:c r="FU18" t="n">
        <x:v>43734</x:v>
      </x:c>
      <x:c r="FV18" t="n">
        <x:v>43783</x:v>
      </x:c>
      <x:c r="FW18" t="n">
        <x:v>43818</x:v>
      </x:c>
      <x:c r="FX18" t="n">
        <x:v>43874</x:v>
      </x:c>
      <x:c r="FY18" t="n">
        <x:v>43910</x:v>
      </x:c>
      <x:c r="FZ18" t="n">
        <x:v>43942</x:v>
      </x:c>
      <x:c r="GA18" t="n">
        <x:v>43965</x:v>
      </x:c>
      <x:c r="GB18" t="n">
        <x:v>44007</x:v>
      </x:c>
      <x:c r="GC18" t="n">
        <x:v>44056</x:v>
      </x:c>
      <x:c r="GD18" t="n">
        <x:v>44098</x:v>
      </x:c>
      <x:c r="GE18" t="n">
        <x:v>44147</x:v>
      </x:c>
      <x:c r="GF18" t="n">
        <x:v>44182</x:v>
      </x:c>
      <x:c r="GG18" t="n">
        <x:v>44238</x:v>
      </x:c>
      <x:c r="GH18" t="n">
        <x:v>44280</x:v>
      </x:c>
      <x:c r="GI18" t="n">
        <x:v>44329</x:v>
      </x:c>
      <x:c r="GJ18" t="n">
        <x:v>44371</x:v>
      </x:c>
      <x:c r="GK18" t="n">
        <x:v>44420</x:v>
      </x:c>
      <x:c r="GL18" t="n">
        <x:v>44469</x:v>
      </x:c>
      <x:c r="GM18" t="n">
        <x:v>44511</x:v>
      </x:c>
      <x:c r="GN18" t="str">
        <x:v>P017</x:v>
      </x:c>
      <x:c r="GO18" t="n">
        <x:v>43503</x:v>
      </x:c>
      <x:c r="GP18" t="n">
        <x:v>46198</x:v>
      </x:c>
      <x:c r="GQ18" t="n">
        <x:v>44693</x:v>
      </x:c>
      <x:c r="GR18" t="n">
        <x:v>44735</x:v>
      </x:c>
      <x:c r="GS18" t="n">
        <x:v>44784</x:v>
      </x:c>
      <x:c r="GT18" t="n">
        <x:v>44833</x:v>
      </x:c>
      <x:c r="GU18" t="n">
        <x:v>44875</x:v>
      </x:c>
      <x:c r="GV18" t="n">
        <x:v>44910</x:v>
      </x:c>
      <x:c r="GW18" t="n">
        <x:v>44966</x:v>
      </x:c>
      <x:c r="GX18" t="n">
        <x:v>45015</x:v>
      </x:c>
      <x:c r="GY18" t="n">
        <x:v>45064</x:v>
      </x:c>
      <x:c r="GZ18" t="n">
        <x:v>45099</x:v>
      </x:c>
      <x:c r="HA18" t="n">
        <x:v>45148</x:v>
      </x:c>
      <x:c r="HB18" t="n">
        <x:v>45197</x:v>
      </x:c>
      <x:c r="HC18" t="n">
        <x:v>45239</x:v>
      </x:c>
      <x:c r="HD18" t="n">
        <x:v>45274</x:v>
      </x:c>
      <x:c r="HE18" t="n">
        <x:v>45330</x:v>
      </x:c>
      <x:c r="HF18" t="n">
        <x:v>45372</x:v>
      </x:c>
      <x:c r="HG18" t="n">
        <x:v>45421</x:v>
      </x:c>
      <x:c r="HH18" t="n">
        <x:v>45470</x:v>
      </x:c>
      <x:c r="HI18" t="n">
        <x:v>45512</x:v>
      </x:c>
      <x:c r="HJ18" t="n">
        <x:v>45561</x:v>
      </x:c>
      <x:c r="HK18" t="n">
        <x:v>45610</x:v>
      </x:c>
      <x:c r="HL18" t="n">
        <x:v>45645</x:v>
      </x:c>
      <x:c r="HM18" t="n">
        <x:v>45694</x:v>
      </x:c>
      <x:c r="HN18" t="n">
        <x:v>45743</x:v>
      </x:c>
      <x:c r="HO18" t="n">
        <x:v>45792</x:v>
      </x:c>
      <x:c r="HP18" t="n">
        <x:v>45834</x:v>
      </x:c>
      <x:c r="HQ18" t="n">
        <x:v>45876</x:v>
      </x:c>
      <x:c r="HR18" t="n">
        <x:v>45925</x:v>
      </x:c>
      <x:c r="HS18" t="n">
        <x:v>45967</x:v>
      </x:c>
      <x:c r="HT18" t="n">
        <x:v>46009</x:v>
      </x:c>
      <x:c r="HU18" t="n">
        <x:v>46058</x:v>
      </x:c>
      <x:c r="HV18" t="n">
        <x:v>46107</x:v>
      </x:c>
      <x:c r="HW18" t="n">
        <x:v>46149</x:v>
      </x:c>
      <x:c r="HX18" t="n">
        <x:v>46198</x:v>
      </x:c>
      <x:c r="HY18" t="n">
        <x:v>46240</x:v>
      </x:c>
      <x:c r="HZ18"/>
      <x:c r="IA18"/>
      <x:c r="IB18"/>
      <x:c r="IC18"/>
      <x:c r="ID18"/>
      <x:c r="IE18"/>
      <x:c r="IF18"/>
      <x:c r="IG18"/>
      <x:c r="IH18"/>
      <x:c r="II18"/>
      <x:c r="IJ18"/>
      <x:c r="IK18"/>
      <x:c r="IL18"/>
      <x:c r="IM18"/>
      <x:c r="IN18"/>
      <x:c r="IO18"/>
      <x:c r="IP18"/>
      <x:c r="IQ18"/>
      <x:c r="IR18"/>
      <x:c r="IS18"/>
      <x:c r="IT18"/>
      <x:c r="IU18"/>
      <x:c r="IV18"/>
      <x:c r="IW18"/>
      <x:c r="IX18"/>
      <x:c r="IY18"/>
      <x:c r="IZ18"/>
      <x:c r="JA18"/>
    </x:row>
    <x:row r="19" ht="16.049999237060547" customHeight="1">
      <x:c r="B19" s="98" t="str">
        <x:f>IF(AND(2008&lt;=YEAR(INDEX($GP$2:$GP$30,MATCH($X$2,$GN$2:$GN$30,0))),2009&gt;=YEAR(INDEX($GO$2:$GO$30,MATCH($X$2,$GN$2:$GN$30,0)))),"●","")</x:f>
      </x:c>
      <x:c r="C19" s="98" t="str">
        <x:f>IF(AND(2010&lt;=YEAR(INDEX($GP$2:$GP$30,MATCH($X$2,$GN$2:$GN$30,0))),2011&gt;=YEAR(INDEX($GO$2:$GO$30,MATCH($X$2,$GN$2:$GN$30,0)))),"●","")</x:f>
      </x:c>
      <x:c r="D19" s="98" t="str">
        <x:f>IF(AND(2012&lt;=YEAR(INDEX($GP$2:$GP$30,MATCH($X$2,$GN$2:$GN$30,0))),2013&gt;=YEAR(INDEX($GO$2:$GO$30,MATCH($X$2,$GN$2:$GN$30,0)))),"●","")</x:f>
      </x:c>
      <x:c r="E19" s="98" t="str">
        <x:f>IF(AND(2014&lt;=YEAR(INDEX($GP$2:$GP$30,MATCH($X$2,$GN$2:$GN$30,0))),2015&gt;=YEAR(INDEX($GO$2:$GO$30,MATCH($X$2,$GN$2:$GN$30,0)))),"●","")</x:f>
      </x:c>
      <x:c r="F19" s="98" t="str">
        <x:f>IF(AND(2016&lt;=YEAR(INDEX($GP$2:$GP$30,MATCH($X$2,$GN$2:$GN$30,0))),2017&gt;=YEAR(INDEX($GO$2:$GO$30,MATCH($X$2,$GN$2:$GN$30,0)))),"●","")</x:f>
      </x:c>
      <x:c r="G19" s="98" t="str">
        <x:f>IF(AND(2018&lt;=YEAR(INDEX($GP$2:$GP$30,MATCH($X$2,$GN$2:$GN$30,0))),2019&gt;=YEAR(INDEX($GO$2:$GO$30,MATCH($X$2,$GN$2:$GN$30,0)))),"●","")</x:f>
        <x:v>●</x:v>
      </x:c>
      <x:c r="H19" s="98" t="str">
        <x:f>IF(AND(2020&lt;=YEAR(INDEX($GP$2:$GP$30,MATCH($X$2,$GN$2:$GN$30,0))),2021&gt;=YEAR(INDEX($GO$2:$GO$30,MATCH($X$2,$GN$2:$GN$30,0)))),"●","")</x:f>
        <x:v>●</x:v>
      </x:c>
      <x:c r="I19" s="98" t="str">
        <x:f>IF(AND(2022&lt;=YEAR(INDEX($GP$2:$GP$30,MATCH($X$2,$GN$2:$GN$30,0))),2023&gt;=YEAR(INDEX($GO$2:$GO$30,MATCH($X$2,$GN$2:$GN$30,0)))),"●","")</x:f>
        <x:v>●</x:v>
      </x:c>
      <x:c r="J19" s="98" t="str">
        <x:f>IF(AND(2024&lt;=YEAR(INDEX($GP$2:$GP$30,MATCH($X$2,$GN$2:$GN$30,0))),2025&gt;=YEAR(INDEX($GO$2:$GO$30,MATCH($X$2,$GN$2:$GN$30,0)))),"●","")</x:f>
        <x:v>●</x:v>
      </x:c>
      <x:c r="K19" s="98" t="str">
        <x:f>IF(AND(2026&lt;=YEAR(INDEX($GP$2:$GP$30,MATCH($X$2,$GN$2:$GN$30,0))),2027&gt;=YEAR(INDEX($GO$2:$GO$30,MATCH($X$2,$GN$2:$GN$30,0)))),"●","")</x:f>
        <x:v>●</x:v>
      </x:c>
      <x:c r="L19" s="98"/>
      <x:c r="M19" s="98"/>
      <x:c r="Z19" t="str">
        <x:f>Personas!B19</x:f>
        <x:v>Galia Borja Gómez</x:v>
      </x:c>
      <x:c r="AA19" t="n">
        <x:f>Decisiones!B19</x:f>
        <x:v>37708</x:v>
      </x:c>
      <x:c r="AD19" t="s">
        <x:v>661</x:v>
      </x:c>
      <x:c r="AE19">
        <x:v>44371</x:v>
      </x:c>
      <x:c r="AF19">
        <x:v>44420</x:v>
      </x:c>
      <x:c r="AG19">
        <x:v>46107</x:v>
      </x:c>
      <x:c r="AH19">
        <x:v>46149</x:v>
      </x:c>
      <x:c r="AS19">
        <x:v>4.25</x:v>
      </x:c>
      <x:c r="AT19">
        <x:v>4.5</x:v>
      </x:c>
      <x:c r="AU19">
        <x:v>6.75</x:v>
      </x:c>
      <x:c r="AV19">
        <x:v>6.5</x:v>
      </x:c>
      <x:c r="BG19">
        <x:v>25</x:v>
      </x:c>
      <x:c r="BH19">
        <x:v>25</x:v>
      </x:c>
      <x:c r="BI19">
        <x:v>-25</x:v>
      </x:c>
      <x:c r="BJ19">
        <x:v>-25</x:v>
      </x:c>
      <x:c r="BU19" t="s">
        <x:v>15</x:v>
      </x:c>
      <x:c r="BV19" t="s">
        <x:v>15</x:v>
      </x:c>
      <x:c r="BW19" t="s">
        <x:v>15</x:v>
      </x:c>
      <x:c r="BX19" t="s">
        <x:v>15</x:v>
      </x:c>
      <x:c r="CI19" t="s">
        <x:v>730</x:v>
      </x:c>
      <x:c r="CJ19" t="s">
        <x:v>730</x:v>
      </x:c>
      <x:c r="CK19" t="s">
        <x:v>722</x:v>
      </x:c>
      <x:c r="CL19" t="s">
        <x:v>722</x:v>
      </x:c>
      <x:c r="CW19" t="s">
        <x:v>661</x:v>
      </x:c>
      <x:c r="CX19" t="s">
        <x:v>491</x:v>
      </x:c>
      <x:c r="CY19" t="s">
        <x:v>494</x:v>
      </x:c>
      <x:c r="CZ19" t="s">
        <x:v>497</x:v>
      </x:c>
      <x:c r="DA19" t="s">
        <x:v>500</x:v>
      </x:c>
      <x:c r="DB19" t="s">
        <x:v>503</x:v>
      </x:c>
      <x:c r="DC19" t="s">
        <x:v>506</x:v>
      </x:c>
      <x:c r="DD19" t="s">
        <x:v>509</x:v>
      </x:c>
      <x:c r="DE19" t="s">
        <x:v>512</x:v>
      </x:c>
      <x:c r="DF19" t="s">
        <x:v>515</x:v>
      </x:c>
      <x:c r="DG19" t="s">
        <x:v>518</x:v>
      </x:c>
      <x:c r="DH19" t="s">
        <x:v>521</x:v>
      </x:c>
      <x:c r="DI19" t="s">
        <x:v>524</x:v>
      </x:c>
      <x:c r="DJ19" t="s">
        <x:v>527</x:v>
      </x:c>
      <x:c r="DK19" t="s">
        <x:v>530</x:v>
      </x:c>
      <x:c r="DL19" t="s">
        <x:v>533</x:v>
      </x:c>
      <x:c r="DM19" t="s">
        <x:v>536</x:v>
      </x:c>
      <x:c r="DN19" t="s">
        <x:v>539</x:v>
      </x:c>
      <x:c r="DO19" t="s">
        <x:v>542</x:v>
      </x:c>
      <x:c r="DP19" t="s">
        <x:v>545</x:v>
      </x:c>
      <x:c r="DQ19" t="s">
        <x:v>548</x:v>
      </x:c>
      <x:c r="DR19" t="s">
        <x:v>551</x:v>
      </x:c>
      <x:c r="DS19" t="s">
        <x:v>554</x:v>
      </x:c>
      <x:c r="DT19" t="s">
        <x:v>557</x:v>
      </x:c>
      <x:c r="DU19" t="s">
        <x:v>560</x:v>
      </x:c>
      <x:c r="DV19" t="s">
        <x:v>563</x:v>
      </x:c>
      <x:c r="DW19" t="s">
        <x:v>566</x:v>
      </x:c>
      <x:c r="DX19" t="s">
        <x:v>569</x:v>
      </x:c>
      <x:c r="DY19" t="s">
        <x:v>572</x:v>
      </x:c>
      <x:c r="DZ19" t="s">
        <x:v>575</x:v>
      </x:c>
      <x:c r="EA19" t="s">
        <x:v>578</x:v>
      </x:c>
      <x:c r="EB19" t="s">
        <x:v>581</x:v>
      </x:c>
      <x:c r="EC19" t="s">
        <x:v>584</x:v>
      </x:c>
      <x:c r="ED19" t="s">
        <x:v>587</x:v>
      </x:c>
      <x:c r="EE19" t="s">
        <x:v>590</x:v>
      </x:c>
      <x:c r="EF19" t="s">
        <x:v>593</x:v>
      </x:c>
      <x:c r="EG19" t="s">
        <x:v>596</x:v>
      </x:c>
      <x:c r="EH19" t="s">
        <x:v>599</x:v>
      </x:c>
      <x:c r="EI19" t="s">
        <x:v>602</x:v>
      </x:c>
      <x:c r="EJ19" t="s">
        <x:v>605</x:v>
      </x:c>
      <x:c r="EK19" t="s">
        <x:v>608</x:v>
      </x:c>
      <x:c r="EL19" t="s">
        <x:v>611</x:v>
      </x:c>
      <x:c r="EM19" t="s">
        <x:v>614</x:v>
      </x:c>
      <x:c r="EN19" t="s">
        <x:v>617</x:v>
      </x:c>
      <x:c r="EO19" t="s">
        <x:v>620</x:v>
      </x:c>
      <x:c r="FP19" t="n">
        <x:v>44238</x:v>
      </x:c>
      <x:c r="FQ19" t="n">
        <x:v>44280</x:v>
      </x:c>
      <x:c r="FR19" t="n">
        <x:v>44329</x:v>
      </x:c>
      <x:c r="FS19" t="n">
        <x:v>44371</x:v>
      </x:c>
      <x:c r="FT19" t="n">
        <x:v>44420</x:v>
      </x:c>
      <x:c r="FU19" t="n">
        <x:v>44469</x:v>
      </x:c>
      <x:c r="FV19" t="n">
        <x:v>44511</x:v>
      </x:c>
      <x:c r="FW19" t="n">
        <x:v>44546</x:v>
      </x:c>
      <x:c r="FX19" t="n">
        <x:v>44602</x:v>
      </x:c>
      <x:c r="FY19" t="n">
        <x:v>44644</x:v>
      </x:c>
      <x:c r="FZ19" t="n">
        <x:v>44693</x:v>
      </x:c>
      <x:c r="GA19" t="n">
        <x:v>44735</x:v>
      </x:c>
      <x:c r="GB19" t="n">
        <x:v>44784</x:v>
      </x:c>
      <x:c r="GC19" t="n">
        <x:v>44833</x:v>
      </x:c>
      <x:c r="GD19" t="n">
        <x:v>44875</x:v>
      </x:c>
      <x:c r="GE19" t="n">
        <x:v>44910</x:v>
      </x:c>
      <x:c r="GF19" t="n">
        <x:v>44966</x:v>
      </x:c>
      <x:c r="GG19" t="n">
        <x:v>45015</x:v>
      </x:c>
      <x:c r="GH19" t="n">
        <x:v>45064</x:v>
      </x:c>
      <x:c r="GI19" t="n">
        <x:v>45099</x:v>
      </x:c>
      <x:c r="GJ19" t="n">
        <x:v>45148</x:v>
      </x:c>
      <x:c r="GK19" t="n">
        <x:v>45197</x:v>
      </x:c>
      <x:c r="GL19" t="n">
        <x:v>45239</x:v>
      </x:c>
      <x:c r="GM19" t="n">
        <x:v>45274</x:v>
      </x:c>
      <x:c r="GN19" t="str">
        <x:v>P018</x:v>
      </x:c>
      <x:c r="GO19" t="n">
        <x:v>44238</x:v>
      </x:c>
      <x:c r="GP19" t="n">
        <x:v>46198</x:v>
      </x:c>
      <x:c r="GQ19" t="n">
        <x:v>45470</x:v>
      </x:c>
      <x:c r="GR19" t="n">
        <x:v>45512</x:v>
      </x:c>
      <x:c r="GS19" t="n">
        <x:v>45561</x:v>
      </x:c>
      <x:c r="GT19" t="n">
        <x:v>45610</x:v>
      </x:c>
      <x:c r="GU19" t="n">
        <x:v>45645</x:v>
      </x:c>
      <x:c r="GV19" t="n">
        <x:v>45694</x:v>
      </x:c>
      <x:c r="GW19" t="n">
        <x:v>45743</x:v>
      </x:c>
      <x:c r="GX19" t="n">
        <x:v>45792</x:v>
      </x:c>
      <x:c r="GY19" t="n">
        <x:v>45834</x:v>
      </x:c>
      <x:c r="GZ19" t="n">
        <x:v>45876</x:v>
      </x:c>
      <x:c r="HA19" t="n">
        <x:v>45925</x:v>
      </x:c>
      <x:c r="HB19" t="n">
        <x:v>45967</x:v>
      </x:c>
      <x:c r="HC19" t="n">
        <x:v>46009</x:v>
      </x:c>
      <x:c r="HD19" t="n">
        <x:v>46058</x:v>
      </x:c>
      <x:c r="HE19" t="n">
        <x:v>46107</x:v>
      </x:c>
      <x:c r="HF19" t="n">
        <x:v>46149</x:v>
      </x:c>
      <x:c r="HG19" t="n">
        <x:v>46198</x:v>
      </x:c>
      <x:c r="HH19" t="n">
        <x:v>46240</x:v>
      </x:c>
      <x:c r="HI19"/>
      <x:c r="HJ19"/>
      <x:c r="HK19"/>
      <x:c r="HL19"/>
      <x:c r="HM19"/>
      <x:c r="HN19"/>
      <x:c r="HO19"/>
      <x:c r="HP19"/>
      <x:c r="HQ19"/>
      <x:c r="HR19"/>
      <x:c r="HS19"/>
      <x:c r="HT19"/>
      <x:c r="HU19"/>
      <x:c r="HV19"/>
      <x:c r="HW19"/>
      <x:c r="HX19"/>
      <x:c r="HY19"/>
      <x:c r="HZ19"/>
      <x:c r="IA19"/>
      <x:c r="IB19"/>
      <x:c r="IC19"/>
      <x:c r="ID19"/>
      <x:c r="IE19"/>
      <x:c r="IF19"/>
      <x:c r="IG19"/>
      <x:c r="IH19"/>
      <x:c r="II19"/>
      <x:c r="IJ19"/>
      <x:c r="IK19"/>
      <x:c r="IL19"/>
      <x:c r="IM19"/>
      <x:c r="IN19"/>
      <x:c r="IO19"/>
      <x:c r="IP19"/>
      <x:c r="IQ19"/>
      <x:c r="IR19"/>
      <x:c r="IS19"/>
      <x:c r="IT19"/>
      <x:c r="IU19"/>
      <x:c r="IV19"/>
      <x:c r="IW19"/>
      <x:c r="IX19"/>
      <x:c r="IY19"/>
      <x:c r="IZ19"/>
      <x:c r="JA19"/>
    </x:row>
    <x:row r="20">
      <x:c r="Z20" t="str">
        <x:f>Personas!B20</x:f>
        <x:v>Victoria Rodríguez Ceja</x:v>
      </x:c>
      <x:c r="AA20" t="n">
        <x:f>Decisiones!B20</x:f>
        <x:v>37736</x:v>
      </x:c>
      <x:c r="AD20" t="s">
        <x:v>670</x:v>
      </x:c>
      <x:c r="CW20" t="s">
        <x:v>670</x:v>
      </x:c>
      <x:c r="CX20" t="s">
        <x:v>515</x:v>
      </x:c>
      <x:c r="CY20" t="s">
        <x:v>518</x:v>
      </x:c>
      <x:c r="CZ20" t="s">
        <x:v>521</x:v>
      </x:c>
      <x:c r="DA20" t="s">
        <x:v>524</x:v>
      </x:c>
      <x:c r="DB20" t="s">
        <x:v>527</x:v>
      </x:c>
      <x:c r="DC20" t="s">
        <x:v>530</x:v>
      </x:c>
      <x:c r="DD20" t="s">
        <x:v>533</x:v>
      </x:c>
      <x:c r="DE20" t="s">
        <x:v>536</x:v>
      </x:c>
      <x:c r="DF20" t="s">
        <x:v>539</x:v>
      </x:c>
      <x:c r="DG20" t="s">
        <x:v>542</x:v>
      </x:c>
      <x:c r="DH20" t="s">
        <x:v>545</x:v>
      </x:c>
      <x:c r="DI20" t="s">
        <x:v>548</x:v>
      </x:c>
      <x:c r="DJ20" t="s">
        <x:v>551</x:v>
      </x:c>
      <x:c r="DK20" t="s">
        <x:v>554</x:v>
      </x:c>
      <x:c r="DL20" t="s">
        <x:v>557</x:v>
      </x:c>
      <x:c r="DM20" t="s">
        <x:v>560</x:v>
      </x:c>
      <x:c r="DN20" t="s">
        <x:v>563</x:v>
      </x:c>
      <x:c r="DO20" t="s">
        <x:v>566</x:v>
      </x:c>
      <x:c r="DP20" t="s">
        <x:v>569</x:v>
      </x:c>
      <x:c r="DQ20" t="s">
        <x:v>572</x:v>
      </x:c>
      <x:c r="DR20" t="s">
        <x:v>575</x:v>
      </x:c>
      <x:c r="DS20" t="s">
        <x:v>578</x:v>
      </x:c>
      <x:c r="DT20" t="s">
        <x:v>581</x:v>
      </x:c>
      <x:c r="DU20" t="s">
        <x:v>584</x:v>
      </x:c>
      <x:c r="DV20" t="s">
        <x:v>587</x:v>
      </x:c>
      <x:c r="DW20" t="s">
        <x:v>590</x:v>
      </x:c>
      <x:c r="DX20" t="s">
        <x:v>593</x:v>
      </x:c>
      <x:c r="DY20" t="s">
        <x:v>596</x:v>
      </x:c>
      <x:c r="DZ20" t="s">
        <x:v>599</x:v>
      </x:c>
      <x:c r="EA20" t="s">
        <x:v>602</x:v>
      </x:c>
      <x:c r="EB20" t="s">
        <x:v>605</x:v>
      </x:c>
      <x:c r="EC20" t="s">
        <x:v>608</x:v>
      </x:c>
      <x:c r="ED20" t="s">
        <x:v>611</x:v>
      </x:c>
      <x:c r="EE20" t="s">
        <x:v>614</x:v>
      </x:c>
      <x:c r="EF20" t="s">
        <x:v>617</x:v>
      </x:c>
      <x:c r="EG20" t="s">
        <x:v>620</x:v>
      </x:c>
      <x:c r="FP20" t="n">
        <x:v>44602</x:v>
      </x:c>
      <x:c r="FQ20" t="n">
        <x:v>44644</x:v>
      </x:c>
      <x:c r="FR20" t="n">
        <x:v>44693</x:v>
      </x:c>
      <x:c r="FS20" t="n">
        <x:v>44735</x:v>
      </x:c>
      <x:c r="FT20" t="n">
        <x:v>44784</x:v>
      </x:c>
      <x:c r="FU20" t="n">
        <x:v>44833</x:v>
      </x:c>
      <x:c r="FV20" t="n">
        <x:v>44875</x:v>
      </x:c>
      <x:c r="FW20" t="n">
        <x:v>44910</x:v>
      </x:c>
      <x:c r="FX20" t="n">
        <x:v>44966</x:v>
      </x:c>
      <x:c r="FY20" t="n">
        <x:v>45015</x:v>
      </x:c>
      <x:c r="FZ20" t="n">
        <x:v>45064</x:v>
      </x:c>
      <x:c r="GA20" t="n">
        <x:v>45099</x:v>
      </x:c>
      <x:c r="GB20" t="n">
        <x:v>45148</x:v>
      </x:c>
      <x:c r="GC20" t="n">
        <x:v>45197</x:v>
      </x:c>
      <x:c r="GD20" t="n">
        <x:v>45239</x:v>
      </x:c>
      <x:c r="GE20" t="n">
        <x:v>45274</x:v>
      </x:c>
      <x:c r="GF20" t="n">
        <x:v>45330</x:v>
      </x:c>
      <x:c r="GG20" t="n">
        <x:v>45372</x:v>
      </x:c>
      <x:c r="GH20" t="n">
        <x:v>45421</x:v>
      </x:c>
      <x:c r="GI20" t="n">
        <x:v>45470</x:v>
      </x:c>
      <x:c r="GJ20" t="n">
        <x:v>45512</x:v>
      </x:c>
      <x:c r="GK20" t="n">
        <x:v>45561</x:v>
      </x:c>
      <x:c r="GL20" t="n">
        <x:v>45610</x:v>
      </x:c>
      <x:c r="GM20" t="n">
        <x:v>45645</x:v>
      </x:c>
      <x:c r="GN20" t="str">
        <x:v>P019</x:v>
      </x:c>
      <x:c r="GO20" t="n">
        <x:v>44602</x:v>
      </x:c>
      <x:c r="GP20" t="n">
        <x:v>46198</x:v>
      </x:c>
      <x:c r="GQ20" t="n">
        <x:v>45834</x:v>
      </x:c>
      <x:c r="GR20" t="n">
        <x:v>45876</x:v>
      </x:c>
      <x:c r="GS20" t="n">
        <x:v>45925</x:v>
      </x:c>
      <x:c r="GT20" t="n">
        <x:v>45967</x:v>
      </x:c>
      <x:c r="GU20" t="n">
        <x:v>46009</x:v>
      </x:c>
      <x:c r="GV20" t="n">
        <x:v>46058</x:v>
      </x:c>
      <x:c r="GW20" t="n">
        <x:v>46107</x:v>
      </x:c>
      <x:c r="GX20" t="n">
        <x:v>46149</x:v>
      </x:c>
      <x:c r="GY20" t="n">
        <x:v>46198</x:v>
      </x:c>
      <x:c r="GZ20" t="n">
        <x:v>46240</x:v>
      </x:c>
      <x:c r="HA20"/>
      <x:c r="HB20"/>
      <x:c r="HC20"/>
      <x:c r="HD20"/>
      <x:c r="HE20"/>
      <x:c r="HF20"/>
      <x:c r="HG20"/>
      <x:c r="HH20"/>
      <x:c r="HI20"/>
      <x:c r="HJ20"/>
      <x:c r="HK20"/>
      <x:c r="HL20"/>
      <x:c r="HM20"/>
      <x:c r="HN20"/>
      <x:c r="HO20"/>
      <x:c r="HP20"/>
      <x:c r="HQ20"/>
      <x:c r="HR20"/>
      <x:c r="HS20"/>
      <x:c r="HT20"/>
      <x:c r="HU20"/>
      <x:c r="HV20"/>
      <x:c r="HW20"/>
      <x:c r="HX20"/>
      <x:c r="HY20"/>
      <x:c r="HZ20"/>
      <x:c r="IA20"/>
      <x:c r="IB20"/>
      <x:c r="IC20"/>
      <x:c r="ID20"/>
      <x:c r="IE20"/>
      <x:c r="IF20"/>
      <x:c r="IG20"/>
      <x:c r="IH20"/>
      <x:c r="II20"/>
      <x:c r="IJ20"/>
      <x:c r="IK20"/>
      <x:c r="IL20"/>
      <x:c r="IM20"/>
      <x:c r="IN20"/>
      <x:c r="IO20"/>
      <x:c r="IP20"/>
      <x:c r="IQ20"/>
      <x:c r="IR20"/>
      <x:c r="IS20"/>
      <x:c r="IT20"/>
      <x:c r="IU20"/>
      <x:c r="IV20"/>
      <x:c r="IW20"/>
      <x:c r="IX20"/>
      <x:c r="IY20"/>
      <x:c r="IZ20"/>
      <x:c r="JA20"/>
    </x:row>
    <x:row r="21">
      <x:c r="Z21" t="str">
        <x:f>Personas!B21</x:f>
        <x:v>Omar Mejía Castelazo</x:v>
      </x:c>
      <x:c r="AA21" t="n">
        <x:f>Decisiones!B21</x:f>
        <x:v>37764</x:v>
      </x:c>
      <x:c r="AD21" t="s">
        <x:v>679</x:v>
      </x:c>
      <x:c r="AE21">
        <x:v>45470</x:v>
      </x:c>
      <x:c r="AS21">
        <x:v>11</x:v>
      </x:c>
      <x:c r="BG21">
        <x:v>0</x:v>
      </x:c>
      <x:c r="BU21" t="s">
        <x:v>15</x:v>
      </x:c>
      <x:c r="CI21" t="s">
        <x:v>730</x:v>
      </x:c>
      <x:c r="CW21" t="s">
        <x:v>679</x:v>
      </x:c>
      <x:c r="CX21" t="s">
        <x:v>539</x:v>
      </x:c>
      <x:c r="CY21" t="s">
        <x:v>542</x:v>
      </x:c>
      <x:c r="CZ21" t="s">
        <x:v>545</x:v>
      </x:c>
      <x:c r="DA21" t="s">
        <x:v>548</x:v>
      </x:c>
      <x:c r="DB21" t="s">
        <x:v>551</x:v>
      </x:c>
      <x:c r="DC21" t="s">
        <x:v>554</x:v>
      </x:c>
      <x:c r="DD21" t="s">
        <x:v>557</x:v>
      </x:c>
      <x:c r="DE21" t="s">
        <x:v>560</x:v>
      </x:c>
      <x:c r="DF21" t="s">
        <x:v>563</x:v>
      </x:c>
      <x:c r="DG21" t="s">
        <x:v>566</x:v>
      </x:c>
      <x:c r="DH21" t="s">
        <x:v>569</x:v>
      </x:c>
      <x:c r="DI21" t="s">
        <x:v>572</x:v>
      </x:c>
      <x:c r="DJ21" t="s">
        <x:v>575</x:v>
      </x:c>
      <x:c r="DK21" t="s">
        <x:v>578</x:v>
      </x:c>
      <x:c r="DL21" t="s">
        <x:v>581</x:v>
      </x:c>
      <x:c r="DM21" t="s">
        <x:v>584</x:v>
      </x:c>
      <x:c r="DN21" t="s">
        <x:v>587</x:v>
      </x:c>
      <x:c r="DO21" t="s">
        <x:v>590</x:v>
      </x:c>
      <x:c r="DP21" t="s">
        <x:v>593</x:v>
      </x:c>
      <x:c r="DQ21" t="s">
        <x:v>596</x:v>
      </x:c>
      <x:c r="DR21" t="s">
        <x:v>599</x:v>
      </x:c>
      <x:c r="DS21" t="s">
        <x:v>602</x:v>
      </x:c>
      <x:c r="DT21" t="s">
        <x:v>605</x:v>
      </x:c>
      <x:c r="DU21" t="s">
        <x:v>608</x:v>
      </x:c>
      <x:c r="DV21" t="s">
        <x:v>611</x:v>
      </x:c>
      <x:c r="DW21" t="s">
        <x:v>614</x:v>
      </x:c>
      <x:c r="DX21" t="s">
        <x:v>617</x:v>
      </x:c>
      <x:c r="DY21" t="s">
        <x:v>620</x:v>
      </x:c>
      <x:c r="FP21" t="n">
        <x:v>44966</x:v>
      </x:c>
      <x:c r="FQ21" t="n">
        <x:v>45015</x:v>
      </x:c>
      <x:c r="FR21" t="n">
        <x:v>45064</x:v>
      </x:c>
      <x:c r="FS21" t="n">
        <x:v>45099</x:v>
      </x:c>
      <x:c r="FT21" t="n">
        <x:v>45148</x:v>
      </x:c>
      <x:c r="FU21" t="n">
        <x:v>45197</x:v>
      </x:c>
      <x:c r="FV21" t="n">
        <x:v>45239</x:v>
      </x:c>
      <x:c r="FW21" t="n">
        <x:v>45274</x:v>
      </x:c>
      <x:c r="FX21" t="n">
        <x:v>45330</x:v>
      </x:c>
      <x:c r="FY21" t="n">
        <x:v>45372</x:v>
      </x:c>
      <x:c r="FZ21" t="n">
        <x:v>45421</x:v>
      </x:c>
      <x:c r="GA21" t="n">
        <x:v>45470</x:v>
      </x:c>
      <x:c r="GB21" t="n">
        <x:v>45512</x:v>
      </x:c>
      <x:c r="GC21" t="n">
        <x:v>45561</x:v>
      </x:c>
      <x:c r="GD21" t="n">
        <x:v>45610</x:v>
      </x:c>
      <x:c r="GE21" t="n">
        <x:v>45645</x:v>
      </x:c>
      <x:c r="GF21" t="n">
        <x:v>45694</x:v>
      </x:c>
      <x:c r="GG21" t="n">
        <x:v>45743</x:v>
      </x:c>
      <x:c r="GH21" t="n">
        <x:v>45792</x:v>
      </x:c>
      <x:c r="GI21" t="n">
        <x:v>45834</x:v>
      </x:c>
      <x:c r="GJ21" t="n">
        <x:v>45876</x:v>
      </x:c>
      <x:c r="GK21" t="n">
        <x:v>45925</x:v>
      </x:c>
      <x:c r="GL21" t="n">
        <x:v>45967</x:v>
      </x:c>
      <x:c r="GM21" t="n">
        <x:v>46009</x:v>
      </x:c>
      <x:c r="GN21" t="str">
        <x:v>P020</x:v>
      </x:c>
      <x:c r="GO21" t="n">
        <x:v>44966</x:v>
      </x:c>
      <x:c r="GP21" t="n">
        <x:v>46198</x:v>
      </x:c>
      <x:c r="GQ21" t="n">
        <x:v>46198</x:v>
      </x:c>
      <x:c r="GR21" t="n">
        <x:v>46240</x:v>
      </x:c>
      <x:c r="GS21"/>
      <x:c r="GT21"/>
      <x:c r="GU21"/>
      <x:c r="GV21"/>
      <x:c r="GW21"/>
      <x:c r="GX21"/>
      <x:c r="GY21"/>
      <x:c r="GZ21"/>
      <x:c r="HA21"/>
      <x:c r="HB21"/>
      <x:c r="HC21"/>
      <x:c r="HD21"/>
      <x:c r="HE21"/>
      <x:c r="HF21"/>
      <x:c r="HG21"/>
      <x:c r="HH21"/>
      <x:c r="HI21"/>
      <x:c r="HJ21"/>
      <x:c r="HK21"/>
      <x:c r="HL21"/>
      <x:c r="HM21"/>
      <x:c r="HN21"/>
      <x:c r="HO21"/>
      <x:c r="HP21"/>
      <x:c r="HQ21"/>
      <x:c r="HR21"/>
      <x:c r="HS21"/>
      <x:c r="HT21"/>
      <x:c r="HU21"/>
      <x:c r="HV21"/>
      <x:c r="HW21"/>
      <x:c r="HX21"/>
      <x:c r="HY21"/>
      <x:c r="HZ21"/>
      <x:c r="IA21"/>
      <x:c r="IB21"/>
      <x:c r="IC21"/>
      <x:c r="ID21"/>
      <x:c r="IE21"/>
      <x:c r="IF21"/>
      <x:c r="IG21"/>
      <x:c r="IH21"/>
      <x:c r="II21"/>
      <x:c r="IJ21"/>
      <x:c r="IK21"/>
      <x:c r="IL21"/>
      <x:c r="IM21"/>
      <x:c r="IN21"/>
      <x:c r="IO21"/>
      <x:c r="IP21"/>
      <x:c r="IQ21"/>
      <x:c r="IR21"/>
      <x:c r="IS21"/>
      <x:c r="IT21"/>
      <x:c r="IU21"/>
      <x:c r="IV21"/>
      <x:c r="IW21"/>
      <x:c r="IX21"/>
      <x:c r="IY21"/>
      <x:c r="IZ21"/>
      <x:c r="JA21"/>
    </x:row>
    <x:row r="22">
      <x:c r="Z22" t="str">
        <x:f>Personas!B22</x:f>
        <x:v>José Gabriel Cuadra García</x:v>
      </x:c>
      <x:c r="AA22" t="n">
        <x:f>Decisiones!B22</x:f>
        <x:v>37799</x:v>
      </x:c>
      <x:c r="AD22" t="s">
        <x:v>696</x:v>
      </x:c>
      <x:c r="CW22" t="s">
        <x:v>696</x:v>
      </x:c>
      <x:c r="CX22" t="s">
        <x:v>587</x:v>
      </x:c>
      <x:c r="CY22" t="s">
        <x:v>590</x:v>
      </x:c>
      <x:c r="CZ22" t="s">
        <x:v>593</x:v>
      </x:c>
      <x:c r="DA22" t="s">
        <x:v>596</x:v>
      </x:c>
      <x:c r="DB22" t="s">
        <x:v>599</x:v>
      </x:c>
      <x:c r="DC22" t="s">
        <x:v>602</x:v>
      </x:c>
      <x:c r="DD22" t="s">
        <x:v>605</x:v>
      </x:c>
      <x:c r="DE22" t="s">
        <x:v>608</x:v>
      </x:c>
      <x:c r="DF22" t="s">
        <x:v>611</x:v>
      </x:c>
      <x:c r="DG22" t="s">
        <x:v>614</x:v>
      </x:c>
      <x:c r="DH22" t="s">
        <x:v>617</x:v>
      </x:c>
      <x:c r="DI22" t="s">
        <x:v>620</x:v>
      </x:c>
      <x:c r="FP22" t="n">
        <x:v>45694</x:v>
      </x:c>
      <x:c r="FQ22" t="n">
        <x:v>45743</x:v>
      </x:c>
      <x:c r="FR22" t="n">
        <x:v>45792</x:v>
      </x:c>
      <x:c r="FS22" t="n">
        <x:v>45834</x:v>
      </x:c>
      <x:c r="FT22" t="n">
        <x:v>45876</x:v>
      </x:c>
      <x:c r="FU22" t="n">
        <x:v>45925</x:v>
      </x:c>
      <x:c r="FV22" t="n">
        <x:v>45967</x:v>
      </x:c>
      <x:c r="FW22" t="n">
        <x:v>46009</x:v>
      </x:c>
      <x:c r="FX22" t="n">
        <x:v>46058</x:v>
      </x:c>
      <x:c r="FY22" t="n">
        <x:v>46107</x:v>
      </x:c>
      <x:c r="FZ22" t="n">
        <x:v>46149</x:v>
      </x:c>
      <x:c r="GA22" t="n">
        <x:v>46198</x:v>
      </x:c>
      <x:c r="GB22" t="n">
        <x:v>46240</x:v>
      </x:c>
      <x:c r="GC22"/>
      <x:c r="GD22"/>
      <x:c r="GE22"/>
      <x:c r="GF22"/>
      <x:c r="GG22"/>
      <x:c r="GH22"/>
      <x:c r="GI22"/>
      <x:c r="GJ22"/>
      <x:c r="GK22"/>
      <x:c r="GL22"/>
      <x:c r="GM22"/>
      <x:c r="GN22" t="str">
        <x:v>P021</x:v>
      </x:c>
      <x:c r="GO22" t="n">
        <x:v>45694</x:v>
      </x:c>
      <x:c r="GP22" t="n">
        <x:v>46198</x:v>
      </x:c>
      <x:c r="GQ22"/>
      <x:c r="GR22"/>
      <x:c r="GS22"/>
      <x:c r="GT22"/>
      <x:c r="GU22"/>
      <x:c r="GV22"/>
      <x:c r="GW22"/>
      <x:c r="GX22"/>
      <x:c r="GY22"/>
      <x:c r="GZ22"/>
      <x:c r="HA22"/>
      <x:c r="HB22"/>
      <x:c r="HC22"/>
      <x:c r="HD22"/>
      <x:c r="HE22"/>
      <x:c r="HF22"/>
      <x:c r="HG22"/>
      <x:c r="HH22"/>
      <x:c r="HI22"/>
      <x:c r="HJ22"/>
      <x:c r="HK22"/>
      <x:c r="HL22"/>
      <x:c r="HM22"/>
      <x:c r="HN22"/>
      <x:c r="HO22"/>
      <x:c r="HP22"/>
      <x:c r="HQ22"/>
      <x:c r="HR22"/>
      <x:c r="HS22"/>
      <x:c r="HT22"/>
      <x:c r="HU22"/>
      <x:c r="HV22"/>
      <x:c r="HW22"/>
      <x:c r="HX22"/>
      <x:c r="HY22"/>
      <x:c r="HZ22"/>
      <x:c r="IA22"/>
      <x:c r="IB22"/>
      <x:c r="IC22"/>
      <x:c r="ID22"/>
      <x:c r="IE22"/>
      <x:c r="IF22"/>
      <x:c r="IG22"/>
      <x:c r="IH22"/>
      <x:c r="II22"/>
      <x:c r="IJ22"/>
      <x:c r="IK22"/>
      <x:c r="IL22"/>
      <x:c r="IM22"/>
      <x:c r="IN22"/>
      <x:c r="IO22"/>
      <x:c r="IP22"/>
      <x:c r="IQ22"/>
      <x:c r="IR22"/>
      <x:c r="IS22"/>
      <x:c r="IT22"/>
      <x:c r="IU22"/>
      <x:c r="IV22"/>
      <x:c r="IW22"/>
      <x:c r="IX22"/>
      <x:c r="IY22"/>
      <x:c r="IZ22"/>
      <x:c r="JA22"/>
    </x:row>
    <x:row r="23">
      <x:c r="Z23" t="str">
        <x:f>Personas!B23</x:f>
        <x:v>Eduardo Fernández García</x:v>
      </x:c>
      <x:c r="AA23" t="n">
        <x:f>Decisiones!B23</x:f>
        <x:v>37827</x:v>
      </x:c>
      <x:c r="AD23" t="s">
        <x:v>821</x:v>
      </x:c>
      <x:c r="CW23" t="s">
        <x:v>821</x:v>
      </x:c>
      <x:c r="FP23"/>
      <x:c r="FQ23"/>
      <x:c r="FR23"/>
      <x:c r="FS23"/>
      <x:c r="FT23"/>
      <x:c r="FU23"/>
      <x:c r="FV23"/>
      <x:c r="FW23"/>
      <x:c r="FX23"/>
      <x:c r="FY23"/>
      <x:c r="FZ23"/>
      <x:c r="GA23"/>
      <x:c r="GB23"/>
      <x:c r="GC23"/>
      <x:c r="GD23"/>
      <x:c r="GE23"/>
      <x:c r="GF23"/>
      <x:c r="GG23"/>
      <x:c r="GH23"/>
      <x:c r="GI23"/>
      <x:c r="GJ23"/>
      <x:c r="GK23"/>
      <x:c r="GL23"/>
      <x:c r="GM23"/>
      <x:c r="GN23" t="str">
        <x:v>P022</x:v>
      </x:c>
      <x:c r="GO23"/>
      <x:c r="GP23"/>
      <x:c r="GQ23"/>
      <x:c r="GR23"/>
      <x:c r="GS23"/>
      <x:c r="GT23"/>
      <x:c r="GU23"/>
      <x:c r="GV23"/>
      <x:c r="GW23"/>
      <x:c r="GX23"/>
      <x:c r="GY23"/>
      <x:c r="GZ23"/>
      <x:c r="HA23"/>
      <x:c r="HB23"/>
      <x:c r="HC23"/>
      <x:c r="HD23"/>
      <x:c r="HE23"/>
      <x:c r="HF23"/>
      <x:c r="HG23"/>
      <x:c r="HH23"/>
      <x:c r="HI23"/>
      <x:c r="HJ23"/>
      <x:c r="HK23"/>
      <x:c r="HL23"/>
      <x:c r="HM23"/>
      <x:c r="HN23"/>
      <x:c r="HO23"/>
      <x:c r="HP23"/>
      <x:c r="HQ23"/>
      <x:c r="HR23"/>
      <x:c r="HS23"/>
      <x:c r="HT23"/>
      <x:c r="HU23"/>
      <x:c r="HV23"/>
      <x:c r="HW23"/>
      <x:c r="HX23"/>
      <x:c r="HY23"/>
      <x:c r="HZ23"/>
      <x:c r="IA23"/>
      <x:c r="IB23"/>
      <x:c r="IC23"/>
      <x:c r="ID23"/>
      <x:c r="IE23"/>
      <x:c r="IF23"/>
      <x:c r="IG23"/>
      <x:c r="IH23"/>
      <x:c r="II23"/>
      <x:c r="IJ23"/>
      <x:c r="IK23"/>
      <x:c r="IL23"/>
      <x:c r="IM23"/>
      <x:c r="IN23"/>
      <x:c r="IO23"/>
      <x:c r="IP23"/>
      <x:c r="IQ23"/>
      <x:c r="IR23"/>
      <x:c r="IS23"/>
      <x:c r="IT23"/>
      <x:c r="IU23"/>
      <x:c r="IV23"/>
      <x:c r="IW23"/>
      <x:c r="IX23"/>
      <x:c r="IY23"/>
      <x:c r="IZ23"/>
      <x:c r="JA23"/>
    </x:row>
    <x:row r="24">
      <x:c r="Z24" t="str">
        <x:f>Personas!B24</x:f>
        <x:v>Carlos Ruiz Sacristán</x:v>
      </x:c>
      <x:c r="AA24" t="n">
        <x:f>Decisiones!B24</x:f>
        <x:v>37855</x:v>
      </x:c>
      <x:c r="AD24" t="s">
        <x:v>823</x:v>
      </x:c>
      <x:c r="CW24" t="s">
        <x:v>823</x:v>
      </x:c>
      <x:c r="FP24"/>
      <x:c r="FQ24"/>
      <x:c r="FR24"/>
      <x:c r="FS24"/>
      <x:c r="FT24"/>
      <x:c r="FU24"/>
      <x:c r="FV24"/>
      <x:c r="FW24"/>
      <x:c r="FX24"/>
      <x:c r="FY24"/>
      <x:c r="FZ24"/>
      <x:c r="GA24"/>
      <x:c r="GB24"/>
      <x:c r="GC24"/>
      <x:c r="GD24"/>
      <x:c r="GE24"/>
      <x:c r="GF24"/>
      <x:c r="GG24"/>
      <x:c r="GH24"/>
      <x:c r="GI24"/>
      <x:c r="GJ24"/>
      <x:c r="GK24"/>
      <x:c r="GL24"/>
      <x:c r="GM24"/>
      <x:c r="GN24" t="str">
        <x:v>P023</x:v>
      </x:c>
      <x:c r="GO24"/>
      <x:c r="GP24"/>
      <x:c r="GQ24"/>
      <x:c r="GR24"/>
      <x:c r="GS24"/>
      <x:c r="GT24"/>
      <x:c r="GU24"/>
      <x:c r="GV24"/>
      <x:c r="GW24"/>
      <x:c r="GX24"/>
      <x:c r="GY24"/>
      <x:c r="GZ24"/>
      <x:c r="HA24"/>
      <x:c r="HB24"/>
      <x:c r="HC24"/>
      <x:c r="HD24"/>
      <x:c r="HE24"/>
      <x:c r="HF24"/>
      <x:c r="HG24"/>
      <x:c r="HH24"/>
      <x:c r="HI24"/>
      <x:c r="HJ24"/>
      <x:c r="HK24"/>
      <x:c r="HL24"/>
      <x:c r="HM24"/>
      <x:c r="HN24"/>
      <x:c r="HO24"/>
      <x:c r="HP24"/>
      <x:c r="HQ24"/>
      <x:c r="HR24"/>
      <x:c r="HS24"/>
      <x:c r="HT24"/>
      <x:c r="HU24"/>
      <x:c r="HV24"/>
      <x:c r="HW24"/>
      <x:c r="HX24"/>
      <x:c r="HY24"/>
      <x:c r="HZ24"/>
      <x:c r="IA24"/>
      <x:c r="IB24"/>
      <x:c r="IC24"/>
      <x:c r="ID24"/>
      <x:c r="IE24"/>
      <x:c r="IF24"/>
      <x:c r="IG24"/>
      <x:c r="IH24"/>
      <x:c r="II24"/>
      <x:c r="IJ24"/>
      <x:c r="IK24"/>
      <x:c r="IL24"/>
      <x:c r="IM24"/>
      <x:c r="IN24"/>
      <x:c r="IO24"/>
      <x:c r="IP24"/>
      <x:c r="IQ24"/>
      <x:c r="IR24"/>
      <x:c r="IS24"/>
      <x:c r="IT24"/>
      <x:c r="IU24"/>
      <x:c r="IV24"/>
      <x:c r="IW24"/>
      <x:c r="IX24"/>
      <x:c r="IY24"/>
      <x:c r="IZ24"/>
      <x:c r="JA24"/>
    </x:row>
    <x:row r="25">
      <x:c r="Z25" t="str">
        <x:f>Personas!B25</x:f>
        <x:v>Alonso García Tamés</x:v>
      </x:c>
      <x:c r="AA25" t="n">
        <x:f>Decisiones!B25</x:f>
        <x:v>37890</x:v>
      </x:c>
      <x:c r="AD25" t="s">
        <x:v>825</x:v>
      </x:c>
      <x:c r="CW25" t="s">
        <x:v>825</x:v>
      </x:c>
      <x:c r="FP25"/>
      <x:c r="FQ25"/>
      <x:c r="FR25"/>
      <x:c r="FS25"/>
      <x:c r="FT25"/>
      <x:c r="FU25"/>
      <x:c r="FV25"/>
      <x:c r="FW25"/>
      <x:c r="FX25"/>
      <x:c r="FY25"/>
      <x:c r="FZ25"/>
      <x:c r="GA25"/>
      <x:c r="GB25"/>
      <x:c r="GC25"/>
      <x:c r="GD25"/>
      <x:c r="GE25"/>
      <x:c r="GF25"/>
      <x:c r="GG25"/>
      <x:c r="GH25"/>
      <x:c r="GI25"/>
      <x:c r="GJ25"/>
      <x:c r="GK25"/>
      <x:c r="GL25"/>
      <x:c r="GM25"/>
      <x:c r="GN25" t="str">
        <x:v>P024</x:v>
      </x:c>
      <x:c r="GO25"/>
      <x:c r="GP25"/>
      <x:c r="GQ25"/>
      <x:c r="GR25"/>
      <x:c r="GS25"/>
      <x:c r="GT25"/>
      <x:c r="GU25"/>
      <x:c r="GV25"/>
      <x:c r="GW25"/>
      <x:c r="GX25"/>
      <x:c r="GY25"/>
      <x:c r="GZ25"/>
      <x:c r="HA25"/>
      <x:c r="HB25"/>
      <x:c r="HC25"/>
      <x:c r="HD25"/>
      <x:c r="HE25"/>
      <x:c r="HF25"/>
      <x:c r="HG25"/>
      <x:c r="HH25"/>
      <x:c r="HI25"/>
      <x:c r="HJ25"/>
      <x:c r="HK25"/>
      <x:c r="HL25"/>
      <x:c r="HM25"/>
      <x:c r="HN25"/>
      <x:c r="HO25"/>
      <x:c r="HP25"/>
      <x:c r="HQ25"/>
      <x:c r="HR25"/>
      <x:c r="HS25"/>
      <x:c r="HT25"/>
      <x:c r="HU25"/>
      <x:c r="HV25"/>
      <x:c r="HW25"/>
      <x:c r="HX25"/>
      <x:c r="HY25"/>
      <x:c r="HZ25"/>
      <x:c r="IA25"/>
      <x:c r="IB25"/>
      <x:c r="IC25"/>
      <x:c r="ID25"/>
      <x:c r="IE25"/>
      <x:c r="IF25"/>
      <x:c r="IG25"/>
      <x:c r="IH25"/>
      <x:c r="II25"/>
      <x:c r="IJ25"/>
      <x:c r="IK25"/>
      <x:c r="IL25"/>
      <x:c r="IM25"/>
      <x:c r="IN25"/>
      <x:c r="IO25"/>
      <x:c r="IP25"/>
      <x:c r="IQ25"/>
      <x:c r="IR25"/>
      <x:c r="IS25"/>
      <x:c r="IT25"/>
      <x:c r="IU25"/>
      <x:c r="IV25"/>
      <x:c r="IW25"/>
      <x:c r="IX25"/>
      <x:c r="IY25"/>
      <x:c r="IZ25"/>
      <x:c r="JA25"/>
    </x:row>
    <x:row r="26">
      <x:c r="Z26" t="str">
        <x:f>Personas!B26</x:f>
        <x:v>Gerardo Rodríguez Regordosa</x:v>
      </x:c>
      <x:c r="AA26" t="n">
        <x:f>Decisiones!B26</x:f>
        <x:v>37918</x:v>
      </x:c>
      <x:c r="AD26" t="s">
        <x:v>827</x:v>
      </x:c>
      <x:c r="CW26" t="s">
        <x:v>827</x:v>
      </x:c>
      <x:c r="FP26"/>
      <x:c r="FQ26"/>
      <x:c r="FR26"/>
      <x:c r="FS26"/>
      <x:c r="FT26"/>
      <x:c r="FU26"/>
      <x:c r="FV26"/>
      <x:c r="FW26"/>
      <x:c r="FX26"/>
      <x:c r="FY26"/>
      <x:c r="FZ26"/>
      <x:c r="GA26"/>
      <x:c r="GB26"/>
      <x:c r="GC26"/>
      <x:c r="GD26"/>
      <x:c r="GE26"/>
      <x:c r="GF26"/>
      <x:c r="GG26"/>
      <x:c r="GH26"/>
      <x:c r="GI26"/>
      <x:c r="GJ26"/>
      <x:c r="GK26"/>
      <x:c r="GL26"/>
      <x:c r="GM26"/>
      <x:c r="GN26" t="str">
        <x:v>P025</x:v>
      </x:c>
      <x:c r="GO26"/>
      <x:c r="GP26"/>
      <x:c r="GQ26"/>
      <x:c r="GR26"/>
      <x:c r="GS26"/>
      <x:c r="GT26"/>
      <x:c r="GU26"/>
      <x:c r="GV26"/>
      <x:c r="GW26"/>
      <x:c r="GX26"/>
      <x:c r="GY26"/>
      <x:c r="GZ26"/>
      <x:c r="HA26"/>
      <x:c r="HB26"/>
      <x:c r="HC26"/>
      <x:c r="HD26"/>
      <x:c r="HE26"/>
      <x:c r="HF26"/>
      <x:c r="HG26"/>
      <x:c r="HH26"/>
      <x:c r="HI26"/>
      <x:c r="HJ26"/>
      <x:c r="HK26"/>
      <x:c r="HL26"/>
      <x:c r="HM26"/>
      <x:c r="HN26"/>
      <x:c r="HO26"/>
      <x:c r="HP26"/>
      <x:c r="HQ26"/>
      <x:c r="HR26"/>
      <x:c r="HS26"/>
      <x:c r="HT26"/>
      <x:c r="HU26"/>
      <x:c r="HV26"/>
      <x:c r="HW26"/>
      <x:c r="HX26"/>
      <x:c r="HY26"/>
      <x:c r="HZ26"/>
      <x:c r="IA26"/>
      <x:c r="IB26"/>
      <x:c r="IC26"/>
      <x:c r="ID26"/>
      <x:c r="IE26"/>
      <x:c r="IF26"/>
      <x:c r="IG26"/>
      <x:c r="IH26"/>
      <x:c r="II26"/>
      <x:c r="IJ26"/>
      <x:c r="IK26"/>
      <x:c r="IL26"/>
      <x:c r="IM26"/>
      <x:c r="IN26"/>
      <x:c r="IO26"/>
      <x:c r="IP26"/>
      <x:c r="IQ26"/>
      <x:c r="IR26"/>
      <x:c r="IS26"/>
      <x:c r="IT26"/>
      <x:c r="IU26"/>
      <x:c r="IV26"/>
      <x:c r="IW26"/>
      <x:c r="IX26"/>
      <x:c r="IY26"/>
      <x:c r="IZ26"/>
      <x:c r="JA26"/>
    </x:row>
    <x:row r="27">
      <x:c r="Z27" t="str">
        <x:f>Personas!B27</x:f>
        <x:v>José Antonio Meade Kuribreña</x:v>
      </x:c>
      <x:c r="AA27" t="n">
        <x:f>Decisiones!B27</x:f>
        <x:v>37946</x:v>
      </x:c>
      <x:c r="AD27" t="s">
        <x:v>829</x:v>
      </x:c>
      <x:c r="CW27" t="s">
        <x:v>829</x:v>
      </x:c>
      <x:c r="FP27"/>
      <x:c r="FQ27"/>
      <x:c r="FR27"/>
      <x:c r="FS27"/>
      <x:c r="FT27"/>
      <x:c r="FU27"/>
      <x:c r="FV27"/>
      <x:c r="FW27"/>
      <x:c r="FX27"/>
      <x:c r="FY27"/>
      <x:c r="FZ27"/>
      <x:c r="GA27"/>
      <x:c r="GB27"/>
      <x:c r="GC27"/>
      <x:c r="GD27"/>
      <x:c r="GE27"/>
      <x:c r="GF27"/>
      <x:c r="GG27"/>
      <x:c r="GH27"/>
      <x:c r="GI27"/>
      <x:c r="GJ27"/>
      <x:c r="GK27"/>
      <x:c r="GL27"/>
      <x:c r="GM27"/>
      <x:c r="GN27" t="str">
        <x:v>P026</x:v>
      </x:c>
      <x:c r="GO27"/>
      <x:c r="GP27"/>
      <x:c r="GQ27"/>
      <x:c r="GR27"/>
      <x:c r="GS27"/>
      <x:c r="GT27"/>
      <x:c r="GU27"/>
      <x:c r="GV27"/>
      <x:c r="GW27"/>
      <x:c r="GX27"/>
      <x:c r="GY27"/>
      <x:c r="GZ27"/>
      <x:c r="HA27"/>
      <x:c r="HB27"/>
      <x:c r="HC27"/>
      <x:c r="HD27"/>
      <x:c r="HE27"/>
      <x:c r="HF27"/>
      <x:c r="HG27"/>
      <x:c r="HH27"/>
      <x:c r="HI27"/>
      <x:c r="HJ27"/>
      <x:c r="HK27"/>
      <x:c r="HL27"/>
      <x:c r="HM27"/>
      <x:c r="HN27"/>
      <x:c r="HO27"/>
      <x:c r="HP27"/>
      <x:c r="HQ27"/>
      <x:c r="HR27"/>
      <x:c r="HS27"/>
      <x:c r="HT27"/>
      <x:c r="HU27"/>
      <x:c r="HV27"/>
      <x:c r="HW27"/>
      <x:c r="HX27"/>
      <x:c r="HY27"/>
      <x:c r="HZ27"/>
      <x:c r="IA27"/>
      <x:c r="IB27"/>
      <x:c r="IC27"/>
      <x:c r="ID27"/>
      <x:c r="IE27"/>
      <x:c r="IF27"/>
      <x:c r="IG27"/>
      <x:c r="IH27"/>
      <x:c r="II27"/>
      <x:c r="IJ27"/>
      <x:c r="IK27"/>
      <x:c r="IL27"/>
      <x:c r="IM27"/>
      <x:c r="IN27"/>
      <x:c r="IO27"/>
      <x:c r="IP27"/>
      <x:c r="IQ27"/>
      <x:c r="IR27"/>
      <x:c r="IS27"/>
      <x:c r="IT27"/>
      <x:c r="IU27"/>
      <x:c r="IV27"/>
      <x:c r="IW27"/>
      <x:c r="IX27"/>
      <x:c r="IY27"/>
      <x:c r="IZ27"/>
      <x:c r="JA27"/>
    </x:row>
    <x:row r="28">
      <x:c r="Z28" t="str">
        <x:f>Personas!B28</x:f>
        <x:v>Lorenza Martínez Trigueros</x:v>
      </x:c>
      <x:c r="AA28" t="n">
        <x:f>Decisiones!B28</x:f>
        <x:v>37966</x:v>
      </x:c>
      <x:c r="AD28" t="s">
        <x:v>831</x:v>
      </x:c>
      <x:c r="CW28" t="s">
        <x:v>831</x:v>
      </x:c>
      <x:c r="FP28"/>
      <x:c r="FQ28"/>
      <x:c r="FR28"/>
      <x:c r="FS28"/>
      <x:c r="FT28"/>
      <x:c r="FU28"/>
      <x:c r="FV28"/>
      <x:c r="FW28"/>
      <x:c r="FX28"/>
      <x:c r="FY28"/>
      <x:c r="FZ28"/>
      <x:c r="GA28"/>
      <x:c r="GB28"/>
      <x:c r="GC28"/>
      <x:c r="GD28"/>
      <x:c r="GE28"/>
      <x:c r="GF28"/>
      <x:c r="GG28"/>
      <x:c r="GH28"/>
      <x:c r="GI28"/>
      <x:c r="GJ28"/>
      <x:c r="GK28"/>
      <x:c r="GL28"/>
      <x:c r="GM28"/>
      <x:c r="GN28" t="str">
        <x:v>P027</x:v>
      </x:c>
      <x:c r="GO28"/>
      <x:c r="GP28"/>
      <x:c r="GQ28"/>
      <x:c r="GR28"/>
      <x:c r="GS28"/>
      <x:c r="GT28"/>
      <x:c r="GU28"/>
      <x:c r="GV28"/>
      <x:c r="GW28"/>
      <x:c r="GX28"/>
      <x:c r="GY28"/>
      <x:c r="GZ28"/>
      <x:c r="HA28"/>
      <x:c r="HB28"/>
      <x:c r="HC28"/>
      <x:c r="HD28"/>
      <x:c r="HE28"/>
      <x:c r="HF28"/>
      <x:c r="HG28"/>
      <x:c r="HH28"/>
      <x:c r="HI28"/>
      <x:c r="HJ28"/>
      <x:c r="HK28"/>
      <x:c r="HL28"/>
      <x:c r="HM28"/>
      <x:c r="HN28"/>
      <x:c r="HO28"/>
      <x:c r="HP28"/>
      <x:c r="HQ28"/>
      <x:c r="HR28"/>
      <x:c r="HS28"/>
      <x:c r="HT28"/>
      <x:c r="HU28"/>
      <x:c r="HV28"/>
      <x:c r="HW28"/>
      <x:c r="HX28"/>
      <x:c r="HY28"/>
      <x:c r="HZ28"/>
      <x:c r="IA28"/>
      <x:c r="IB28"/>
      <x:c r="IC28"/>
      <x:c r="ID28"/>
      <x:c r="IE28"/>
      <x:c r="IF28"/>
      <x:c r="IG28"/>
      <x:c r="IH28"/>
      <x:c r="II28"/>
      <x:c r="IJ28"/>
      <x:c r="IK28"/>
      <x:c r="IL28"/>
      <x:c r="IM28"/>
      <x:c r="IN28"/>
      <x:c r="IO28"/>
      <x:c r="IP28"/>
      <x:c r="IQ28"/>
      <x:c r="IR28"/>
      <x:c r="IS28"/>
      <x:c r="IT28"/>
      <x:c r="IU28"/>
      <x:c r="IV28"/>
      <x:c r="IW28"/>
      <x:c r="IX28"/>
      <x:c r="IY28"/>
      <x:c r="IZ28"/>
      <x:c r="JA28"/>
    </x:row>
    <x:row r="29">
      <x:c r="Z29" t="str">
        <x:f>Personas!B29</x:f>
        <x:v>Miguel Messmacher Linartas</x:v>
      </x:c>
      <x:c r="AA29" t="n">
        <x:f>Decisiones!B29</x:f>
        <x:v>38009</x:v>
      </x:c>
      <x:c r="AD29" t="s">
        <x:v>833</x:v>
      </x:c>
      <x:c r="CW29" t="s">
        <x:v>833</x:v>
      </x:c>
      <x:c r="FP29"/>
      <x:c r="FQ29"/>
      <x:c r="FR29"/>
      <x:c r="FS29"/>
      <x:c r="FT29"/>
      <x:c r="FU29"/>
      <x:c r="FV29"/>
      <x:c r="FW29"/>
      <x:c r="FX29"/>
      <x:c r="FY29"/>
      <x:c r="FZ29"/>
      <x:c r="GA29"/>
      <x:c r="GB29"/>
      <x:c r="GC29"/>
      <x:c r="GD29"/>
      <x:c r="GE29"/>
      <x:c r="GF29"/>
      <x:c r="GG29"/>
      <x:c r="GH29"/>
      <x:c r="GI29"/>
      <x:c r="GJ29"/>
      <x:c r="GK29"/>
      <x:c r="GL29"/>
      <x:c r="GM29"/>
      <x:c r="GN29" t="str">
        <x:v>P028</x:v>
      </x:c>
      <x:c r="GO29"/>
      <x:c r="GP29"/>
      <x:c r="GQ29"/>
      <x:c r="GR29"/>
      <x:c r="GS29"/>
      <x:c r="GT29"/>
      <x:c r="GU29"/>
      <x:c r="GV29"/>
      <x:c r="GW29"/>
      <x:c r="GX29"/>
      <x:c r="GY29"/>
      <x:c r="GZ29"/>
      <x:c r="HA29"/>
      <x:c r="HB29"/>
      <x:c r="HC29"/>
      <x:c r="HD29"/>
      <x:c r="HE29"/>
      <x:c r="HF29"/>
      <x:c r="HG29"/>
      <x:c r="HH29"/>
      <x:c r="HI29"/>
      <x:c r="HJ29"/>
      <x:c r="HK29"/>
      <x:c r="HL29"/>
      <x:c r="HM29"/>
      <x:c r="HN29"/>
      <x:c r="HO29"/>
      <x:c r="HP29"/>
      <x:c r="HQ29"/>
      <x:c r="HR29"/>
      <x:c r="HS29"/>
      <x:c r="HT29"/>
      <x:c r="HU29"/>
      <x:c r="HV29"/>
      <x:c r="HW29"/>
      <x:c r="HX29"/>
      <x:c r="HY29"/>
      <x:c r="HZ29"/>
      <x:c r="IA29"/>
      <x:c r="IB29"/>
      <x:c r="IC29"/>
      <x:c r="ID29"/>
      <x:c r="IE29"/>
      <x:c r="IF29"/>
      <x:c r="IG29"/>
      <x:c r="IH29"/>
      <x:c r="II29"/>
      <x:c r="IJ29"/>
      <x:c r="IK29"/>
      <x:c r="IL29"/>
      <x:c r="IM29"/>
      <x:c r="IN29"/>
      <x:c r="IO29"/>
      <x:c r="IP29"/>
      <x:c r="IQ29"/>
      <x:c r="IR29"/>
      <x:c r="IS29"/>
      <x:c r="IT29"/>
      <x:c r="IU29"/>
      <x:c r="IV29"/>
      <x:c r="IW29"/>
      <x:c r="IX29"/>
      <x:c r="IY29"/>
      <x:c r="IZ29"/>
      <x:c r="JA29"/>
    </x:row>
    <x:row r="30">
      <x:c r="Z30" t="str">
        <x:f>Personas!B30</x:f>
        <x:v>Luis Videgaray Caso</x:v>
      </x:c>
      <x:c r="AA30" t="n">
        <x:f>Decisiones!B30</x:f>
        <x:v>38037</x:v>
      </x:c>
      <x:c r="AD30" t="s">
        <x:v>835</x:v>
      </x:c>
      <x:c r="CW30" t="s">
        <x:v>835</x:v>
      </x:c>
      <x:c r="FP30"/>
      <x:c r="FQ30"/>
      <x:c r="FR30"/>
      <x:c r="FS30"/>
      <x:c r="FT30"/>
      <x:c r="FU30"/>
      <x:c r="FV30"/>
      <x:c r="FW30"/>
      <x:c r="FX30"/>
      <x:c r="FY30"/>
      <x:c r="FZ30"/>
      <x:c r="GA30"/>
      <x:c r="GB30"/>
      <x:c r="GC30"/>
      <x:c r="GD30"/>
      <x:c r="GE30"/>
      <x:c r="GF30"/>
      <x:c r="GG30"/>
      <x:c r="GH30"/>
      <x:c r="GI30"/>
      <x:c r="GJ30"/>
      <x:c r="GK30"/>
      <x:c r="GL30"/>
      <x:c r="GM30"/>
      <x:c r="GN30" t="str">
        <x:v>P029</x:v>
      </x:c>
      <x:c r="GO30"/>
      <x:c r="GP30"/>
      <x:c r="GQ30"/>
      <x:c r="GR30"/>
      <x:c r="GS30"/>
      <x:c r="GT30"/>
      <x:c r="GU30"/>
      <x:c r="GV30"/>
      <x:c r="GW30"/>
      <x:c r="GX30"/>
      <x:c r="GY30"/>
      <x:c r="GZ30"/>
      <x:c r="HA30"/>
      <x:c r="HB30"/>
      <x:c r="HC30"/>
      <x:c r="HD30"/>
      <x:c r="HE30"/>
      <x:c r="HF30"/>
      <x:c r="HG30"/>
      <x:c r="HH30"/>
      <x:c r="HI30"/>
      <x:c r="HJ30"/>
      <x:c r="HK30"/>
      <x:c r="HL30"/>
      <x:c r="HM30"/>
      <x:c r="HN30"/>
      <x:c r="HO30"/>
      <x:c r="HP30"/>
      <x:c r="HQ30"/>
      <x:c r="HR30"/>
      <x:c r="HS30"/>
      <x:c r="HT30"/>
      <x:c r="HU30"/>
      <x:c r="HV30"/>
      <x:c r="HW30"/>
      <x:c r="HX30"/>
      <x:c r="HY30"/>
      <x:c r="HZ30"/>
      <x:c r="IA30"/>
      <x:c r="IB30"/>
      <x:c r="IC30"/>
      <x:c r="ID30"/>
      <x:c r="IE30"/>
      <x:c r="IF30"/>
      <x:c r="IG30"/>
      <x:c r="IH30"/>
      <x:c r="II30"/>
      <x:c r="IJ30"/>
      <x:c r="IK30"/>
      <x:c r="IL30"/>
      <x:c r="IM30"/>
      <x:c r="IN30"/>
      <x:c r="IO30"/>
      <x:c r="IP30"/>
      <x:c r="IQ30"/>
      <x:c r="IR30"/>
      <x:c r="IS30"/>
      <x:c r="IT30"/>
      <x:c r="IU30"/>
      <x:c r="IV30"/>
      <x:c r="IW30"/>
      <x:c r="IX30"/>
      <x:c r="IY30"/>
      <x:c r="IZ30"/>
      <x:c r="JA30"/>
    </x:row>
    <x:row r="31">
      <x:c r="AA31" t="n">
        <x:f>Decisiones!B31</x:f>
        <x:v>38058</x:v>
      </x:c>
    </x:row>
    <x:row r="32">
      <x:c r="AA32" t="n">
        <x:f>Decisiones!B32</x:f>
        <x:v>38072</x:v>
      </x:c>
    </x:row>
    <x:row r="33">
      <x:c r="AA33" t="n">
        <x:f>Decisiones!B33</x:f>
        <x:v>38100</x:v>
      </x:c>
    </x:row>
    <x:row r="34">
      <x:c r="A34" s="97" t="s">
        <x:v>1124</x:v>
      </x:c>
      <x:c r="B34" s="96" t="n">
        <x:f>ROUND(YEAR(INDEX($GO$2:$GO$30,MATCH($X$2,$GN$2:$GN$30,0)))+0*(YEAR(INDEX($GP$2:$GP$30,MATCH($X$2,$GN$2:$GN$30,0)))-YEAR(INDEX($GO$2:$GO$30,MATCH($X$2,$GN$2:$GN$30,0))))/9,0)</x:f>
        <x:v>2019</x:v>
      </x:c>
      <x:c r="C34" s="96" t="str">
        <x:f>""</x:f>
      </x:c>
      <x:c r="D34" s="96" t="n">
        <x:f>ROUND(YEAR(INDEX($GO$2:$GO$30,MATCH($X$2,$GN$2:$GN$30,0)))+2*(YEAR(INDEX($GP$2:$GP$30,MATCH($X$2,$GN$2:$GN$30,0)))-YEAR(INDEX($GO$2:$GO$30,MATCH($X$2,$GN$2:$GN$30,0))))/9,0)</x:f>
        <x:v>2021</x:v>
      </x:c>
      <x:c r="E34" s="96" t="str">
        <x:f>""</x:f>
      </x:c>
      <x:c r="F34" s="96" t="n">
        <x:f>ROUND(YEAR(INDEX($GO$2:$GO$30,MATCH($X$2,$GN$2:$GN$30,0)))+4*(YEAR(INDEX($GP$2:$GP$30,MATCH($X$2,$GN$2:$GN$30,0)))-YEAR(INDEX($GO$2:$GO$30,MATCH($X$2,$GN$2:$GN$30,0))))/9,0)</x:f>
        <x:v>2022</x:v>
      </x:c>
      <x:c r="G34" s="96" t="str">
        <x:f>""</x:f>
      </x:c>
      <x:c r="H34" s="96" t="n">
        <x:f>ROUND(YEAR(INDEX($GO$2:$GO$30,MATCH($X$2,$GN$2:$GN$30,0)))+6*(YEAR(INDEX($GP$2:$GP$30,MATCH($X$2,$GN$2:$GN$30,0)))-YEAR(INDEX($GO$2:$GO$30,MATCH($X$2,$GN$2:$GN$30,0))))/9,0)</x:f>
        <x:v>2024</x:v>
      </x:c>
      <x:c r="I34" s="96" t="str">
        <x:f>""</x:f>
      </x:c>
      <x:c r="J34" s="96" t="n">
        <x:f>ROUND(YEAR(INDEX($GO$2:$GO$30,MATCH($X$2,$GN$2:$GN$30,0)))+8*(YEAR(INDEX($GP$2:$GP$30,MATCH($X$2,$GN$2:$GN$30,0)))-YEAR(INDEX($GO$2:$GO$30,MATCH($X$2,$GN$2:$GN$30,0))))/9,0)</x:f>
        <x:v>2025</x:v>
      </x:c>
      <x:c r="K34" s="96" t="str">
        <x:f>""</x:f>
      </x:c>
      <x:c r="AA34" t="n">
        <x:f>Decisiones!B34</x:f>
        <x:v>38104</x:v>
      </x:c>
    </x:row>
    <x:row r="35">
      <x:c r="A35" s="137" t="s">
        <x:v>1125</x:v>
      </x:c>
      <x:c r="B35" s="137"/>
      <x:c r="C35" s="137"/>
      <x:c r="D35" s="137"/>
      <x:c r="E35" s="137"/>
      <x:c r="F35" s="137"/>
      <x:c r="H35" s="137" t="s">
        <x:v>1126</x:v>
      </x:c>
      <x:c r="I35" s="137"/>
      <x:c r="J35" s="137"/>
      <x:c r="K35" s="137"/>
      <x:c r="L35" s="137"/>
      <x:c r="M35" s="137"/>
      <x:c r="N35" s="137"/>
      <x:c r="AA35" t="n">
        <x:f>Decisiones!B35</x:f>
        <x:v>38135</x:v>
      </x:c>
    </x:row>
    <x:row r="36" ht="31.950000762939453" customHeight="1">
      <x:c r="A36" s="79" t="s">
        <x:v>871</x:v>
      </x:c>
      <x:c r="B36" s="79" t="s">
        <x:v>177</x:v>
      </x:c>
      <x:c r="C36" s="79" t="s">
        <x:v>874</x:v>
      </x:c>
      <x:c r="D36" s="79" t="s">
        <x:v>872</x:v>
      </x:c>
      <x:c r="E36" s="79" t="s">
        <x:v>1127</x:v>
      </x:c>
      <x:c r="H36" s="138" t="s">
        <x:v>1128</x:v>
      </x:c>
      <x:c r="I36" s="138"/>
      <x:c r="J36" s="138"/>
      <x:c r="L36" s="138" t="s">
        <x:v>1129</x:v>
      </x:c>
      <x:c r="M36" s="138"/>
      <x:c r="N36" s="138"/>
      <x:c r="AA36" t="n">
        <x:f>Decisiones!B36</x:f>
        <x:v>38163</x:v>
      </x:c>
    </x:row>
    <x:row r="37">
      <x:c r="A37" s="80" t="n">
        <x:f>IFERROR(IF(INDEX($AE$2:$AR$30,MATCH($X$2,$AD$2:$AD$30,0),1)&lt;=$Y$3,INDEX($AE$2:$AR$30,MATCH($X$2,$AD$2:$AD$30,0),1),""),"")</x:f>
        <x:v>43734</x:v>
      </x:c>
      <x:c r="B37" s="81" t="n">
        <x:f>IF($A37="","",INDEX($AS$2:$BF$30,MATCH($X$2,$AD$2:$AD$30,0),1))</x:f>
        <x:v>7.75</x:v>
      </x:c>
      <x:c r="C37" s="82" t="n">
        <x:f>IF($A37="","",INDEX($BG$2:$BT$30,MATCH($X$2,$AD$2:$AD$30,0),1))</x:f>
        <x:v>-25</x:v>
      </x:c>
      <x:c r="D37" s="83" t="str">
        <x:f>IF($A37="","",INDEX($BU$2:$CH$30,MATCH($X$2,$AD$2:$AD$30,0),1))</x:f>
        <x:v>Ordinaria</x:v>
      </x:c>
      <x:c r="E37" s="83" t="str">
        <x:f>IF($A37="","",INDEX($CI$2:$CV$30,MATCH($X$2,$AD$2:$AD$30,0),1))</x:f>
        <x:v>Disenso acomodaticio</x:v>
      </x:c>
      <x:c r="H37" s="83" t="s">
        <x:v>885</x:v>
      </x:c>
      <x:c r="I37" s="141" t="n">
        <x:f>COUNTIFS(Votaciones!$B$2:$B$341,$X$2,Votaciones!$A$2:$A$341,"&lt;="&amp;$Y$2,Votaciones!$E$2:$E$341,"Público")</x:f>
        <x:v>61</x:v>
      </x:c>
      <x:c r="J37" s="142"/>
      <x:c r="K37" s="83"/>
      <x:c r="L37" s="83" t="s">
        <x:v>885</x:v>
      </x:c>
      <x:c r="M37" s="141" t="n">
        <x:f>COUNTIFS(Votaciones!$B$2:$B$341,$X$2,Votaciones!$A$2:$A$341,"&gt;="&amp;"D"&amp;TEXT(EDATE($Y$3,-12),"yyyymmdd"),Votaciones!$A$2:$A$341,"&lt;="&amp;$Y$2,Votaciones!$E$2:$E$341,"Público")</x:f>
        <x:v>9</x:v>
      </x:c>
      <x:c r="N37" s="142"/>
      <x:c r="AA37" t="n">
        <x:f>Decisiones!B37</x:f>
        <x:v>38191</x:v>
      </x:c>
    </x:row>
    <x:row r="38">
      <x:c r="A38" s="84" t="n">
        <x:f>IFERROR(IF(INDEX($AE$2:$AR$30,MATCH($X$2,$AD$2:$AD$30,0),2)&lt;=$Y$3,INDEX($AE$2:$AR$30,MATCH($X$2,$AD$2:$AD$30,0),2),""),"")</x:f>
        <x:v>43783</x:v>
      </x:c>
      <x:c r="B38" s="85" t="n">
        <x:f>IF($A38="","",INDEX($AS$2:$BF$30,MATCH($X$2,$AD$2:$AD$30,0),2))</x:f>
        <x:v>7.5</x:v>
      </x:c>
      <x:c r="C38" s="86" t="n">
        <x:f>IF($A38="","",INDEX($BG$2:$BT$30,MATCH($X$2,$AD$2:$AD$30,0),2))</x:f>
        <x:v>-25</x:v>
      </x:c>
      <x:c r="D38" s="87" t="str">
        <x:f>IF($A38="","",INDEX($BU$2:$CH$30,MATCH($X$2,$AD$2:$AD$30,0),2))</x:f>
        <x:v>Ordinaria</x:v>
      </x:c>
      <x:c r="E38" s="87" t="str">
        <x:f>IF($A38="","",INDEX($CI$2:$CV$30,MATCH($X$2,$AD$2:$AD$30,0),2))</x:f>
        <x:v>Disenso acomodaticio</x:v>
      </x:c>
      <x:c r="H38" s="87" t="s">
        <x:v>893</x:v>
      </x:c>
      <x:c r="I38" s="143" t="n">
        <x:f>COUNTIFS(Votaciones!$B$2:$B$341,$X$2,Votaciones!$A$2:$A$341,"&lt;="&amp;$Y$2,Votaciones!$D$2:$D$341,"Disenso restrictivo")+COUNTIFS(Votaciones!$B$2:$B$341,$X$2,Votaciones!$A$2:$A$341,"&lt;="&amp;$Y$2,Votaciones!$D$2:$D$341,"Disenso acomodaticio")</x:f>
        <x:v>14</x:v>
      </x:c>
      <x:c r="J38" s="140"/>
      <x:c r="K38" s="87"/>
      <x:c r="L38" s="87" t="s">
        <x:v>893</x:v>
      </x:c>
      <x:c r="M38" s="143" t="n">
        <x:f>COUNTIFS(Votaciones!$B$2:$B$341,$X$2,Votaciones!$A$2:$A$341,"&gt;="&amp;"D"&amp;TEXT(EDATE($Y$3,-12),"yyyymmdd"),Votaciones!$A$2:$A$341,"&lt;="&amp;$Y$2,Votaciones!$D$2:$D$341,"Disenso restrictivo")+COUNTIFS(Votaciones!$B$2:$B$341,$X$2,Votaciones!$A$2:$A$341,"&gt;="&amp;"D"&amp;TEXT(EDATE($Y$3,-12),"yyyymmdd"),Votaciones!$A$2:$A$341,"&lt;="&amp;$Y$2,Votaciones!$D$2:$D$341,"Disenso acomodaticio")</x:f>
        <x:v>7</x:v>
      </x:c>
      <x:c r="N38" s="140"/>
      <x:c r="AA38" t="n">
        <x:f>Decisiones!B38</x:f>
        <x:v>38226</x:v>
      </x:c>
    </x:row>
    <x:row r="39">
      <x:c r="A39" s="84" t="n">
        <x:f>IFERROR(IF(INDEX($AE$2:$AR$30,MATCH($X$2,$AD$2:$AD$30,0),3)&lt;=$Y$3,INDEX($AE$2:$AR$30,MATCH($X$2,$AD$2:$AD$30,0),3),""),"")</x:f>
        <x:v>44147</x:v>
      </x:c>
      <x:c r="B39" s="85" t="n">
        <x:f>IF($A39="","",INDEX($AS$2:$BF$30,MATCH($X$2,$AD$2:$AD$30,0),3))</x:f>
        <x:v>4.25</x:v>
      </x:c>
      <x:c r="C39" s="86" t="n">
        <x:f>IF($A39="","",INDEX($BG$2:$BT$30,MATCH($X$2,$AD$2:$AD$30,0),3))</x:f>
        <x:v>0</x:v>
      </x:c>
      <x:c r="D39" s="87" t="str">
        <x:f>IF($A39="","",INDEX($BU$2:$CH$30,MATCH($X$2,$AD$2:$AD$30,0),3))</x:f>
        <x:v>Ordinaria</x:v>
      </x:c>
      <x:c r="E39" s="87" t="str">
        <x:f>IF($A39="","",INDEX($CI$2:$CV$30,MATCH($X$2,$AD$2:$AD$30,0),3))</x:f>
        <x:v>Disenso acomodaticio</x:v>
      </x:c>
      <x:c r="H39" s="87" t="s">
        <x:v>1130</x:v>
      </x:c>
      <x:c r="I39" s="143" t="n">
        <x:f>COUNTIFS(Votaciones!$B$2:$B$341,$X$2,Votaciones!$A$2:$A$341,"&lt;="&amp;$Y$2,Votaciones!$D$2:$D$341,"Disenso restrictivo")</x:f>
        <x:v>10</x:v>
      </x:c>
      <x:c r="J39" s="140"/>
      <x:c r="K39" s="87"/>
      <x:c r="L39" s="87" t="s">
        <x:v>1130</x:v>
      </x:c>
      <x:c r="M39" s="143" t="n">
        <x:f>COUNTIFS(Votaciones!$B$2:$B$341,$X$2,Votaciones!$A$2:$A$341,"&gt;="&amp;"D"&amp;TEXT(EDATE($Y$3,-12),"yyyymmdd"),Votaciones!$A$2:$A$341,"&lt;="&amp;$Y$2,Votaciones!$D$2:$D$341,"Disenso restrictivo")</x:f>
        <x:v>7</x:v>
      </x:c>
      <x:c r="N39" s="140"/>
      <x:c r="AA39" t="n">
        <x:f>Decisiones!B39</x:f>
        <x:v>38254</x:v>
      </x:c>
    </x:row>
    <x:row r="40">
      <x:c r="A40" s="84" t="n">
        <x:f>IFERROR(IF(INDEX($AE$2:$AR$30,MATCH($X$2,$AD$2:$AD$30,0),4)&lt;=$Y$3,INDEX($AE$2:$AR$30,MATCH($X$2,$AD$2:$AD$30,0),4),""),"")</x:f>
        <x:v>44182</x:v>
      </x:c>
      <x:c r="B40" s="85" t="n">
        <x:f>IF($A40="","",INDEX($AS$2:$BF$30,MATCH($X$2,$AD$2:$AD$30,0),4))</x:f>
        <x:v>4.25</x:v>
      </x:c>
      <x:c r="C40" s="86" t="n">
        <x:f>IF($A40="","",INDEX($BG$2:$BT$30,MATCH($X$2,$AD$2:$AD$30,0),4))</x:f>
        <x:v>0</x:v>
      </x:c>
      <x:c r="D40" s="87" t="str">
        <x:f>IF($A40="","",INDEX($BU$2:$CH$30,MATCH($X$2,$AD$2:$AD$30,0),4))</x:f>
        <x:v>Ordinaria</x:v>
      </x:c>
      <x:c r="E40" s="87" t="str">
        <x:f>IF($A40="","",INDEX($CI$2:$CV$30,MATCH($X$2,$AD$2:$AD$30,0),4))</x:f>
        <x:v>Disenso acomodaticio</x:v>
      </x:c>
      <x:c r="H40" s="87" t="s">
        <x:v>1131</x:v>
      </x:c>
      <x:c r="I40" s="143" t="n">
        <x:f>COUNTIFS(Votaciones!$B$2:$B$341,$X$2,Votaciones!$A$2:$A$341,"&lt;="&amp;$Y$2,Votaciones!$D$2:$D$341,"Disenso acomodaticio")</x:f>
        <x:v>4</x:v>
      </x:c>
      <x:c r="J40" s="140"/>
      <x:c r="K40" s="87"/>
      <x:c r="L40" s="87" t="s">
        <x:v>1131</x:v>
      </x:c>
      <x:c r="M40" s="143" t="n">
        <x:f>COUNTIFS(Votaciones!$B$2:$B$341,$X$2,Votaciones!$A$2:$A$341,"&gt;="&amp;"D"&amp;TEXT(EDATE($Y$3,-12),"yyyymmdd"),Votaciones!$A$2:$A$341,"&lt;="&amp;$Y$2,Votaciones!$D$2:$D$341,"Disenso acomodaticio")</x:f>
        <x:v>0</x:v>
      </x:c>
      <x:c r="N40" s="140"/>
      <x:c r="AA40" t="n">
        <x:f>Decisiones!B40</x:f>
        <x:v>38282</x:v>
      </x:c>
    </x:row>
    <x:row r="41">
      <x:c r="A41" s="84" t="n">
        <x:f>IFERROR(IF(INDEX($AE$2:$AR$30,MATCH($X$2,$AD$2:$AD$30,0),5)&lt;=$Y$3,INDEX($AE$2:$AR$30,MATCH($X$2,$AD$2:$AD$30,0),5),""),"")</x:f>
        <x:v>45512</x:v>
      </x:c>
      <x:c r="B41" s="85" t="n">
        <x:f>IF($A41="","",INDEX($AS$2:$BF$30,MATCH($X$2,$AD$2:$AD$30,0),5))</x:f>
        <x:v>10.75</x:v>
      </x:c>
      <x:c r="C41" s="86" t="n">
        <x:f>IF($A41="","",INDEX($BG$2:$BT$30,MATCH($X$2,$AD$2:$AD$30,0),5))</x:f>
        <x:v>-25</x:v>
      </x:c>
      <x:c r="D41" s="87" t="str">
        <x:f>IF($A41="","",INDEX($BU$2:$CH$30,MATCH($X$2,$AD$2:$AD$30,0),5))</x:f>
        <x:v>Ordinaria</x:v>
      </x:c>
      <x:c r="E41" s="87" t="str">
        <x:f>IF($A41="","",INDEX($CI$2:$CV$30,MATCH($X$2,$AD$2:$AD$30,0),5))</x:f>
        <x:v>Disenso restrictivo</x:v>
      </x:c>
      <x:c r="H41" s="87" t="s">
        <x:v>886</x:v>
      </x:c>
      <x:c r="I41" s="139" t="n">
        <x:f>IFERROR(I38/I37,0)</x:f>
        <x:v>0.22950819672131148</x:v>
      </x:c>
      <x:c r="J41" s="140"/>
      <x:c r="K41" s="87"/>
      <x:c r="L41" s="87" t="s">
        <x:v>886</x:v>
      </x:c>
      <x:c r="M41" s="139" t="n">
        <x:f>IFERROR(M38/M37,0)</x:f>
        <x:v>0.7777777777777778</x:v>
      </x:c>
      <x:c r="N41" s="140"/>
      <x:c r="AA41" t="n">
        <x:f>Decisiones!B41</x:f>
        <x:v>38317</x:v>
      </x:c>
    </x:row>
    <x:row r="42">
      <x:c r="A42" s="84" t="n">
        <x:f>IFERROR(IF(INDEX($AE$2:$AR$30,MATCH($X$2,$AD$2:$AD$30,0),6)&lt;=$Y$3,INDEX($AE$2:$AR$30,MATCH($X$2,$AD$2:$AD$30,0),6),""),"")</x:f>
        <x:v>45561</x:v>
      </x:c>
      <x:c r="B42" s="85" t="n">
        <x:f>IF($A42="","",INDEX($AS$2:$BF$30,MATCH($X$2,$AD$2:$AD$30,0),6))</x:f>
        <x:v>10.5</x:v>
      </x:c>
      <x:c r="C42" s="86" t="n">
        <x:f>IF($A42="","",INDEX($BG$2:$BT$30,MATCH($X$2,$AD$2:$AD$30,0),6))</x:f>
        <x:v>-25</x:v>
      </x:c>
      <x:c r="D42" s="87" t="str">
        <x:f>IF($A42="","",INDEX($BU$2:$CH$30,MATCH($X$2,$AD$2:$AD$30,0),6))</x:f>
        <x:v>Ordinaria</x:v>
      </x:c>
      <x:c r="E42" s="87" t="str">
        <x:f>IF($A42="","",INDEX($CI$2:$CV$30,MATCH($X$2,$AD$2:$AD$30,0),6))</x:f>
        <x:v>Disenso restrictivo</x:v>
      </x:c>
      <x:c r="H42" s="87" t="s">
        <x:v>887</x:v>
      </x:c>
      <x:c r="I42" s="139" t="n">
        <x:f>IFERROR(I39/I37,0)</x:f>
        <x:v>0.16393442622950818</x:v>
      </x:c>
      <x:c r="J42" s="140"/>
      <x:c r="K42" s="87"/>
      <x:c r="L42" s="87" t="s">
        <x:v>887</x:v>
      </x:c>
      <x:c r="M42" s="139" t="n">
        <x:f>IFERROR(M39/M37,0)</x:f>
        <x:v>0.7777777777777778</x:v>
      </x:c>
      <x:c r="N42" s="140"/>
      <x:c r="AA42" t="n">
        <x:f>Decisiones!B42</x:f>
        <x:v>38331</x:v>
      </x:c>
    </x:row>
    <x:row r="43">
      <x:c r="A43" s="84" t="n">
        <x:f>IFERROR(IF(INDEX($AE$2:$AR$30,MATCH($X$2,$AD$2:$AD$30,0),7)&lt;=$Y$3,INDEX($AE$2:$AR$30,MATCH($X$2,$AD$2:$AD$30,0),7),""),"")</x:f>
        <x:v>45694</x:v>
      </x:c>
      <x:c r="B43" s="85" t="n">
        <x:f>IF($A43="","",INDEX($AS$2:$BF$30,MATCH($X$2,$AD$2:$AD$30,0),7))</x:f>
        <x:v>9.5</x:v>
      </x:c>
      <x:c r="C43" s="86" t="n">
        <x:f>IF($A43="","",INDEX($BG$2:$BT$30,MATCH($X$2,$AD$2:$AD$30,0),7))</x:f>
        <x:v>-50</x:v>
      </x:c>
      <x:c r="D43" s="87" t="str">
        <x:f>IF($A43="","",INDEX($BU$2:$CH$30,MATCH($X$2,$AD$2:$AD$30,0),7))</x:f>
        <x:v>Ordinaria</x:v>
      </x:c>
      <x:c r="E43" s="87" t="str">
        <x:f>IF($A43="","",INDEX($CI$2:$CV$30,MATCH($X$2,$AD$2:$AD$30,0),7))</x:f>
        <x:v>Disenso restrictivo</x:v>
      </x:c>
      <x:c r="H43" s="91" t="s">
        <x:v>888</x:v>
      </x:c>
      <x:c r="I43" s="144" t="n">
        <x:f>IFERROR(I40/I37,0)</x:f>
        <x:v>0.06557377049180328</x:v>
      </x:c>
      <x:c r="J43" s="145"/>
      <x:c r="K43" s="91"/>
      <x:c r="L43" s="91" t="s">
        <x:v>888</x:v>
      </x:c>
      <x:c r="M43" s="144" t="n">
        <x:f>IFERROR(M40/M37,0)</x:f>
        <x:v>0</x:v>
      </x:c>
      <x:c r="N43" s="145"/>
      <x:c r="AA43" t="n">
        <x:f>Decisiones!B43</x:f>
        <x:v>38380</x:v>
      </x:c>
    </x:row>
    <x:row r="44">
      <x:c r="A44" s="84" t="n">
        <x:f>IFERROR(IF(INDEX($AE$2:$AR$30,MATCH($X$2,$AD$2:$AD$30,0),8)&lt;=$Y$3,INDEX($AE$2:$AR$30,MATCH($X$2,$AD$2:$AD$30,0),8),""),"")</x:f>
        <x:v>45834</x:v>
      </x:c>
      <x:c r="B44" s="85" t="n">
        <x:f>IF($A44="","",INDEX($AS$2:$BF$30,MATCH($X$2,$AD$2:$AD$30,0),8))</x:f>
        <x:v>8</x:v>
      </x:c>
      <x:c r="C44" s="86" t="n">
        <x:f>IF($A44="","",INDEX($BG$2:$BT$30,MATCH($X$2,$AD$2:$AD$30,0),8))</x:f>
        <x:v>-50</x:v>
      </x:c>
      <x:c r="D44" s="87" t="str">
        <x:f>IF($A44="","",INDEX($BU$2:$CH$30,MATCH($X$2,$AD$2:$AD$30,0),8))</x:f>
        <x:v>Ordinaria</x:v>
      </x:c>
      <x:c r="E44" s="87" t="str">
        <x:f>IF($A44="","",INDEX($CI$2:$CV$30,MATCH($X$2,$AD$2:$AD$30,0),8))</x:f>
        <x:v>Disenso restrictivo</x:v>
      </x:c>
      <x:c r="AA44" t="n">
        <x:f>Decisiones!B44</x:f>
        <x:v>38408</x:v>
      </x:c>
    </x:row>
    <x:row r="45">
      <x:c r="A45" s="84" t="n">
        <x:f>IFERROR(IF(INDEX($AE$2:$AR$30,MATCH($X$2,$AD$2:$AD$30,0),9)&lt;=$Y$3,INDEX($AE$2:$AR$30,MATCH($X$2,$AD$2:$AD$30,0),9),""),"")</x:f>
        <x:v>45876</x:v>
      </x:c>
      <x:c r="B45" s="85" t="n">
        <x:f>IF($A45="","",INDEX($AS$2:$BF$30,MATCH($X$2,$AD$2:$AD$30,0),9))</x:f>
        <x:v>7.75</x:v>
      </x:c>
      <x:c r="C45" s="86" t="n">
        <x:f>IF($A45="","",INDEX($BG$2:$BT$30,MATCH($X$2,$AD$2:$AD$30,0),9))</x:f>
        <x:v>-25</x:v>
      </x:c>
      <x:c r="D45" s="87" t="str">
        <x:f>IF($A45="","",INDEX($BU$2:$CH$30,MATCH($X$2,$AD$2:$AD$30,0),9))</x:f>
        <x:v>Ordinaria</x:v>
      </x:c>
      <x:c r="E45" s="87" t="str">
        <x:f>IF($A45="","",INDEX($CI$2:$CV$30,MATCH($X$2,$AD$2:$AD$30,0),9))</x:f>
        <x:v>Disenso restrictivo</x:v>
      </x:c>
      <x:c r="AA45" t="n">
        <x:f>Decisiones!B45</x:f>
        <x:v>38434</x:v>
      </x:c>
    </x:row>
    <x:row r="46">
      <x:c r="A46" s="84" t="n">
        <x:f>IFERROR(IF(INDEX($AE$2:$AR$30,MATCH($X$2,$AD$2:$AD$30,0),10)&lt;=$Y$3,INDEX($AE$2:$AR$30,MATCH($X$2,$AD$2:$AD$30,0),10),""),"")</x:f>
        <x:v>45925</x:v>
      </x:c>
      <x:c r="B46" s="85" t="n">
        <x:f>IF($A46="","",INDEX($AS$2:$BF$30,MATCH($X$2,$AD$2:$AD$30,0),10))</x:f>
        <x:v>7.5</x:v>
      </x:c>
      <x:c r="C46" s="86" t="n">
        <x:f>IF($A46="","",INDEX($BG$2:$BT$30,MATCH($X$2,$AD$2:$AD$30,0),10))</x:f>
        <x:v>-25</x:v>
      </x:c>
      <x:c r="D46" s="87" t="str">
        <x:f>IF($A46="","",INDEX($BU$2:$CH$30,MATCH($X$2,$AD$2:$AD$30,0),10))</x:f>
        <x:v>Ordinaria</x:v>
      </x:c>
      <x:c r="E46" s="87" t="str">
        <x:f>IF($A46="","",INDEX($CI$2:$CV$30,MATCH($X$2,$AD$2:$AD$30,0),10))</x:f>
        <x:v>Disenso restrictivo</x:v>
      </x:c>
      <x:c r="AA46" t="n">
        <x:f>Decisiones!B46</x:f>
        <x:v>38464</x:v>
      </x:c>
    </x:row>
    <x:row r="47">
      <x:c r="A47" s="84" t="n">
        <x:f>IFERROR(IF(INDEX($AE$2:$AR$30,MATCH($X$2,$AD$2:$AD$30,0),11)&lt;=$Y$3,INDEX($AE$2:$AR$30,MATCH($X$2,$AD$2:$AD$30,0),11),""),"")</x:f>
        <x:v>45967</x:v>
      </x:c>
      <x:c r="B47" s="85" t="n">
        <x:f>IF($A47="","",INDEX($AS$2:$BF$30,MATCH($X$2,$AD$2:$AD$30,0),11))</x:f>
        <x:v>7.25</x:v>
      </x:c>
      <x:c r="C47" s="86" t="n">
        <x:f>IF($A47="","",INDEX($BG$2:$BT$30,MATCH($X$2,$AD$2:$AD$30,0),11))</x:f>
        <x:v>-25</x:v>
      </x:c>
      <x:c r="D47" s="87" t="str">
        <x:f>IF($A47="","",INDEX($BU$2:$CH$30,MATCH($X$2,$AD$2:$AD$30,0),11))</x:f>
        <x:v>Ordinaria</x:v>
      </x:c>
      <x:c r="E47" s="87" t="str">
        <x:f>IF($A47="","",INDEX($CI$2:$CV$30,MATCH($X$2,$AD$2:$AD$30,0),11))</x:f>
        <x:v>Disenso restrictivo</x:v>
      </x:c>
      <x:c r="AA47" t="n">
        <x:f>Decisiones!B47</x:f>
        <x:v>38499</x:v>
      </x:c>
    </x:row>
    <x:row r="48">
      <x:c r="A48" s="84" t="n">
        <x:f>IFERROR(IF(INDEX($AE$2:$AR$30,MATCH($X$2,$AD$2:$AD$30,0),12)&lt;=$Y$3,INDEX($AE$2:$AR$30,MATCH($X$2,$AD$2:$AD$30,0),12),""),"")</x:f>
        <x:v>46009</x:v>
      </x:c>
      <x:c r="B48" s="85" t="n">
        <x:f>IF($A48="","",INDEX($AS$2:$BF$30,MATCH($X$2,$AD$2:$AD$30,0),12))</x:f>
        <x:v>7</x:v>
      </x:c>
      <x:c r="C48" s="86" t="n">
        <x:f>IF($A48="","",INDEX($BG$2:$BT$30,MATCH($X$2,$AD$2:$AD$30,0),12))</x:f>
        <x:v>-25</x:v>
      </x:c>
      <x:c r="D48" s="87" t="str">
        <x:f>IF($A48="","",INDEX($BU$2:$CH$30,MATCH($X$2,$AD$2:$AD$30,0),12))</x:f>
        <x:v>Ordinaria</x:v>
      </x:c>
      <x:c r="E48" s="87" t="str">
        <x:f>IF($A48="","",INDEX($CI$2:$CV$30,MATCH($X$2,$AD$2:$AD$30,0),12))</x:f>
        <x:v>Disenso restrictivo</x:v>
      </x:c>
      <x:c r="AA48" t="n">
        <x:f>Decisiones!B48</x:f>
        <x:v>38527</x:v>
      </x:c>
    </x:row>
    <x:row r="49">
      <x:c r="A49" s="84" t="n">
        <x:f>IFERROR(IF(INDEX($AE$2:$AR$30,MATCH($X$2,$AD$2:$AD$30,0),13)&lt;=$Y$3,INDEX($AE$2:$AR$30,MATCH($X$2,$AD$2:$AD$30,0),13),""),"")</x:f>
        <x:v>46107</x:v>
      </x:c>
      <x:c r="B49" s="85" t="n">
        <x:f>IF($A49="","",INDEX($AS$2:$BF$30,MATCH($X$2,$AD$2:$AD$30,0),13))</x:f>
        <x:v>6.75</x:v>
      </x:c>
      <x:c r="C49" s="86" t="n">
        <x:f>IF($A49="","",INDEX($BG$2:$BT$30,MATCH($X$2,$AD$2:$AD$30,0),13))</x:f>
        <x:v>-25</x:v>
      </x:c>
      <x:c r="D49" s="87" t="str">
        <x:f>IF($A49="","",INDEX($BU$2:$CH$30,MATCH($X$2,$AD$2:$AD$30,0),13))</x:f>
        <x:v>Ordinaria</x:v>
      </x:c>
      <x:c r="E49" s="87" t="str">
        <x:f>IF($A49="","",INDEX($CI$2:$CV$30,MATCH($X$2,$AD$2:$AD$30,0),13))</x:f>
        <x:v>Disenso restrictivo</x:v>
      </x:c>
      <x:c r="AA49" t="n">
        <x:f>Decisiones!B49</x:f>
        <x:v>38555</x:v>
      </x:c>
    </x:row>
    <x:row r="50">
      <x:c r="A50" s="88" t="n">
        <x:f>IFERROR(IF(INDEX($AE$2:$AR$30,MATCH($X$2,$AD$2:$AD$30,0),14)&lt;=$Y$3,INDEX($AE$2:$AR$30,MATCH($X$2,$AD$2:$AD$30,0),14),""),"")</x:f>
        <x:v>46149</x:v>
      </x:c>
      <x:c r="B50" s="89" t="n">
        <x:f>IF($A50="","",INDEX($AS$2:$BF$30,MATCH($X$2,$AD$2:$AD$30,0),14))</x:f>
        <x:v>6.5</x:v>
      </x:c>
      <x:c r="C50" s="90" t="n">
        <x:f>IF($A50="","",INDEX($BG$2:$BT$30,MATCH($X$2,$AD$2:$AD$30,0),14))</x:f>
        <x:v>-25</x:v>
      </x:c>
      <x:c r="D50" s="91" t="str">
        <x:f>IF($A50="","",INDEX($BU$2:$CH$30,MATCH($X$2,$AD$2:$AD$30,0),14))</x:f>
        <x:v>Ordinaria</x:v>
      </x:c>
      <x:c r="E50" s="91" t="str">
        <x:f>IF($A50="","",INDEX($CI$2:$CV$30,MATCH($X$2,$AD$2:$AD$30,0),14))</x:f>
        <x:v>Disenso restrictivo</x:v>
      </x:c>
      <x:c r="AA50" t="n">
        <x:f>Decisiones!B50</x:f>
        <x:v>38590</x:v>
      </x:c>
    </x:row>
    <x:row r="51">
      <x:c r="AA51" t="n">
        <x:f>Decisiones!B51</x:f>
        <x:v>38618</x:v>
      </x:c>
    </x:row>
    <x:row r="52">
      <x:c r="AA52" t="n">
        <x:f>Decisiones!B52</x:f>
        <x:v>38653</x:v>
      </x:c>
    </x:row>
    <x:row r="53">
      <x:c r="AA53" t="n">
        <x:f>Decisiones!B53</x:f>
        <x:v>38681</x:v>
      </x:c>
    </x:row>
    <x:row r="54">
      <x:c r="AA54" t="n">
        <x:f>Decisiones!B54</x:f>
        <x:v>38695</x:v>
      </x:c>
    </x:row>
    <x:row r="55">
      <x:c r="AA55" t="n">
        <x:f>Decisiones!B55</x:f>
        <x:v>38744</x:v>
      </x:c>
    </x:row>
    <x:row r="56">
      <x:c r="AA56" t="n">
        <x:f>Decisiones!B56</x:f>
        <x:v>38772</x:v>
      </x:c>
    </x:row>
    <x:row r="57">
      <x:c r="AA57" t="n">
        <x:f>Decisiones!B57</x:f>
        <x:v>38800</x:v>
      </x:c>
    </x:row>
    <x:row r="58">
      <x:c r="AA58" t="n">
        <x:f>Decisiones!B58</x:f>
        <x:v>38828</x:v>
      </x:c>
    </x:row>
    <x:row r="59">
      <x:c r="AA59" t="n">
        <x:f>Decisiones!B59</x:f>
        <x:v>38863</x:v>
      </x:c>
    </x:row>
    <x:row r="60">
      <x:c r="AA60" t="n">
        <x:f>Decisiones!B60</x:f>
        <x:v>38891</x:v>
      </x:c>
    </x:row>
    <x:row r="61">
      <x:c r="AA61" t="n">
        <x:f>Decisiones!B61</x:f>
        <x:v>38926</x:v>
      </x:c>
    </x:row>
    <x:row r="62">
      <x:c r="AA62" t="n">
        <x:f>Decisiones!B62</x:f>
        <x:v>38954</x:v>
      </x:c>
    </x:row>
    <x:row r="63">
      <x:c r="AA63" t="n">
        <x:f>Decisiones!B63</x:f>
        <x:v>38982</x:v>
      </x:c>
    </x:row>
    <x:row r="64">
      <x:c r="AA64" t="n">
        <x:f>Decisiones!B64</x:f>
        <x:v>39017</x:v>
      </x:c>
    </x:row>
    <x:row r="65">
      <x:c r="AA65" t="n">
        <x:f>Decisiones!B65</x:f>
        <x:v>39045</x:v>
      </x:c>
    </x:row>
    <x:row r="66">
      <x:c r="AA66" t="n">
        <x:f>Decisiones!B66</x:f>
        <x:v>39059</x:v>
      </x:c>
    </x:row>
    <x:row r="67">
      <x:c r="AA67" t="n">
        <x:f>Decisiones!B67</x:f>
        <x:v>39108</x:v>
      </x:c>
    </x:row>
    <x:row r="68">
      <x:c r="AA68" t="n">
        <x:f>Decisiones!B68</x:f>
        <x:v>39136</x:v>
      </x:c>
    </x:row>
    <x:row r="69">
      <x:c r="AA69" t="n">
        <x:f>Decisiones!B69</x:f>
        <x:v>39164</x:v>
      </x:c>
    </x:row>
    <x:row r="70">
      <x:c r="AA70" t="n">
        <x:f>Decisiones!B70</x:f>
        <x:v>39199</x:v>
      </x:c>
    </x:row>
    <x:row r="71">
      <x:c r="AA71" t="n">
        <x:f>Decisiones!B71</x:f>
        <x:v>39227</x:v>
      </x:c>
    </x:row>
    <x:row r="72">
      <x:c r="AA72" t="n">
        <x:f>Decisiones!B72</x:f>
        <x:v>39255</x:v>
      </x:c>
    </x:row>
    <x:row r="73">
      <x:c r="AA73" t="n">
        <x:f>Decisiones!B73</x:f>
        <x:v>39290</x:v>
      </x:c>
    </x:row>
    <x:row r="74">
      <x:c r="AA74" t="n">
        <x:f>Decisiones!B74</x:f>
        <x:v>39318</x:v>
      </x:c>
    </x:row>
    <x:row r="75">
      <x:c r="AA75" t="n">
        <x:f>Decisiones!B75</x:f>
        <x:v>39346</x:v>
      </x:c>
    </x:row>
    <x:row r="76">
      <x:c r="AA76" t="n">
        <x:f>Decisiones!B76</x:f>
        <x:v>39381</x:v>
      </x:c>
    </x:row>
    <x:row r="77">
      <x:c r="AA77" t="n">
        <x:f>Decisiones!B77</x:f>
        <x:v>39409</x:v>
      </x:c>
    </x:row>
    <x:row r="78">
      <x:c r="AA78" t="n">
        <x:f>Decisiones!B78</x:f>
        <x:v>39423</x:v>
      </x:c>
    </x:row>
    <x:row r="79">
      <x:c r="AA79" t="n">
        <x:f>Decisiones!B79</x:f>
        <x:v>39465</x:v>
      </x:c>
    </x:row>
    <x:row r="80">
      <x:c r="AA80" t="n">
        <x:f>Decisiones!B80</x:f>
        <x:v>39493</x:v>
      </x:c>
    </x:row>
    <x:row r="81">
      <x:c r="AA81" t="n">
        <x:f>Decisiones!B81</x:f>
        <x:v>39521</x:v>
      </x:c>
    </x:row>
    <x:row r="82">
      <x:c r="AA82" t="n">
        <x:f>Decisiones!B82</x:f>
        <x:v>39556</x:v>
      </x:c>
    </x:row>
    <x:row r="83">
      <x:c r="AA83" t="n">
        <x:f>Decisiones!B83</x:f>
        <x:v>39584</x:v>
      </x:c>
    </x:row>
    <x:row r="84">
      <x:c r="AA84" t="n">
        <x:f>Decisiones!B84</x:f>
        <x:v>39619</x:v>
      </x:c>
    </x:row>
    <x:row r="85">
      <x:c r="AA85" t="n">
        <x:f>Decisiones!B85</x:f>
        <x:v>39647</x:v>
      </x:c>
    </x:row>
    <x:row r="86">
      <x:c r="AA86" t="n">
        <x:f>Decisiones!B86</x:f>
        <x:v>39675</x:v>
      </x:c>
    </x:row>
    <x:row r="87">
      <x:c r="AA87" t="n">
        <x:f>Decisiones!B87</x:f>
        <x:v>39710</x:v>
      </x:c>
    </x:row>
    <x:row r="88">
      <x:c r="AA88" t="n">
        <x:f>Decisiones!B88</x:f>
        <x:v>39738</x:v>
      </x:c>
    </x:row>
    <x:row r="89">
      <x:c r="AA89" t="n">
        <x:f>Decisiones!B89</x:f>
        <x:v>39780</x:v>
      </x:c>
    </x:row>
    <x:row r="90">
      <x:c r="AA90" t="n">
        <x:f>Decisiones!B90</x:f>
        <x:v>39829</x:v>
      </x:c>
    </x:row>
    <x:row r="91">
      <x:c r="AA91" t="n">
        <x:f>Decisiones!B91</x:f>
        <x:v>39864</x:v>
      </x:c>
    </x:row>
    <x:row r="92">
      <x:c r="AA92" t="n">
        <x:f>Decisiones!B92</x:f>
        <x:v>39892</x:v>
      </x:c>
    </x:row>
    <x:row r="93">
      <x:c r="AA93" t="n">
        <x:f>Decisiones!B93</x:f>
        <x:v>39920</x:v>
      </x:c>
    </x:row>
    <x:row r="94">
      <x:c r="AA94" t="n">
        <x:f>Decisiones!B94</x:f>
        <x:v>39948</x:v>
      </x:c>
    </x:row>
    <x:row r="95">
      <x:c r="AA95" t="n">
        <x:f>Decisiones!B95</x:f>
        <x:v>39983</x:v>
      </x:c>
    </x:row>
    <x:row r="96">
      <x:c r="AA96" t="n">
        <x:f>Decisiones!B96</x:f>
        <x:v>40011</x:v>
      </x:c>
    </x:row>
    <x:row r="97">
      <x:c r="AA97" t="n">
        <x:f>Decisiones!B97</x:f>
        <x:v>40046</x:v>
      </x:c>
    </x:row>
    <x:row r="98">
      <x:c r="AA98" t="n">
        <x:f>Decisiones!B98</x:f>
        <x:v>40074</x:v>
      </x:c>
    </x:row>
    <x:row r="99">
      <x:c r="AA99" t="n">
        <x:f>Decisiones!B99</x:f>
        <x:v>40102</x:v>
      </x:c>
    </x:row>
    <x:row r="100" ht="1.9500000476837158" customHeight="1">
      <x:c r="A100" s="78" t="s">
        <x:v>871</x:v>
      </x:c>
      <x:c r="B100" s="78" t="s">
        <x:v>177</x:v>
      </x:c>
      <x:c r="C100" s="78" t="s">
        <x:v>1132</x:v>
      </x:c>
      <x:c r="D100" s="78" t="s">
        <x:v>1133</x:v>
      </x:c>
      <x:c r="E100" s="78" t="s">
        <x:v>1134</x:v>
      </x:c>
      <x:c r="F100" s="78" t="s">
        <x:v>1135</x:v>
      </x:c>
      <x:c r="G100" s="78" t="s">
        <x:v>1136</x:v>
      </x:c>
      <x:c r="H100" s="78"/>
      <x:c r="I100" s="78"/>
      <x:c r="J100" s="78"/>
      <x:c r="K100" s="78"/>
      <x:c r="L100" s="78"/>
      <x:c r="M100" s="78"/>
      <x:c r="AA100" t="n">
        <x:f>Decisiones!B100</x:f>
        <x:v>40144</x:v>
      </x:c>
    </x:row>
    <x:row r="101" ht="1.9500000476837158" customHeight="1">
      <x:c r="A101" s="94" t="n">
        <x:f>Decisiones!B80</x:f>
        <x:v>39493</x:v>
      </x:c>
      <x:c r="B101" s="78" t="n">
        <x:f>Decisiones!H80</x:f>
        <x:v>7.5</x:v>
      </x:c>
      <x:c r="C101" s="78" t="n">
        <x:f>COUNTIFS(Votaciones!$A$2:$A$341,Decisiones!A80,Votaciones!$D$2:$D$341,"Disenso restrictivo")</x:f>
        <x:v>0</x:v>
      </x:c>
      <x:c r="D101" s="78" t="n">
        <x:f>COUNTIFS(Votaciones!$A$2:$A$341,Decisiones!A80,Votaciones!$D$2:$D$341,"Disenso acomodaticio")</x:f>
        <x:v>0</x:v>
      </x:c>
      <x:c r="E101" s="78" t="e">
        <x:f>NA()</x:f>
        <x:v>#N/A</x:v>
      </x:c>
      <x:c r="F101" s="78" t="e">
        <x:f>NA()</x:f>
        <x:v>#N/A</x:v>
      </x:c>
      <x:c r="G101" s="78" t="e">
        <x:f ca="1">IF(AND(Decisiones!A80&gt;=IFERROR(INDEX(Participacion_Junta!$A$2:$A$341,_xludf.AGGREGATE(15,6,(ROW(Participacion_Junta!$A$2:$A$341)-1)/(Participacion_Junta!$B$2:$B$341=$X$2),1)),"ZZZ"),Decisiones!A80&lt;=IFERROR(INDEX(Participacion_Junta!$A$2:$A$341,_xludf.AGGREGATE(14,6,(ROW(Participacion_Junta!$A$2:$A$341)-1)/(Participacion_Junta!$B$2:$B$341=$X$2),1)),"")),0.35,NA())</x:f>
        <x:v>#NAME?</x:v>
      </x:c>
      <x:c r="H101" s="78"/>
      <x:c r="I101" s="78"/>
      <x:c r="J101" s="78"/>
      <x:c r="K101" s="78"/>
      <x:c r="L101" s="78"/>
      <x:c r="M101" s="78"/>
      <x:c r="AA101" t="n">
        <x:f>Decisiones!B101</x:f>
        <x:v>40193</x:v>
      </x:c>
    </x:row>
    <x:row r="102" ht="1.9500000476837158" customHeight="1">
      <x:c r="A102" s="94" t="n">
        <x:f>Decisiones!B81</x:f>
        <x:v>39521</x:v>
      </x:c>
      <x:c r="B102" s="78" t="n">
        <x:f>Decisiones!H81</x:f>
        <x:v>7.5</x:v>
      </x:c>
      <x:c r="C102" s="78" t="n">
        <x:f>COUNTIFS(Votaciones!$A$2:$A$341,Decisiones!A81,Votaciones!$D$2:$D$341,"Disenso restrictivo")</x:f>
        <x:v>0</x:v>
      </x:c>
      <x:c r="D102" s="78" t="n">
        <x:f>COUNTIFS(Votaciones!$A$2:$A$341,Decisiones!A81,Votaciones!$D$2:$D$341,"Disenso acomodaticio")</x:f>
        <x:v>0</x:v>
      </x:c>
      <x:c r="E102" s="78" t="e">
        <x:f>NA()</x:f>
        <x:v>#N/A</x:v>
      </x:c>
      <x:c r="F102" s="78" t="e">
        <x:f>NA()</x:f>
        <x:v>#N/A</x:v>
      </x:c>
      <x:c r="G102" s="78" t="e">
        <x:f ca="1">IF(AND(Decisiones!A81&gt;=IFERROR(INDEX(Participacion_Junta!$A$2:$A$341,_xludf.AGGREGATE(15,6,(ROW(Participacion_Junta!$A$2:$A$341)-1)/(Participacion_Junta!$B$2:$B$341=$X$2),1)),"ZZZ"),Decisiones!A81&lt;=IFERROR(INDEX(Participacion_Junta!$A$2:$A$341,_xludf.AGGREGATE(14,6,(ROW(Participacion_Junta!$A$2:$A$341)-1)/(Participacion_Junta!$B$2:$B$341=$X$2),1)),"")),0.35,NA())</x:f>
        <x:v>#NAME?</x:v>
      </x:c>
      <x:c r="H102" s="78"/>
      <x:c r="I102" s="78"/>
      <x:c r="J102" s="78"/>
      <x:c r="K102" s="78"/>
      <x:c r="L102" s="78"/>
      <x:c r="M102" s="78"/>
      <x:c r="AA102" t="n">
        <x:f>Decisiones!B102</x:f>
        <x:v>40228</x:v>
      </x:c>
    </x:row>
    <x:row r="103" ht="1.9500000476837158" customHeight="1">
      <x:c r="A103" s="94" t="n">
        <x:f>Decisiones!B82</x:f>
        <x:v>39556</x:v>
      </x:c>
      <x:c r="B103" s="78" t="n">
        <x:f>Decisiones!H82</x:f>
        <x:v>7.5</x:v>
      </x:c>
      <x:c r="C103" s="78" t="n">
        <x:f>COUNTIFS(Votaciones!$A$2:$A$341,Decisiones!A82,Votaciones!$D$2:$D$341,"Disenso restrictivo")</x:f>
        <x:v>0</x:v>
      </x:c>
      <x:c r="D103" s="78" t="n">
        <x:f>COUNTIFS(Votaciones!$A$2:$A$341,Decisiones!A82,Votaciones!$D$2:$D$341,"Disenso acomodaticio")</x:f>
        <x:v>0</x:v>
      </x:c>
      <x:c r="E103" s="78" t="e">
        <x:f>NA()</x:f>
        <x:v>#N/A</x:v>
      </x:c>
      <x:c r="F103" s="78" t="e">
        <x:f>NA()</x:f>
        <x:v>#N/A</x:v>
      </x:c>
      <x:c r="G103" s="78" t="e">
        <x:f ca="1">IF(AND(Decisiones!A82&gt;=IFERROR(INDEX(Participacion_Junta!$A$2:$A$341,_xludf.AGGREGATE(15,6,(ROW(Participacion_Junta!$A$2:$A$341)-1)/(Participacion_Junta!$B$2:$B$341=$X$2),1)),"ZZZ"),Decisiones!A82&lt;=IFERROR(INDEX(Participacion_Junta!$A$2:$A$341,_xludf.AGGREGATE(14,6,(ROW(Participacion_Junta!$A$2:$A$341)-1)/(Participacion_Junta!$B$2:$B$341=$X$2),1)),"")),0.35,NA())</x:f>
        <x:v>#NAME?</x:v>
      </x:c>
      <x:c r="H103" s="78"/>
      <x:c r="I103" s="78"/>
      <x:c r="J103" s="78"/>
      <x:c r="K103" s="78"/>
      <x:c r="L103" s="78"/>
      <x:c r="M103" s="78"/>
      <x:c r="AA103" t="n">
        <x:f>Decisiones!B103</x:f>
        <x:v>40256</x:v>
      </x:c>
    </x:row>
    <x:row r="104" ht="1.9500000476837158" customHeight="1">
      <x:c r="A104" s="94" t="n">
        <x:f>Decisiones!B83</x:f>
        <x:v>39584</x:v>
      </x:c>
      <x:c r="B104" s="78" t="n">
        <x:f>Decisiones!H83</x:f>
        <x:v>7.5</x:v>
      </x:c>
      <x:c r="C104" s="78" t="n">
        <x:f>COUNTIFS(Votaciones!$A$2:$A$341,Decisiones!A83,Votaciones!$D$2:$D$341,"Disenso restrictivo")</x:f>
        <x:v>0</x:v>
      </x:c>
      <x:c r="D104" s="78" t="n">
        <x:f>COUNTIFS(Votaciones!$A$2:$A$341,Decisiones!A83,Votaciones!$D$2:$D$341,"Disenso acomodaticio")</x:f>
        <x:v>0</x:v>
      </x:c>
      <x:c r="E104" s="78" t="e">
        <x:f>NA()</x:f>
        <x:v>#N/A</x:v>
      </x:c>
      <x:c r="F104" s="78" t="e">
        <x:f>NA()</x:f>
        <x:v>#N/A</x:v>
      </x:c>
      <x:c r="G104" s="78" t="e">
        <x:f ca="1">IF(AND(Decisiones!A83&gt;=IFERROR(INDEX(Participacion_Junta!$A$2:$A$341,_xludf.AGGREGATE(15,6,(ROW(Participacion_Junta!$A$2:$A$341)-1)/(Participacion_Junta!$B$2:$B$341=$X$2),1)),"ZZZ"),Decisiones!A83&lt;=IFERROR(INDEX(Participacion_Junta!$A$2:$A$341,_xludf.AGGREGATE(14,6,(ROW(Participacion_Junta!$A$2:$A$341)-1)/(Participacion_Junta!$B$2:$B$341=$X$2),1)),"")),0.35,NA())</x:f>
        <x:v>#NAME?</x:v>
      </x:c>
      <x:c r="H104" s="78"/>
      <x:c r="I104" s="78"/>
      <x:c r="J104" s="78"/>
      <x:c r="K104" s="78"/>
      <x:c r="L104" s="78"/>
      <x:c r="M104" s="78"/>
      <x:c r="AA104" t="n">
        <x:f>Decisiones!B104</x:f>
        <x:v>40284</x:v>
      </x:c>
    </x:row>
    <x:row r="105" ht="1.9500000476837158" customHeight="1">
      <x:c r="A105" s="94" t="n">
        <x:f>Decisiones!B84</x:f>
        <x:v>39619</x:v>
      </x:c>
      <x:c r="B105" s="78" t="n">
        <x:f>Decisiones!H84</x:f>
        <x:v>7.75</x:v>
      </x:c>
      <x:c r="C105" s="78" t="n">
        <x:f>COUNTIFS(Votaciones!$A$2:$A$341,Decisiones!A84,Votaciones!$D$2:$D$341,"Disenso restrictivo")</x:f>
        <x:v>0</x:v>
      </x:c>
      <x:c r="D105" s="78" t="n">
        <x:f>COUNTIFS(Votaciones!$A$2:$A$341,Decisiones!A84,Votaciones!$D$2:$D$341,"Disenso acomodaticio")</x:f>
        <x:v>0</x:v>
      </x:c>
      <x:c r="E105" s="78" t="e">
        <x:f>NA()</x:f>
        <x:v>#N/A</x:v>
      </x:c>
      <x:c r="F105" s="78" t="e">
        <x:f>NA()</x:f>
        <x:v>#N/A</x:v>
      </x:c>
      <x:c r="G105" s="78" t="e">
        <x:f ca="1">IF(AND(Decisiones!A84&gt;=IFERROR(INDEX(Participacion_Junta!$A$2:$A$341,_xludf.AGGREGATE(15,6,(ROW(Participacion_Junta!$A$2:$A$341)-1)/(Participacion_Junta!$B$2:$B$341=$X$2),1)),"ZZZ"),Decisiones!A84&lt;=IFERROR(INDEX(Participacion_Junta!$A$2:$A$341,_xludf.AGGREGATE(14,6,(ROW(Participacion_Junta!$A$2:$A$341)-1)/(Participacion_Junta!$B$2:$B$341=$X$2),1)),"")),0.35,NA())</x:f>
        <x:v>#NAME?</x:v>
      </x:c>
      <x:c r="H105" s="78"/>
      <x:c r="I105" s="78"/>
      <x:c r="J105" s="78"/>
      <x:c r="K105" s="78"/>
      <x:c r="L105" s="78"/>
      <x:c r="M105" s="78"/>
      <x:c r="AA105" t="n">
        <x:f>Decisiones!B105</x:f>
        <x:v>40319</x:v>
      </x:c>
    </x:row>
    <x:row r="106" ht="1.9500000476837158" customHeight="1">
      <x:c r="A106" s="94" t="n">
        <x:f>Decisiones!B85</x:f>
        <x:v>39647</x:v>
      </x:c>
      <x:c r="B106" s="78" t="n">
        <x:f>Decisiones!H85</x:f>
        <x:v>8</x:v>
      </x:c>
      <x:c r="C106" s="78" t="n">
        <x:f>COUNTIFS(Votaciones!$A$2:$A$341,Decisiones!A85,Votaciones!$D$2:$D$341,"Disenso restrictivo")</x:f>
        <x:v>0</x:v>
      </x:c>
      <x:c r="D106" s="78" t="n">
        <x:f>COUNTIFS(Votaciones!$A$2:$A$341,Decisiones!A85,Votaciones!$D$2:$D$341,"Disenso acomodaticio")</x:f>
        <x:v>0</x:v>
      </x:c>
      <x:c r="E106" s="78" t="e">
        <x:f>NA()</x:f>
        <x:v>#N/A</x:v>
      </x:c>
      <x:c r="F106" s="78" t="e">
        <x:f>NA()</x:f>
        <x:v>#N/A</x:v>
      </x:c>
      <x:c r="G106" s="78" t="e">
        <x:f ca="1">IF(AND(Decisiones!A85&gt;=IFERROR(INDEX(Participacion_Junta!$A$2:$A$341,_xludf.AGGREGATE(15,6,(ROW(Participacion_Junta!$A$2:$A$341)-1)/(Participacion_Junta!$B$2:$B$341=$X$2),1)),"ZZZ"),Decisiones!A85&lt;=IFERROR(INDEX(Participacion_Junta!$A$2:$A$341,_xludf.AGGREGATE(14,6,(ROW(Participacion_Junta!$A$2:$A$341)-1)/(Participacion_Junta!$B$2:$B$341=$X$2),1)),"")),0.35,NA())</x:f>
        <x:v>#NAME?</x:v>
      </x:c>
      <x:c r="H106" s="78"/>
      <x:c r="I106" s="78"/>
      <x:c r="J106" s="78"/>
      <x:c r="K106" s="78"/>
      <x:c r="L106" s="78"/>
      <x:c r="M106" s="78"/>
      <x:c r="AA106" t="n">
        <x:f>Decisiones!B106</x:f>
        <x:v>40347</x:v>
      </x:c>
    </x:row>
    <x:row r="107" ht="1.9500000476837158" customHeight="1">
      <x:c r="A107" s="94" t="n">
        <x:f>Decisiones!B86</x:f>
        <x:v>39675</x:v>
      </x:c>
      <x:c r="B107" s="78" t="n">
        <x:f>Decisiones!H86</x:f>
        <x:v>8.25</x:v>
      </x:c>
      <x:c r="C107" s="78" t="n">
        <x:f>COUNTIFS(Votaciones!$A$2:$A$341,Decisiones!A86,Votaciones!$D$2:$D$341,"Disenso restrictivo")</x:f>
        <x:v>0</x:v>
      </x:c>
      <x:c r="D107" s="78" t="n">
        <x:f>COUNTIFS(Votaciones!$A$2:$A$341,Decisiones!A86,Votaciones!$D$2:$D$341,"Disenso acomodaticio")</x:f>
        <x:v>0</x:v>
      </x:c>
      <x:c r="E107" s="78" t="e">
        <x:f>NA()</x:f>
        <x:v>#N/A</x:v>
      </x:c>
      <x:c r="F107" s="78" t="e">
        <x:f>NA()</x:f>
        <x:v>#N/A</x:v>
      </x:c>
      <x:c r="G107" s="78" t="e">
        <x:f ca="1">IF(AND(Decisiones!A86&gt;=IFERROR(INDEX(Participacion_Junta!$A$2:$A$341,_xludf.AGGREGATE(15,6,(ROW(Participacion_Junta!$A$2:$A$341)-1)/(Participacion_Junta!$B$2:$B$341=$X$2),1)),"ZZZ"),Decisiones!A86&lt;=IFERROR(INDEX(Participacion_Junta!$A$2:$A$341,_xludf.AGGREGATE(14,6,(ROW(Participacion_Junta!$A$2:$A$341)-1)/(Participacion_Junta!$B$2:$B$341=$X$2),1)),"")),0.35,NA())</x:f>
        <x:v>#NAME?</x:v>
      </x:c>
      <x:c r="H107" s="78"/>
      <x:c r="I107" s="78"/>
      <x:c r="J107" s="78"/>
      <x:c r="K107" s="78"/>
      <x:c r="L107" s="78"/>
      <x:c r="M107" s="78"/>
      <x:c r="AA107" t="n">
        <x:f>Decisiones!B107</x:f>
        <x:v>40375</x:v>
      </x:c>
    </x:row>
    <x:row r="108" ht="1.9500000476837158" customHeight="1">
      <x:c r="A108" s="94" t="n">
        <x:f>Decisiones!B87</x:f>
        <x:v>39710</x:v>
      </x:c>
      <x:c r="B108" s="78" t="n">
        <x:f>Decisiones!H87</x:f>
        <x:v>8.25</x:v>
      </x:c>
      <x:c r="C108" s="78" t="n">
        <x:f>COUNTIFS(Votaciones!$A$2:$A$341,Decisiones!A87,Votaciones!$D$2:$D$341,"Disenso restrictivo")</x:f>
        <x:v>0</x:v>
      </x:c>
      <x:c r="D108" s="78" t="n">
        <x:f>COUNTIFS(Votaciones!$A$2:$A$341,Decisiones!A87,Votaciones!$D$2:$D$341,"Disenso acomodaticio")</x:f>
        <x:v>0</x:v>
      </x:c>
      <x:c r="E108" s="78" t="e">
        <x:f>NA()</x:f>
        <x:v>#N/A</x:v>
      </x:c>
      <x:c r="F108" s="78" t="e">
        <x:f>NA()</x:f>
        <x:v>#N/A</x:v>
      </x:c>
      <x:c r="G108" s="78" t="e">
        <x:f ca="1">IF(AND(Decisiones!A87&gt;=IFERROR(INDEX(Participacion_Junta!$A$2:$A$341,_xludf.AGGREGATE(15,6,(ROW(Participacion_Junta!$A$2:$A$341)-1)/(Participacion_Junta!$B$2:$B$341=$X$2),1)),"ZZZ"),Decisiones!A87&lt;=IFERROR(INDEX(Participacion_Junta!$A$2:$A$341,_xludf.AGGREGATE(14,6,(ROW(Participacion_Junta!$A$2:$A$341)-1)/(Participacion_Junta!$B$2:$B$341=$X$2),1)),"")),0.35,NA())</x:f>
        <x:v>#NAME?</x:v>
      </x:c>
      <x:c r="H108" s="78"/>
      <x:c r="I108" s="78"/>
      <x:c r="J108" s="78"/>
      <x:c r="K108" s="78"/>
      <x:c r="L108" s="78"/>
      <x:c r="M108" s="78"/>
      <x:c r="AA108" t="n">
        <x:f>Decisiones!B108</x:f>
        <x:v>40410</x:v>
      </x:c>
    </x:row>
    <x:row r="109" ht="1.9500000476837158" customHeight="1">
      <x:c r="A109" s="94" t="n">
        <x:f>Decisiones!B88</x:f>
        <x:v>39738</x:v>
      </x:c>
      <x:c r="B109" s="78" t="n">
        <x:f>Decisiones!H88</x:f>
        <x:v>8.25</x:v>
      </x:c>
      <x:c r="C109" s="78" t="n">
        <x:f>COUNTIFS(Votaciones!$A$2:$A$341,Decisiones!A88,Votaciones!$D$2:$D$341,"Disenso restrictivo")</x:f>
        <x:v>0</x:v>
      </x:c>
      <x:c r="D109" s="78" t="n">
        <x:f>COUNTIFS(Votaciones!$A$2:$A$341,Decisiones!A88,Votaciones!$D$2:$D$341,"Disenso acomodaticio")</x:f>
        <x:v>0</x:v>
      </x:c>
      <x:c r="E109" s="78" t="e">
        <x:f>NA()</x:f>
        <x:v>#N/A</x:v>
      </x:c>
      <x:c r="F109" s="78" t="e">
        <x:f>NA()</x:f>
        <x:v>#N/A</x:v>
      </x:c>
      <x:c r="G109" s="78" t="e">
        <x:f ca="1">IF(AND(Decisiones!A88&gt;=IFERROR(INDEX(Participacion_Junta!$A$2:$A$341,_xludf.AGGREGATE(15,6,(ROW(Participacion_Junta!$A$2:$A$341)-1)/(Participacion_Junta!$B$2:$B$341=$X$2),1)),"ZZZ"),Decisiones!A88&lt;=IFERROR(INDEX(Participacion_Junta!$A$2:$A$341,_xludf.AGGREGATE(14,6,(ROW(Participacion_Junta!$A$2:$A$341)-1)/(Participacion_Junta!$B$2:$B$341=$X$2),1)),"")),0.35,NA())</x:f>
        <x:v>#NAME?</x:v>
      </x:c>
      <x:c r="H109" s="78"/>
      <x:c r="I109" s="78"/>
      <x:c r="J109" s="78"/>
      <x:c r="K109" s="78"/>
      <x:c r="L109" s="78"/>
      <x:c r="M109" s="78"/>
      <x:c r="AA109" t="n">
        <x:f>Decisiones!B109</x:f>
        <x:v>40445</x:v>
      </x:c>
    </x:row>
    <x:row r="110" ht="1.9500000476837158" customHeight="1">
      <x:c r="A110" s="94" t="n">
        <x:f>Decisiones!B89</x:f>
        <x:v>39780</x:v>
      </x:c>
      <x:c r="B110" s="78" t="n">
        <x:f>Decisiones!H89</x:f>
        <x:v>8.25</x:v>
      </x:c>
      <x:c r="C110" s="78" t="n">
        <x:f>COUNTIFS(Votaciones!$A$2:$A$341,Decisiones!A89,Votaciones!$D$2:$D$341,"Disenso restrictivo")</x:f>
        <x:v>0</x:v>
      </x:c>
      <x:c r="D110" s="78" t="n">
        <x:f>COUNTIFS(Votaciones!$A$2:$A$341,Decisiones!A89,Votaciones!$D$2:$D$341,"Disenso acomodaticio")</x:f>
        <x:v>0</x:v>
      </x:c>
      <x:c r="E110" s="78" t="e">
        <x:f>NA()</x:f>
        <x:v>#N/A</x:v>
      </x:c>
      <x:c r="F110" s="78" t="e">
        <x:f>NA()</x:f>
        <x:v>#N/A</x:v>
      </x:c>
      <x:c r="G110" s="78" t="e">
        <x:f ca="1">IF(AND(Decisiones!A89&gt;=IFERROR(INDEX(Participacion_Junta!$A$2:$A$341,_xludf.AGGREGATE(15,6,(ROW(Participacion_Junta!$A$2:$A$341)-1)/(Participacion_Junta!$B$2:$B$341=$X$2),1)),"ZZZ"),Decisiones!A89&lt;=IFERROR(INDEX(Participacion_Junta!$A$2:$A$341,_xludf.AGGREGATE(14,6,(ROW(Participacion_Junta!$A$2:$A$341)-1)/(Participacion_Junta!$B$2:$B$341=$X$2),1)),"")),0.35,NA())</x:f>
        <x:v>#NAME?</x:v>
      </x:c>
      <x:c r="H110" s="78"/>
      <x:c r="I110" s="78"/>
      <x:c r="J110" s="78"/>
      <x:c r="K110" s="78"/>
      <x:c r="L110" s="78"/>
      <x:c r="M110" s="78"/>
      <x:c r="AA110" t="n">
        <x:f>Decisiones!B110</x:f>
        <x:v>40466</x:v>
      </x:c>
    </x:row>
    <x:row r="111" ht="1.9500000476837158" customHeight="1">
      <x:c r="A111" s="94" t="n">
        <x:f>Decisiones!B90</x:f>
        <x:v>39829</x:v>
      </x:c>
      <x:c r="B111" s="78" t="n">
        <x:f>Decisiones!H90</x:f>
        <x:v>7.75</x:v>
      </x:c>
      <x:c r="C111" s="78" t="n">
        <x:f>COUNTIFS(Votaciones!$A$2:$A$341,Decisiones!A90,Votaciones!$D$2:$D$341,"Disenso restrictivo")</x:f>
        <x:v>0</x:v>
      </x:c>
      <x:c r="D111" s="78" t="n">
        <x:f>COUNTIFS(Votaciones!$A$2:$A$341,Decisiones!A90,Votaciones!$D$2:$D$341,"Disenso acomodaticio")</x:f>
        <x:v>0</x:v>
      </x:c>
      <x:c r="E111" s="78" t="e">
        <x:f>NA()</x:f>
        <x:v>#N/A</x:v>
      </x:c>
      <x:c r="F111" s="78" t="e">
        <x:f>NA()</x:f>
        <x:v>#N/A</x:v>
      </x:c>
      <x:c r="G111" s="78" t="e">
        <x:f ca="1">IF(AND(Decisiones!A90&gt;=IFERROR(INDEX(Participacion_Junta!$A$2:$A$341,_xludf.AGGREGATE(15,6,(ROW(Participacion_Junta!$A$2:$A$341)-1)/(Participacion_Junta!$B$2:$B$341=$X$2),1)),"ZZZ"),Decisiones!A90&lt;=IFERROR(INDEX(Participacion_Junta!$A$2:$A$341,_xludf.AGGREGATE(14,6,(ROW(Participacion_Junta!$A$2:$A$341)-1)/(Participacion_Junta!$B$2:$B$341=$X$2),1)),"")),0.35,NA())</x:f>
        <x:v>#NAME?</x:v>
      </x:c>
      <x:c r="H111" s="78"/>
      <x:c r="I111" s="78"/>
      <x:c r="J111" s="78"/>
      <x:c r="K111" s="78"/>
      <x:c r="L111" s="78"/>
      <x:c r="M111" s="78"/>
      <x:c r="AA111" t="n">
        <x:f>Decisiones!B111</x:f>
        <x:v>40508</x:v>
      </x:c>
    </x:row>
    <x:row r="112" ht="1.9500000476837158" customHeight="1">
      <x:c r="A112" s="94" t="n">
        <x:f>Decisiones!B91</x:f>
        <x:v>39864</x:v>
      </x:c>
      <x:c r="B112" s="78" t="n">
        <x:f>Decisiones!H91</x:f>
        <x:v>7.5</x:v>
      </x:c>
      <x:c r="C112" s="78" t="n">
        <x:f>COUNTIFS(Votaciones!$A$2:$A$341,Decisiones!A91,Votaciones!$D$2:$D$341,"Disenso restrictivo")</x:f>
        <x:v>0</x:v>
      </x:c>
      <x:c r="D112" s="78" t="n">
        <x:f>COUNTIFS(Votaciones!$A$2:$A$341,Decisiones!A91,Votaciones!$D$2:$D$341,"Disenso acomodaticio")</x:f>
        <x:v>0</x:v>
      </x:c>
      <x:c r="E112" s="78" t="e">
        <x:f>NA()</x:f>
        <x:v>#N/A</x:v>
      </x:c>
      <x:c r="F112" s="78" t="e">
        <x:f>NA()</x:f>
        <x:v>#N/A</x:v>
      </x:c>
      <x:c r="G112" s="78" t="e">
        <x:f ca="1">IF(AND(Decisiones!A91&gt;=IFERROR(INDEX(Participacion_Junta!$A$2:$A$341,_xludf.AGGREGATE(15,6,(ROW(Participacion_Junta!$A$2:$A$341)-1)/(Participacion_Junta!$B$2:$B$341=$X$2),1)),"ZZZ"),Decisiones!A91&lt;=IFERROR(INDEX(Participacion_Junta!$A$2:$A$341,_xludf.AGGREGATE(14,6,(ROW(Participacion_Junta!$A$2:$A$341)-1)/(Participacion_Junta!$B$2:$B$341=$X$2),1)),"")),0.35,NA())</x:f>
        <x:v>#NAME?</x:v>
      </x:c>
      <x:c r="H112" s="78"/>
      <x:c r="I112" s="78"/>
      <x:c r="J112" s="78"/>
      <x:c r="K112" s="78"/>
      <x:c r="L112" s="78"/>
      <x:c r="M112" s="78"/>
      <x:c r="AA112" t="n">
        <x:f>Decisiones!B112</x:f>
        <x:v>40564</x:v>
      </x:c>
    </x:row>
    <x:row r="113" ht="1.9500000476837158" customHeight="1">
      <x:c r="A113" s="94" t="n">
        <x:f>Decisiones!B92</x:f>
        <x:v>39892</x:v>
      </x:c>
      <x:c r="B113" s="78" t="n">
        <x:f>Decisiones!H92</x:f>
        <x:v>6.75</x:v>
      </x:c>
      <x:c r="C113" s="78" t="n">
        <x:f>COUNTIFS(Votaciones!$A$2:$A$341,Decisiones!A92,Votaciones!$D$2:$D$341,"Disenso restrictivo")</x:f>
        <x:v>0</x:v>
      </x:c>
      <x:c r="D113" s="78" t="n">
        <x:f>COUNTIFS(Votaciones!$A$2:$A$341,Decisiones!A92,Votaciones!$D$2:$D$341,"Disenso acomodaticio")</x:f>
        <x:v>0</x:v>
      </x:c>
      <x:c r="E113" s="78" t="e">
        <x:f>NA()</x:f>
        <x:v>#N/A</x:v>
      </x:c>
      <x:c r="F113" s="78" t="e">
        <x:f>NA()</x:f>
        <x:v>#N/A</x:v>
      </x:c>
      <x:c r="G113" s="78" t="e">
        <x:f ca="1">IF(AND(Decisiones!A92&gt;=IFERROR(INDEX(Participacion_Junta!$A$2:$A$341,_xludf.AGGREGATE(15,6,(ROW(Participacion_Junta!$A$2:$A$341)-1)/(Participacion_Junta!$B$2:$B$341=$X$2),1)),"ZZZ"),Decisiones!A92&lt;=IFERROR(INDEX(Participacion_Junta!$A$2:$A$341,_xludf.AGGREGATE(14,6,(ROW(Participacion_Junta!$A$2:$A$341)-1)/(Participacion_Junta!$B$2:$B$341=$X$2),1)),"")),0.35,NA())</x:f>
        <x:v>#NAME?</x:v>
      </x:c>
      <x:c r="H113" s="78"/>
      <x:c r="I113" s="78"/>
      <x:c r="J113" s="78"/>
      <x:c r="K113" s="78"/>
      <x:c r="L113" s="78"/>
      <x:c r="M113" s="78"/>
      <x:c r="AA113" t="n">
        <x:f>Decisiones!B113</x:f>
        <x:v>40606</x:v>
      </x:c>
    </x:row>
    <x:row r="114" ht="1.9500000476837158" customHeight="1">
      <x:c r="A114" s="94" t="n">
        <x:f>Decisiones!B93</x:f>
        <x:v>39920</x:v>
      </x:c>
      <x:c r="B114" s="78" t="n">
        <x:f>Decisiones!H93</x:f>
        <x:v>6</x:v>
      </x:c>
      <x:c r="C114" s="78" t="n">
        <x:f>COUNTIFS(Votaciones!$A$2:$A$341,Decisiones!A93,Votaciones!$D$2:$D$341,"Disenso restrictivo")</x:f>
        <x:v>0</x:v>
      </x:c>
      <x:c r="D114" s="78" t="n">
        <x:f>COUNTIFS(Votaciones!$A$2:$A$341,Decisiones!A93,Votaciones!$D$2:$D$341,"Disenso acomodaticio")</x:f>
        <x:v>0</x:v>
      </x:c>
      <x:c r="E114" s="78" t="e">
        <x:f>NA()</x:f>
        <x:v>#N/A</x:v>
      </x:c>
      <x:c r="F114" s="78" t="e">
        <x:f>NA()</x:f>
        <x:v>#N/A</x:v>
      </x:c>
      <x:c r="G114" s="78" t="e">
        <x:f ca="1">IF(AND(Decisiones!A93&gt;=IFERROR(INDEX(Participacion_Junta!$A$2:$A$341,_xludf.AGGREGATE(15,6,(ROW(Participacion_Junta!$A$2:$A$341)-1)/(Participacion_Junta!$B$2:$B$341=$X$2),1)),"ZZZ"),Decisiones!A93&lt;=IFERROR(INDEX(Participacion_Junta!$A$2:$A$341,_xludf.AGGREGATE(14,6,(ROW(Participacion_Junta!$A$2:$A$341)-1)/(Participacion_Junta!$B$2:$B$341=$X$2),1)),"")),0.35,NA())</x:f>
        <x:v>#NAME?</x:v>
      </x:c>
      <x:c r="H114" s="78"/>
      <x:c r="I114" s="78"/>
      <x:c r="J114" s="78"/>
      <x:c r="K114" s="78"/>
      <x:c r="L114" s="78"/>
      <x:c r="M114" s="78"/>
      <x:c r="AA114" t="n">
        <x:f>Decisiones!B114</x:f>
        <x:v>40648</x:v>
      </x:c>
    </x:row>
    <x:row r="115" ht="1.9500000476837158" customHeight="1">
      <x:c r="A115" s="94" t="n">
        <x:f>Decisiones!B94</x:f>
        <x:v>39948</x:v>
      </x:c>
      <x:c r="B115" s="78" t="n">
        <x:f>Decisiones!H94</x:f>
        <x:v>5.25</x:v>
      </x:c>
      <x:c r="C115" s="78" t="n">
        <x:f>COUNTIFS(Votaciones!$A$2:$A$341,Decisiones!A94,Votaciones!$D$2:$D$341,"Disenso restrictivo")</x:f>
        <x:v>0</x:v>
      </x:c>
      <x:c r="D115" s="78" t="n">
        <x:f>COUNTIFS(Votaciones!$A$2:$A$341,Decisiones!A94,Votaciones!$D$2:$D$341,"Disenso acomodaticio")</x:f>
        <x:v>0</x:v>
      </x:c>
      <x:c r="E115" s="78" t="e">
        <x:f>NA()</x:f>
        <x:v>#N/A</x:v>
      </x:c>
      <x:c r="F115" s="78" t="e">
        <x:f>NA()</x:f>
        <x:v>#N/A</x:v>
      </x:c>
      <x:c r="G115" s="78" t="e">
        <x:f ca="1">IF(AND(Decisiones!A94&gt;=IFERROR(INDEX(Participacion_Junta!$A$2:$A$341,_xludf.AGGREGATE(15,6,(ROW(Participacion_Junta!$A$2:$A$341)-1)/(Participacion_Junta!$B$2:$B$341=$X$2),1)),"ZZZ"),Decisiones!A94&lt;=IFERROR(INDEX(Participacion_Junta!$A$2:$A$341,_xludf.AGGREGATE(14,6,(ROW(Participacion_Junta!$A$2:$A$341)-1)/(Participacion_Junta!$B$2:$B$341=$X$2),1)),"")),0.35,NA())</x:f>
        <x:v>#NAME?</x:v>
      </x:c>
      <x:c r="H115" s="78"/>
      <x:c r="I115" s="78"/>
      <x:c r="J115" s="78"/>
      <x:c r="K115" s="78"/>
      <x:c r="L115" s="78"/>
      <x:c r="M115" s="78"/>
      <x:c r="AA115" t="n">
        <x:f>Decisiones!B115</x:f>
        <x:v>40690</x:v>
      </x:c>
    </x:row>
    <x:row r="116" ht="1.9500000476837158" customHeight="1">
      <x:c r="A116" s="94" t="n">
        <x:f>Decisiones!B95</x:f>
        <x:v>39983</x:v>
      </x:c>
      <x:c r="B116" s="78" t="n">
        <x:f>Decisiones!H95</x:f>
        <x:v>4.75</x:v>
      </x:c>
      <x:c r="C116" s="78" t="n">
        <x:f>COUNTIFS(Votaciones!$A$2:$A$341,Decisiones!A95,Votaciones!$D$2:$D$341,"Disenso restrictivo")</x:f>
        <x:v>0</x:v>
      </x:c>
      <x:c r="D116" s="78" t="n">
        <x:f>COUNTIFS(Votaciones!$A$2:$A$341,Decisiones!A95,Votaciones!$D$2:$D$341,"Disenso acomodaticio")</x:f>
        <x:v>0</x:v>
      </x:c>
      <x:c r="E116" s="78" t="e">
        <x:f>NA()</x:f>
        <x:v>#N/A</x:v>
      </x:c>
      <x:c r="F116" s="78" t="e">
        <x:f>NA()</x:f>
        <x:v>#N/A</x:v>
      </x:c>
      <x:c r="G116" s="78" t="e">
        <x:f ca="1">IF(AND(Decisiones!A95&gt;=IFERROR(INDEX(Participacion_Junta!$A$2:$A$341,_xludf.AGGREGATE(15,6,(ROW(Participacion_Junta!$A$2:$A$341)-1)/(Participacion_Junta!$B$2:$B$341=$X$2),1)),"ZZZ"),Decisiones!A95&lt;=IFERROR(INDEX(Participacion_Junta!$A$2:$A$341,_xludf.AGGREGATE(14,6,(ROW(Participacion_Junta!$A$2:$A$341)-1)/(Participacion_Junta!$B$2:$B$341=$X$2),1)),"")),0.35,NA())</x:f>
        <x:v>#NAME?</x:v>
      </x:c>
      <x:c r="H116" s="78"/>
      <x:c r="I116" s="78"/>
      <x:c r="J116" s="78"/>
      <x:c r="K116" s="78"/>
      <x:c r="L116" s="78"/>
      <x:c r="M116" s="78"/>
      <x:c r="AA116" t="n">
        <x:f>Decisiones!B116</x:f>
        <x:v>40732</x:v>
      </x:c>
    </x:row>
    <x:row r="117" ht="1.9500000476837158" customHeight="1">
      <x:c r="A117" s="94" t="n">
        <x:f>Decisiones!B96</x:f>
        <x:v>40011</x:v>
      </x:c>
      <x:c r="B117" s="78" t="n">
        <x:f>Decisiones!H96</x:f>
        <x:v>4.5</x:v>
      </x:c>
      <x:c r="C117" s="78" t="n">
        <x:f>COUNTIFS(Votaciones!$A$2:$A$341,Decisiones!A96,Votaciones!$D$2:$D$341,"Disenso restrictivo")</x:f>
        <x:v>0</x:v>
      </x:c>
      <x:c r="D117" s="78" t="n">
        <x:f>COUNTIFS(Votaciones!$A$2:$A$341,Decisiones!A96,Votaciones!$D$2:$D$341,"Disenso acomodaticio")</x:f>
        <x:v>0</x:v>
      </x:c>
      <x:c r="E117" s="78" t="e">
        <x:f>NA()</x:f>
        <x:v>#N/A</x:v>
      </x:c>
      <x:c r="F117" s="78" t="e">
        <x:f>NA()</x:f>
        <x:v>#N/A</x:v>
      </x:c>
      <x:c r="G117" s="78" t="e">
        <x:f ca="1">IF(AND(Decisiones!A96&gt;=IFERROR(INDEX(Participacion_Junta!$A$2:$A$341,_xludf.AGGREGATE(15,6,(ROW(Participacion_Junta!$A$2:$A$341)-1)/(Participacion_Junta!$B$2:$B$341=$X$2),1)),"ZZZ"),Decisiones!A96&lt;=IFERROR(INDEX(Participacion_Junta!$A$2:$A$341,_xludf.AGGREGATE(14,6,(ROW(Participacion_Junta!$A$2:$A$341)-1)/(Participacion_Junta!$B$2:$B$341=$X$2),1)),"")),0.35,NA())</x:f>
        <x:v>#NAME?</x:v>
      </x:c>
      <x:c r="H117" s="78"/>
      <x:c r="I117" s="78"/>
      <x:c r="J117" s="78"/>
      <x:c r="K117" s="78"/>
      <x:c r="L117" s="78"/>
      <x:c r="M117" s="78"/>
      <x:c r="AA117" t="n">
        <x:f>Decisiones!B117</x:f>
        <x:v>40781</x:v>
      </x:c>
    </x:row>
    <x:row r="118" ht="1.9500000476837158" customHeight="1">
      <x:c r="A118" s="94" t="n">
        <x:f>Decisiones!B97</x:f>
        <x:v>40046</x:v>
      </x:c>
      <x:c r="B118" s="78" t="n">
        <x:f>Decisiones!H97</x:f>
        <x:v>4.5</x:v>
      </x:c>
      <x:c r="C118" s="78" t="n">
        <x:f>COUNTIFS(Votaciones!$A$2:$A$341,Decisiones!A97,Votaciones!$D$2:$D$341,"Disenso restrictivo")</x:f>
        <x:v>0</x:v>
      </x:c>
      <x:c r="D118" s="78" t="n">
        <x:f>COUNTIFS(Votaciones!$A$2:$A$341,Decisiones!A97,Votaciones!$D$2:$D$341,"Disenso acomodaticio")</x:f>
        <x:v>0</x:v>
      </x:c>
      <x:c r="E118" s="78" t="e">
        <x:f>NA()</x:f>
        <x:v>#N/A</x:v>
      </x:c>
      <x:c r="F118" s="78" t="e">
        <x:f>NA()</x:f>
        <x:v>#N/A</x:v>
      </x:c>
      <x:c r="G118" s="78" t="e">
        <x:f ca="1">IF(AND(Decisiones!A97&gt;=IFERROR(INDEX(Participacion_Junta!$A$2:$A$341,_xludf.AGGREGATE(15,6,(ROW(Participacion_Junta!$A$2:$A$341)-1)/(Participacion_Junta!$B$2:$B$341=$X$2),1)),"ZZZ"),Decisiones!A97&lt;=IFERROR(INDEX(Participacion_Junta!$A$2:$A$341,_xludf.AGGREGATE(14,6,(ROW(Participacion_Junta!$A$2:$A$341)-1)/(Participacion_Junta!$B$2:$B$341=$X$2),1)),"")),0.35,NA())</x:f>
        <x:v>#NAME?</x:v>
      </x:c>
      <x:c r="H118" s="78"/>
      <x:c r="I118" s="78"/>
      <x:c r="J118" s="78"/>
      <x:c r="K118" s="78"/>
      <x:c r="L118" s="78"/>
      <x:c r="M118" s="78"/>
      <x:c r="AA118" t="n">
        <x:f>Decisiones!B118</x:f>
        <x:v>40830</x:v>
      </x:c>
    </x:row>
    <x:row r="119" ht="1.9500000476837158" customHeight="1">
      <x:c r="A119" s="94" t="n">
        <x:f>Decisiones!B98</x:f>
        <x:v>40074</x:v>
      </x:c>
      <x:c r="B119" s="78" t="n">
        <x:f>Decisiones!H98</x:f>
        <x:v>4.5</x:v>
      </x:c>
      <x:c r="C119" s="78" t="n">
        <x:f>COUNTIFS(Votaciones!$A$2:$A$341,Decisiones!A98,Votaciones!$D$2:$D$341,"Disenso restrictivo")</x:f>
        <x:v>0</x:v>
      </x:c>
      <x:c r="D119" s="78" t="n">
        <x:f>COUNTIFS(Votaciones!$A$2:$A$341,Decisiones!A98,Votaciones!$D$2:$D$341,"Disenso acomodaticio")</x:f>
        <x:v>0</x:v>
      </x:c>
      <x:c r="E119" s="78" t="e">
        <x:f>NA()</x:f>
        <x:v>#N/A</x:v>
      </x:c>
      <x:c r="F119" s="78" t="e">
        <x:f>NA()</x:f>
        <x:v>#N/A</x:v>
      </x:c>
      <x:c r="G119" s="78" t="e">
        <x:f ca="1">IF(AND(Decisiones!A98&gt;=IFERROR(INDEX(Participacion_Junta!$A$2:$A$341,_xludf.AGGREGATE(15,6,(ROW(Participacion_Junta!$A$2:$A$341)-1)/(Participacion_Junta!$B$2:$B$341=$X$2),1)),"ZZZ"),Decisiones!A98&lt;=IFERROR(INDEX(Participacion_Junta!$A$2:$A$341,_xludf.AGGREGATE(14,6,(ROW(Participacion_Junta!$A$2:$A$341)-1)/(Participacion_Junta!$B$2:$B$341=$X$2),1)),"")),0.35,NA())</x:f>
        <x:v>#NAME?</x:v>
      </x:c>
      <x:c r="H119" s="78"/>
      <x:c r="I119" s="78"/>
      <x:c r="J119" s="78"/>
      <x:c r="K119" s="78"/>
      <x:c r="L119" s="78"/>
      <x:c r="M119" s="78"/>
      <x:c r="AA119" t="n">
        <x:f>Decisiones!B119</x:f>
        <x:v>40879</x:v>
      </x:c>
    </x:row>
    <x:row r="120" ht="1.9500000476837158" customHeight="1">
      <x:c r="A120" s="94" t="n">
        <x:f>Decisiones!B99</x:f>
        <x:v>40102</x:v>
      </x:c>
      <x:c r="B120" s="78" t="n">
        <x:f>Decisiones!H99</x:f>
        <x:v>4.5</x:v>
      </x:c>
      <x:c r="C120" s="78" t="n">
        <x:f>COUNTIFS(Votaciones!$A$2:$A$341,Decisiones!A99,Votaciones!$D$2:$D$341,"Disenso restrictivo")</x:f>
        <x:v>0</x:v>
      </x:c>
      <x:c r="D120" s="78" t="n">
        <x:f>COUNTIFS(Votaciones!$A$2:$A$341,Decisiones!A99,Votaciones!$D$2:$D$341,"Disenso acomodaticio")</x:f>
        <x:v>0</x:v>
      </x:c>
      <x:c r="E120" s="78" t="e">
        <x:f>NA()</x:f>
        <x:v>#N/A</x:v>
      </x:c>
      <x:c r="F120" s="78" t="e">
        <x:f>NA()</x:f>
        <x:v>#N/A</x:v>
      </x:c>
      <x:c r="G120" s="78" t="e">
        <x:f ca="1">IF(AND(Decisiones!A99&gt;=IFERROR(INDEX(Participacion_Junta!$A$2:$A$341,_xludf.AGGREGATE(15,6,(ROW(Participacion_Junta!$A$2:$A$341)-1)/(Participacion_Junta!$B$2:$B$341=$X$2),1)),"ZZZ"),Decisiones!A99&lt;=IFERROR(INDEX(Participacion_Junta!$A$2:$A$341,_xludf.AGGREGATE(14,6,(ROW(Participacion_Junta!$A$2:$A$341)-1)/(Participacion_Junta!$B$2:$B$341=$X$2),1)),"")),0.35,NA())</x:f>
        <x:v>#NAME?</x:v>
      </x:c>
      <x:c r="H120" s="78"/>
      <x:c r="I120" s="78"/>
      <x:c r="J120" s="78"/>
      <x:c r="K120" s="78"/>
      <x:c r="L120" s="78"/>
      <x:c r="M120" s="78"/>
      <x:c r="AA120" t="n">
        <x:f>Decisiones!B120</x:f>
        <x:v>40928</x:v>
      </x:c>
    </x:row>
    <x:row r="121" ht="1.9500000476837158" customHeight="1">
      <x:c r="A121" s="94" t="n">
        <x:f>Decisiones!B100</x:f>
        <x:v>40144</x:v>
      </x:c>
      <x:c r="B121" s="78" t="n">
        <x:f>Decisiones!H100</x:f>
        <x:v>4.5</x:v>
      </x:c>
      <x:c r="C121" s="78" t="n">
        <x:f>COUNTIFS(Votaciones!$A$2:$A$341,Decisiones!A100,Votaciones!$D$2:$D$341,"Disenso restrictivo")</x:f>
        <x:v>0</x:v>
      </x:c>
      <x:c r="D121" s="78" t="n">
        <x:f>COUNTIFS(Votaciones!$A$2:$A$341,Decisiones!A100,Votaciones!$D$2:$D$341,"Disenso acomodaticio")</x:f>
        <x:v>0</x:v>
      </x:c>
      <x:c r="E121" s="78" t="e">
        <x:f>NA()</x:f>
        <x:v>#N/A</x:v>
      </x:c>
      <x:c r="F121" s="78" t="e">
        <x:f>NA()</x:f>
        <x:v>#N/A</x:v>
      </x:c>
      <x:c r="G121" s="78" t="e">
        <x:f ca="1">IF(AND(Decisiones!A100&gt;=IFERROR(INDEX(Participacion_Junta!$A$2:$A$341,_xludf.AGGREGATE(15,6,(ROW(Participacion_Junta!$A$2:$A$341)-1)/(Participacion_Junta!$B$2:$B$341=$X$2),1)),"ZZZ"),Decisiones!A100&lt;=IFERROR(INDEX(Participacion_Junta!$A$2:$A$341,_xludf.AGGREGATE(14,6,(ROW(Participacion_Junta!$A$2:$A$341)-1)/(Participacion_Junta!$B$2:$B$341=$X$2),1)),"")),0.35,NA())</x:f>
        <x:v>#NAME?</x:v>
      </x:c>
      <x:c r="H121" s="78"/>
      <x:c r="I121" s="78"/>
      <x:c r="J121" s="78"/>
      <x:c r="K121" s="78"/>
      <x:c r="L121" s="78"/>
      <x:c r="M121" s="78"/>
      <x:c r="AA121" t="n">
        <x:f>Decisiones!B121</x:f>
        <x:v>40984</x:v>
      </x:c>
    </x:row>
    <x:row r="122" ht="1.9500000476837158" customHeight="1">
      <x:c r="A122" s="94" t="n">
        <x:f>Decisiones!B101</x:f>
        <x:v>40193</x:v>
      </x:c>
      <x:c r="B122" s="78" t="n">
        <x:f>Decisiones!H101</x:f>
        <x:v>4.5</x:v>
      </x:c>
      <x:c r="C122" s="78" t="n">
        <x:f>COUNTIFS(Votaciones!$A$2:$A$341,Decisiones!A101,Votaciones!$D$2:$D$341,"Disenso restrictivo")</x:f>
        <x:v>0</x:v>
      </x:c>
      <x:c r="D122" s="78" t="n">
        <x:f>COUNTIFS(Votaciones!$A$2:$A$341,Decisiones!A101,Votaciones!$D$2:$D$341,"Disenso acomodaticio")</x:f>
        <x:v>0</x:v>
      </x:c>
      <x:c r="E122" s="78" t="e">
        <x:f>NA()</x:f>
        <x:v>#N/A</x:v>
      </x:c>
      <x:c r="F122" s="78" t="e">
        <x:f>NA()</x:f>
        <x:v>#N/A</x:v>
      </x:c>
      <x:c r="G122" s="78" t="e">
        <x:f ca="1">IF(AND(Decisiones!A101&gt;=IFERROR(INDEX(Participacion_Junta!$A$2:$A$341,_xludf.AGGREGATE(15,6,(ROW(Participacion_Junta!$A$2:$A$341)-1)/(Participacion_Junta!$B$2:$B$341=$X$2),1)),"ZZZ"),Decisiones!A101&lt;=IFERROR(INDEX(Participacion_Junta!$A$2:$A$341,_xludf.AGGREGATE(14,6,(ROW(Participacion_Junta!$A$2:$A$341)-1)/(Participacion_Junta!$B$2:$B$341=$X$2),1)),"")),0.35,NA())</x:f>
        <x:v>#NAME?</x:v>
      </x:c>
      <x:c r="H122" s="78"/>
      <x:c r="I122" s="78"/>
      <x:c r="J122" s="78"/>
      <x:c r="K122" s="78"/>
      <x:c r="L122" s="78"/>
      <x:c r="M122" s="78"/>
      <x:c r="AA122" t="n">
        <x:f>Decisiones!B122</x:f>
        <x:v>41026</x:v>
      </x:c>
    </x:row>
    <x:row r="123" ht="1.9500000476837158" customHeight="1">
      <x:c r="A123" s="94" t="n">
        <x:f>Decisiones!B102</x:f>
        <x:v>40228</x:v>
      </x:c>
      <x:c r="B123" s="78" t="n">
        <x:f>Decisiones!H102</x:f>
        <x:v>4.5</x:v>
      </x:c>
      <x:c r="C123" s="78" t="n">
        <x:f>COUNTIFS(Votaciones!$A$2:$A$341,Decisiones!A102,Votaciones!$D$2:$D$341,"Disenso restrictivo")</x:f>
        <x:v>0</x:v>
      </x:c>
      <x:c r="D123" s="78" t="n">
        <x:f>COUNTIFS(Votaciones!$A$2:$A$341,Decisiones!A102,Votaciones!$D$2:$D$341,"Disenso acomodaticio")</x:f>
        <x:v>0</x:v>
      </x:c>
      <x:c r="E123" s="78" t="e">
        <x:f>NA()</x:f>
        <x:v>#N/A</x:v>
      </x:c>
      <x:c r="F123" s="78" t="e">
        <x:f>NA()</x:f>
        <x:v>#N/A</x:v>
      </x:c>
      <x:c r="G123" s="78" t="e">
        <x:f ca="1">IF(AND(Decisiones!A102&gt;=IFERROR(INDEX(Participacion_Junta!$A$2:$A$341,_xludf.AGGREGATE(15,6,(ROW(Participacion_Junta!$A$2:$A$341)-1)/(Participacion_Junta!$B$2:$B$341=$X$2),1)),"ZZZ"),Decisiones!A102&lt;=IFERROR(INDEX(Participacion_Junta!$A$2:$A$341,_xludf.AGGREGATE(14,6,(ROW(Participacion_Junta!$A$2:$A$341)-1)/(Participacion_Junta!$B$2:$B$341=$X$2),1)),"")),0.35,NA())</x:f>
        <x:v>#NAME?</x:v>
      </x:c>
      <x:c r="H123" s="78"/>
      <x:c r="I123" s="78"/>
      <x:c r="J123" s="78"/>
      <x:c r="K123" s="78"/>
      <x:c r="L123" s="78"/>
      <x:c r="M123" s="78"/>
      <x:c r="AA123" t="n">
        <x:f>Decisiones!B123</x:f>
        <x:v>41068</x:v>
      </x:c>
    </x:row>
    <x:row r="124" ht="1.9500000476837158" customHeight="1">
      <x:c r="A124" s="94" t="n">
        <x:f>Decisiones!B103</x:f>
        <x:v>40256</x:v>
      </x:c>
      <x:c r="B124" s="78" t="n">
        <x:f>Decisiones!H103</x:f>
        <x:v>4.5</x:v>
      </x:c>
      <x:c r="C124" s="78" t="n">
        <x:f>COUNTIFS(Votaciones!$A$2:$A$341,Decisiones!A103,Votaciones!$D$2:$D$341,"Disenso restrictivo")</x:f>
        <x:v>0</x:v>
      </x:c>
      <x:c r="D124" s="78" t="n">
        <x:f>COUNTIFS(Votaciones!$A$2:$A$341,Decisiones!A103,Votaciones!$D$2:$D$341,"Disenso acomodaticio")</x:f>
        <x:v>0</x:v>
      </x:c>
      <x:c r="E124" s="78" t="e">
        <x:f>NA()</x:f>
        <x:v>#N/A</x:v>
      </x:c>
      <x:c r="F124" s="78" t="e">
        <x:f>NA()</x:f>
        <x:v>#N/A</x:v>
      </x:c>
      <x:c r="G124" s="78" t="e">
        <x:f ca="1">IF(AND(Decisiones!A103&gt;=IFERROR(INDEX(Participacion_Junta!$A$2:$A$341,_xludf.AGGREGATE(15,6,(ROW(Participacion_Junta!$A$2:$A$341)-1)/(Participacion_Junta!$B$2:$B$341=$X$2),1)),"ZZZ"),Decisiones!A103&lt;=IFERROR(INDEX(Participacion_Junta!$A$2:$A$341,_xludf.AGGREGATE(14,6,(ROW(Participacion_Junta!$A$2:$A$341)-1)/(Participacion_Junta!$B$2:$B$341=$X$2),1)),"")),0.35,NA())</x:f>
        <x:v>#NAME?</x:v>
      </x:c>
      <x:c r="H124" s="78"/>
      <x:c r="I124" s="78"/>
      <x:c r="J124" s="78"/>
      <x:c r="K124" s="78"/>
      <x:c r="L124" s="78"/>
      <x:c r="M124" s="78"/>
      <x:c r="AA124" t="n">
        <x:f>Decisiones!B124</x:f>
        <x:v>41110</x:v>
      </x:c>
    </x:row>
    <x:row r="125" ht="1.9500000476837158" customHeight="1">
      <x:c r="A125" s="94" t="n">
        <x:f>Decisiones!B104</x:f>
        <x:v>40284</x:v>
      </x:c>
      <x:c r="B125" s="78" t="n">
        <x:f>Decisiones!H104</x:f>
        <x:v>4.5</x:v>
      </x:c>
      <x:c r="C125" s="78" t="n">
        <x:f>COUNTIFS(Votaciones!$A$2:$A$341,Decisiones!A104,Votaciones!$D$2:$D$341,"Disenso restrictivo")</x:f>
        <x:v>0</x:v>
      </x:c>
      <x:c r="D125" s="78" t="n">
        <x:f>COUNTIFS(Votaciones!$A$2:$A$341,Decisiones!A104,Votaciones!$D$2:$D$341,"Disenso acomodaticio")</x:f>
        <x:v>0</x:v>
      </x:c>
      <x:c r="E125" s="78" t="e">
        <x:f>NA()</x:f>
        <x:v>#N/A</x:v>
      </x:c>
      <x:c r="F125" s="78" t="e">
        <x:f>NA()</x:f>
        <x:v>#N/A</x:v>
      </x:c>
      <x:c r="G125" s="78" t="e">
        <x:f ca="1">IF(AND(Decisiones!A104&gt;=IFERROR(INDEX(Participacion_Junta!$A$2:$A$341,_xludf.AGGREGATE(15,6,(ROW(Participacion_Junta!$A$2:$A$341)-1)/(Participacion_Junta!$B$2:$B$341=$X$2),1)),"ZZZ"),Decisiones!A104&lt;=IFERROR(INDEX(Participacion_Junta!$A$2:$A$341,_xludf.AGGREGATE(14,6,(ROW(Participacion_Junta!$A$2:$A$341)-1)/(Participacion_Junta!$B$2:$B$341=$X$2),1)),"")),0.35,NA())</x:f>
        <x:v>#NAME?</x:v>
      </x:c>
      <x:c r="H125" s="78"/>
      <x:c r="I125" s="78"/>
      <x:c r="J125" s="78"/>
      <x:c r="K125" s="78"/>
      <x:c r="L125" s="78"/>
      <x:c r="M125" s="78"/>
      <x:c r="AA125" t="n">
        <x:f>Decisiones!B125</x:f>
        <x:v>41159</x:v>
      </x:c>
    </x:row>
    <x:row r="126" ht="1.9500000476837158" customHeight="1">
      <x:c r="A126" s="94" t="n">
        <x:f>Decisiones!B105</x:f>
        <x:v>40319</x:v>
      </x:c>
      <x:c r="B126" s="78" t="n">
        <x:f>Decisiones!H105</x:f>
        <x:v>4.5</x:v>
      </x:c>
      <x:c r="C126" s="78" t="n">
        <x:f>COUNTIFS(Votaciones!$A$2:$A$341,Decisiones!A105,Votaciones!$D$2:$D$341,"Disenso restrictivo")</x:f>
        <x:v>0</x:v>
      </x:c>
      <x:c r="D126" s="78" t="n">
        <x:f>COUNTIFS(Votaciones!$A$2:$A$341,Decisiones!A105,Votaciones!$D$2:$D$341,"Disenso acomodaticio")</x:f>
        <x:v>0</x:v>
      </x:c>
      <x:c r="E126" s="78" t="e">
        <x:f>NA()</x:f>
        <x:v>#N/A</x:v>
      </x:c>
      <x:c r="F126" s="78" t="e">
        <x:f>NA()</x:f>
        <x:v>#N/A</x:v>
      </x:c>
      <x:c r="G126" s="78" t="e">
        <x:f ca="1">IF(AND(Decisiones!A105&gt;=IFERROR(INDEX(Participacion_Junta!$A$2:$A$341,_xludf.AGGREGATE(15,6,(ROW(Participacion_Junta!$A$2:$A$341)-1)/(Participacion_Junta!$B$2:$B$341=$X$2),1)),"ZZZ"),Decisiones!A105&lt;=IFERROR(INDEX(Participacion_Junta!$A$2:$A$341,_xludf.AGGREGATE(14,6,(ROW(Participacion_Junta!$A$2:$A$341)-1)/(Participacion_Junta!$B$2:$B$341=$X$2),1)),"")),0.35,NA())</x:f>
        <x:v>#NAME?</x:v>
      </x:c>
      <x:c r="H126" s="78"/>
      <x:c r="I126" s="78"/>
      <x:c r="J126" s="78"/>
      <x:c r="K126" s="78"/>
      <x:c r="L126" s="78"/>
      <x:c r="M126" s="78"/>
      <x:c r="AA126" t="n">
        <x:f>Decisiones!B126</x:f>
        <x:v>41208</x:v>
      </x:c>
    </x:row>
    <x:row r="127" ht="1.9500000476837158" customHeight="1">
      <x:c r="A127" s="94" t="n">
        <x:f>Decisiones!B106</x:f>
        <x:v>40347</x:v>
      </x:c>
      <x:c r="B127" s="78" t="n">
        <x:f>Decisiones!H106</x:f>
        <x:v>4.5</x:v>
      </x:c>
      <x:c r="C127" s="78" t="n">
        <x:f>COUNTIFS(Votaciones!$A$2:$A$341,Decisiones!A106,Votaciones!$D$2:$D$341,"Disenso restrictivo")</x:f>
        <x:v>0</x:v>
      </x:c>
      <x:c r="D127" s="78" t="n">
        <x:f>COUNTIFS(Votaciones!$A$2:$A$341,Decisiones!A106,Votaciones!$D$2:$D$341,"Disenso acomodaticio")</x:f>
        <x:v>0</x:v>
      </x:c>
      <x:c r="E127" s="78" t="e">
        <x:f>NA()</x:f>
        <x:v>#N/A</x:v>
      </x:c>
      <x:c r="F127" s="78" t="e">
        <x:f>NA()</x:f>
        <x:v>#N/A</x:v>
      </x:c>
      <x:c r="G127" s="78" t="e">
        <x:f ca="1">IF(AND(Decisiones!A106&gt;=IFERROR(INDEX(Participacion_Junta!$A$2:$A$341,_xludf.AGGREGATE(15,6,(ROW(Participacion_Junta!$A$2:$A$341)-1)/(Participacion_Junta!$B$2:$B$341=$X$2),1)),"ZZZ"),Decisiones!A106&lt;=IFERROR(INDEX(Participacion_Junta!$A$2:$A$341,_xludf.AGGREGATE(14,6,(ROW(Participacion_Junta!$A$2:$A$341)-1)/(Participacion_Junta!$B$2:$B$341=$X$2),1)),"")),0.35,NA())</x:f>
        <x:v>#NAME?</x:v>
      </x:c>
      <x:c r="H127" s="78"/>
      <x:c r="I127" s="78"/>
      <x:c r="J127" s="78"/>
      <x:c r="K127" s="78"/>
      <x:c r="L127" s="78"/>
      <x:c r="M127" s="78"/>
      <x:c r="AA127" t="n">
        <x:f>Decisiones!B127</x:f>
        <x:v>41243</x:v>
      </x:c>
    </x:row>
    <x:row r="128" ht="1.9500000476837158" customHeight="1">
      <x:c r="A128" s="94" t="n">
        <x:f>Decisiones!B107</x:f>
        <x:v>40375</x:v>
      </x:c>
      <x:c r="B128" s="78" t="n">
        <x:f>Decisiones!H107</x:f>
        <x:v>4.5</x:v>
      </x:c>
      <x:c r="C128" s="78" t="n">
        <x:f>COUNTIFS(Votaciones!$A$2:$A$341,Decisiones!A107,Votaciones!$D$2:$D$341,"Disenso restrictivo")</x:f>
        <x:v>0</x:v>
      </x:c>
      <x:c r="D128" s="78" t="n">
        <x:f>COUNTIFS(Votaciones!$A$2:$A$341,Decisiones!A107,Votaciones!$D$2:$D$341,"Disenso acomodaticio")</x:f>
        <x:v>0</x:v>
      </x:c>
      <x:c r="E128" s="78" t="e">
        <x:f>NA()</x:f>
        <x:v>#N/A</x:v>
      </x:c>
      <x:c r="F128" s="78" t="e">
        <x:f>NA()</x:f>
        <x:v>#N/A</x:v>
      </x:c>
      <x:c r="G128" s="78" t="e">
        <x:f ca="1">IF(AND(Decisiones!A107&gt;=IFERROR(INDEX(Participacion_Junta!$A$2:$A$341,_xludf.AGGREGATE(15,6,(ROW(Participacion_Junta!$A$2:$A$341)-1)/(Participacion_Junta!$B$2:$B$341=$X$2),1)),"ZZZ"),Decisiones!A107&lt;=IFERROR(INDEX(Participacion_Junta!$A$2:$A$341,_xludf.AGGREGATE(14,6,(ROW(Participacion_Junta!$A$2:$A$341)-1)/(Participacion_Junta!$B$2:$B$341=$X$2),1)),"")),0.35,NA())</x:f>
        <x:v>#NAME?</x:v>
      </x:c>
      <x:c r="H128" s="78"/>
      <x:c r="I128" s="78"/>
      <x:c r="J128" s="78"/>
      <x:c r="K128" s="78"/>
      <x:c r="L128" s="78"/>
      <x:c r="M128" s="78"/>
      <x:c r="AA128" t="n">
        <x:f>Decisiones!B128</x:f>
        <x:v>41292</x:v>
      </x:c>
    </x:row>
    <x:row r="129" ht="1.9500000476837158" customHeight="1">
      <x:c r="A129" s="94" t="n">
        <x:f>Decisiones!B108</x:f>
        <x:v>40410</x:v>
      </x:c>
      <x:c r="B129" s="78" t="n">
        <x:f>Decisiones!H108</x:f>
        <x:v>4.5</x:v>
      </x:c>
      <x:c r="C129" s="78" t="n">
        <x:f>COUNTIFS(Votaciones!$A$2:$A$341,Decisiones!A108,Votaciones!$D$2:$D$341,"Disenso restrictivo")</x:f>
        <x:v>0</x:v>
      </x:c>
      <x:c r="D129" s="78" t="n">
        <x:f>COUNTIFS(Votaciones!$A$2:$A$341,Decisiones!A108,Votaciones!$D$2:$D$341,"Disenso acomodaticio")</x:f>
        <x:v>0</x:v>
      </x:c>
      <x:c r="E129" s="78" t="e">
        <x:f>NA()</x:f>
        <x:v>#N/A</x:v>
      </x:c>
      <x:c r="F129" s="78" t="e">
        <x:f>NA()</x:f>
        <x:v>#N/A</x:v>
      </x:c>
      <x:c r="G129" s="78" t="e">
        <x:f ca="1">IF(AND(Decisiones!A108&gt;=IFERROR(INDEX(Participacion_Junta!$A$2:$A$341,_xludf.AGGREGATE(15,6,(ROW(Participacion_Junta!$A$2:$A$341)-1)/(Participacion_Junta!$B$2:$B$341=$X$2),1)),"ZZZ"),Decisiones!A108&lt;=IFERROR(INDEX(Participacion_Junta!$A$2:$A$341,_xludf.AGGREGATE(14,6,(ROW(Participacion_Junta!$A$2:$A$341)-1)/(Participacion_Junta!$B$2:$B$341=$X$2),1)),"")),0.35,NA())</x:f>
        <x:v>#NAME?</x:v>
      </x:c>
      <x:c r="H129" s="78"/>
      <x:c r="I129" s="78"/>
      <x:c r="J129" s="78"/>
      <x:c r="K129" s="78"/>
      <x:c r="L129" s="78"/>
      <x:c r="M129" s="78"/>
      <x:c r="AA129" t="n">
        <x:f>Decisiones!B129</x:f>
        <x:v>41341</x:v>
      </x:c>
    </x:row>
    <x:row r="130" ht="1.9500000476837158" customHeight="1">
      <x:c r="A130" s="94" t="n">
        <x:f>Decisiones!B109</x:f>
        <x:v>40445</x:v>
      </x:c>
      <x:c r="B130" s="78" t="n">
        <x:f>Decisiones!H109</x:f>
        <x:v>4.5</x:v>
      </x:c>
      <x:c r="C130" s="78" t="n">
        <x:f>COUNTIFS(Votaciones!$A$2:$A$341,Decisiones!A109,Votaciones!$D$2:$D$341,"Disenso restrictivo")</x:f>
        <x:v>0</x:v>
      </x:c>
      <x:c r="D130" s="78" t="n">
        <x:f>COUNTIFS(Votaciones!$A$2:$A$341,Decisiones!A109,Votaciones!$D$2:$D$341,"Disenso acomodaticio")</x:f>
        <x:v>0</x:v>
      </x:c>
      <x:c r="E130" s="78" t="e">
        <x:f>NA()</x:f>
        <x:v>#N/A</x:v>
      </x:c>
      <x:c r="F130" s="78" t="e">
        <x:f>NA()</x:f>
        <x:v>#N/A</x:v>
      </x:c>
      <x:c r="G130" s="78" t="e">
        <x:f ca="1">IF(AND(Decisiones!A109&gt;=IFERROR(INDEX(Participacion_Junta!$A$2:$A$341,_xludf.AGGREGATE(15,6,(ROW(Participacion_Junta!$A$2:$A$341)-1)/(Participacion_Junta!$B$2:$B$341=$X$2),1)),"ZZZ"),Decisiones!A109&lt;=IFERROR(INDEX(Participacion_Junta!$A$2:$A$341,_xludf.AGGREGATE(14,6,(ROW(Participacion_Junta!$A$2:$A$341)-1)/(Participacion_Junta!$B$2:$B$341=$X$2),1)),"")),0.35,NA())</x:f>
        <x:v>#NAME?</x:v>
      </x:c>
      <x:c r="H130" s="78"/>
      <x:c r="I130" s="78"/>
      <x:c r="J130" s="78"/>
      <x:c r="K130" s="78"/>
      <x:c r="L130" s="78"/>
      <x:c r="M130" s="78"/>
      <x:c r="AA130" t="n">
        <x:f>Decisiones!B130</x:f>
        <x:v>41390</x:v>
      </x:c>
    </x:row>
    <x:row r="131" ht="1.9500000476837158" customHeight="1">
      <x:c r="A131" s="94" t="n">
        <x:f>Decisiones!B110</x:f>
        <x:v>40466</x:v>
      </x:c>
      <x:c r="B131" s="78" t="n">
        <x:f>Decisiones!H110</x:f>
        <x:v>4.5</x:v>
      </x:c>
      <x:c r="C131" s="78" t="n">
        <x:f>COUNTIFS(Votaciones!$A$2:$A$341,Decisiones!A110,Votaciones!$D$2:$D$341,"Disenso restrictivo")</x:f>
        <x:v>0</x:v>
      </x:c>
      <x:c r="D131" s="78" t="n">
        <x:f>COUNTIFS(Votaciones!$A$2:$A$341,Decisiones!A110,Votaciones!$D$2:$D$341,"Disenso acomodaticio")</x:f>
        <x:v>0</x:v>
      </x:c>
      <x:c r="E131" s="78" t="e">
        <x:f>NA()</x:f>
        <x:v>#N/A</x:v>
      </x:c>
      <x:c r="F131" s="78" t="e">
        <x:f>NA()</x:f>
        <x:v>#N/A</x:v>
      </x:c>
      <x:c r="G131" s="78" t="e">
        <x:f ca="1">IF(AND(Decisiones!A110&gt;=IFERROR(INDEX(Participacion_Junta!$A$2:$A$341,_xludf.AGGREGATE(15,6,(ROW(Participacion_Junta!$A$2:$A$341)-1)/(Participacion_Junta!$B$2:$B$341=$X$2),1)),"ZZZ"),Decisiones!A110&lt;=IFERROR(INDEX(Participacion_Junta!$A$2:$A$341,_xludf.AGGREGATE(14,6,(ROW(Participacion_Junta!$A$2:$A$341)-1)/(Participacion_Junta!$B$2:$B$341=$X$2),1)),"")),0.35,NA())</x:f>
        <x:v>#NAME?</x:v>
      </x:c>
      <x:c r="H131" s="78"/>
      <x:c r="I131" s="78"/>
      <x:c r="J131" s="78"/>
      <x:c r="K131" s="78"/>
      <x:c r="L131" s="78"/>
      <x:c r="M131" s="78"/>
      <x:c r="AA131" t="n">
        <x:f>Decisiones!B131</x:f>
        <x:v>41432</x:v>
      </x:c>
    </x:row>
    <x:row r="132" ht="1.9500000476837158" customHeight="1">
      <x:c r="A132" s="94" t="n">
        <x:f>Decisiones!B111</x:f>
        <x:v>40508</x:v>
      </x:c>
      <x:c r="B132" s="78" t="n">
        <x:f>Decisiones!H111</x:f>
        <x:v>4.5</x:v>
      </x:c>
      <x:c r="C132" s="78" t="n">
        <x:f>COUNTIFS(Votaciones!$A$2:$A$341,Decisiones!A111,Votaciones!$D$2:$D$341,"Disenso restrictivo")</x:f>
        <x:v>0</x:v>
      </x:c>
      <x:c r="D132" s="78" t="n">
        <x:f>COUNTIFS(Votaciones!$A$2:$A$341,Decisiones!A111,Votaciones!$D$2:$D$341,"Disenso acomodaticio")</x:f>
        <x:v>0</x:v>
      </x:c>
      <x:c r="E132" s="78" t="e">
        <x:f>NA()</x:f>
        <x:v>#N/A</x:v>
      </x:c>
      <x:c r="F132" s="78" t="e">
        <x:f>NA()</x:f>
        <x:v>#N/A</x:v>
      </x:c>
      <x:c r="G132" s="78" t="e">
        <x:f ca="1">IF(AND(Decisiones!A111&gt;=IFERROR(INDEX(Participacion_Junta!$A$2:$A$341,_xludf.AGGREGATE(15,6,(ROW(Participacion_Junta!$A$2:$A$341)-1)/(Participacion_Junta!$B$2:$B$341=$X$2),1)),"ZZZ"),Decisiones!A111&lt;=IFERROR(INDEX(Participacion_Junta!$A$2:$A$341,_xludf.AGGREGATE(14,6,(ROW(Participacion_Junta!$A$2:$A$341)-1)/(Participacion_Junta!$B$2:$B$341=$X$2),1)),"")),0.35,NA())</x:f>
        <x:v>#NAME?</x:v>
      </x:c>
      <x:c r="H132" s="78"/>
      <x:c r="I132" s="78"/>
      <x:c r="J132" s="78"/>
      <x:c r="K132" s="78"/>
      <x:c r="L132" s="78"/>
      <x:c r="M132" s="78"/>
      <x:c r="AA132" t="n">
        <x:f>Decisiones!B132</x:f>
        <x:v>41467</x:v>
      </x:c>
    </x:row>
    <x:row r="133" ht="1.9500000476837158" customHeight="1">
      <x:c r="A133" s="94" t="n">
        <x:f>Decisiones!B112</x:f>
        <x:v>40564</x:v>
      </x:c>
      <x:c r="B133" s="78" t="n">
        <x:f>Decisiones!H112</x:f>
        <x:v>4.5</x:v>
      </x:c>
      <x:c r="C133" s="78" t="n">
        <x:f>COUNTIFS(Votaciones!$A$2:$A$341,Decisiones!A112,Votaciones!$D$2:$D$341,"Disenso restrictivo")</x:f>
        <x:v>0</x:v>
      </x:c>
      <x:c r="D133" s="78" t="n">
        <x:f>COUNTIFS(Votaciones!$A$2:$A$341,Decisiones!A112,Votaciones!$D$2:$D$341,"Disenso acomodaticio")</x:f>
        <x:v>0</x:v>
      </x:c>
      <x:c r="E133" s="78" t="e">
        <x:f>NA()</x:f>
        <x:v>#N/A</x:v>
      </x:c>
      <x:c r="F133" s="78" t="e">
        <x:f>NA()</x:f>
        <x:v>#N/A</x:v>
      </x:c>
      <x:c r="G133" s="78" t="e">
        <x:f ca="1">IF(AND(Decisiones!A112&gt;=IFERROR(INDEX(Participacion_Junta!$A$2:$A$341,_xludf.AGGREGATE(15,6,(ROW(Participacion_Junta!$A$2:$A$341)-1)/(Participacion_Junta!$B$2:$B$341=$X$2),1)),"ZZZ"),Decisiones!A112&lt;=IFERROR(INDEX(Participacion_Junta!$A$2:$A$341,_xludf.AGGREGATE(14,6,(ROW(Participacion_Junta!$A$2:$A$341)-1)/(Participacion_Junta!$B$2:$B$341=$X$2),1)),"")),0.35,NA())</x:f>
        <x:v>#NAME?</x:v>
      </x:c>
      <x:c r="H133" s="78"/>
      <x:c r="I133" s="78"/>
      <x:c r="J133" s="78"/>
      <x:c r="K133" s="78"/>
      <x:c r="L133" s="78"/>
      <x:c r="M133" s="78"/>
      <x:c r="AA133" t="n">
        <x:f>Decisiones!B133</x:f>
        <x:v>41523</x:v>
      </x:c>
    </x:row>
    <x:row r="134" ht="1.9500000476837158" customHeight="1">
      <x:c r="A134" s="94" t="n">
        <x:f>Decisiones!B113</x:f>
        <x:v>40606</x:v>
      </x:c>
      <x:c r="B134" s="78" t="n">
        <x:f>Decisiones!H113</x:f>
        <x:v>4.5</x:v>
      </x:c>
      <x:c r="C134" s="78" t="n">
        <x:f>COUNTIFS(Votaciones!$A$2:$A$341,Decisiones!A113,Votaciones!$D$2:$D$341,"Disenso restrictivo")</x:f>
        <x:v>0</x:v>
      </x:c>
      <x:c r="D134" s="78" t="n">
        <x:f>COUNTIFS(Votaciones!$A$2:$A$341,Decisiones!A113,Votaciones!$D$2:$D$341,"Disenso acomodaticio")</x:f>
        <x:v>0</x:v>
      </x:c>
      <x:c r="E134" s="78" t="e">
        <x:f>NA()</x:f>
        <x:v>#N/A</x:v>
      </x:c>
      <x:c r="F134" s="78" t="e">
        <x:f>NA()</x:f>
        <x:v>#N/A</x:v>
      </x:c>
      <x:c r="G134" s="78" t="e">
        <x:f ca="1">IF(AND(Decisiones!A113&gt;=IFERROR(INDEX(Participacion_Junta!$A$2:$A$341,_xludf.AGGREGATE(15,6,(ROW(Participacion_Junta!$A$2:$A$341)-1)/(Participacion_Junta!$B$2:$B$341=$X$2),1)),"ZZZ"),Decisiones!A113&lt;=IFERROR(INDEX(Participacion_Junta!$A$2:$A$341,_xludf.AGGREGATE(14,6,(ROW(Participacion_Junta!$A$2:$A$341)-1)/(Participacion_Junta!$B$2:$B$341=$X$2),1)),"")),0.35,NA())</x:f>
        <x:v>#NAME?</x:v>
      </x:c>
      <x:c r="H134" s="78"/>
      <x:c r="I134" s="78"/>
      <x:c r="J134" s="78"/>
      <x:c r="K134" s="78"/>
      <x:c r="L134" s="78"/>
      <x:c r="M134" s="78"/>
      <x:c r="AA134" t="n">
        <x:f>Decisiones!B134</x:f>
        <x:v>41572</x:v>
      </x:c>
    </x:row>
    <x:row r="135" ht="1.9500000476837158" customHeight="1">
      <x:c r="A135" s="94" t="n">
        <x:f>Decisiones!B114</x:f>
        <x:v>40648</x:v>
      </x:c>
      <x:c r="B135" s="78" t="n">
        <x:f>Decisiones!H114</x:f>
        <x:v>4.5</x:v>
      </x:c>
      <x:c r="C135" s="78" t="n">
        <x:f>COUNTIFS(Votaciones!$A$2:$A$341,Decisiones!A114,Votaciones!$D$2:$D$341,"Disenso restrictivo")</x:f>
        <x:v>0</x:v>
      </x:c>
      <x:c r="D135" s="78" t="n">
        <x:f>COUNTIFS(Votaciones!$A$2:$A$341,Decisiones!A114,Votaciones!$D$2:$D$341,"Disenso acomodaticio")</x:f>
        <x:v>0</x:v>
      </x:c>
      <x:c r="E135" s="78" t="e">
        <x:f>NA()</x:f>
        <x:v>#N/A</x:v>
      </x:c>
      <x:c r="F135" s="78" t="e">
        <x:f>NA()</x:f>
        <x:v>#N/A</x:v>
      </x:c>
      <x:c r="G135" s="78" t="e">
        <x:f ca="1">IF(AND(Decisiones!A114&gt;=IFERROR(INDEX(Participacion_Junta!$A$2:$A$341,_xludf.AGGREGATE(15,6,(ROW(Participacion_Junta!$A$2:$A$341)-1)/(Participacion_Junta!$B$2:$B$341=$X$2),1)),"ZZZ"),Decisiones!A114&lt;=IFERROR(INDEX(Participacion_Junta!$A$2:$A$341,_xludf.AGGREGATE(14,6,(ROW(Participacion_Junta!$A$2:$A$341)-1)/(Participacion_Junta!$B$2:$B$341=$X$2),1)),"")),0.35,NA())</x:f>
        <x:v>#NAME?</x:v>
      </x:c>
      <x:c r="H135" s="78"/>
      <x:c r="I135" s="78"/>
      <x:c r="J135" s="78"/>
      <x:c r="K135" s="78"/>
      <x:c r="L135" s="78"/>
      <x:c r="M135" s="78"/>
      <x:c r="AA135" t="n">
        <x:f>Decisiones!B135</x:f>
        <x:v>41614</x:v>
      </x:c>
    </x:row>
    <x:row r="136" ht="1.9500000476837158" customHeight="1">
      <x:c r="A136" s="94" t="n">
        <x:f>Decisiones!B115</x:f>
        <x:v>40690</x:v>
      </x:c>
      <x:c r="B136" s="78" t="n">
        <x:f>Decisiones!H115</x:f>
        <x:v>4.5</x:v>
      </x:c>
      <x:c r="C136" s="78" t="n">
        <x:f>COUNTIFS(Votaciones!$A$2:$A$341,Decisiones!A115,Votaciones!$D$2:$D$341,"Disenso restrictivo")</x:f>
        <x:v>0</x:v>
      </x:c>
      <x:c r="D136" s="78" t="n">
        <x:f>COUNTIFS(Votaciones!$A$2:$A$341,Decisiones!A115,Votaciones!$D$2:$D$341,"Disenso acomodaticio")</x:f>
        <x:v>0</x:v>
      </x:c>
      <x:c r="E136" s="78" t="e">
        <x:f>NA()</x:f>
        <x:v>#N/A</x:v>
      </x:c>
      <x:c r="F136" s="78" t="e">
        <x:f>NA()</x:f>
        <x:v>#N/A</x:v>
      </x:c>
      <x:c r="G136" s="78" t="e">
        <x:f ca="1">IF(AND(Decisiones!A115&gt;=IFERROR(INDEX(Participacion_Junta!$A$2:$A$341,_xludf.AGGREGATE(15,6,(ROW(Participacion_Junta!$A$2:$A$341)-1)/(Participacion_Junta!$B$2:$B$341=$X$2),1)),"ZZZ"),Decisiones!A115&lt;=IFERROR(INDEX(Participacion_Junta!$A$2:$A$341,_xludf.AGGREGATE(14,6,(ROW(Participacion_Junta!$A$2:$A$341)-1)/(Participacion_Junta!$B$2:$B$341=$X$2),1)),"")),0.35,NA())</x:f>
        <x:v>#NAME?</x:v>
      </x:c>
      <x:c r="H136" s="78"/>
      <x:c r="I136" s="78"/>
      <x:c r="J136" s="78"/>
      <x:c r="K136" s="78"/>
      <x:c r="L136" s="78"/>
      <x:c r="M136" s="78"/>
      <x:c r="AA136" t="n">
        <x:f>Decisiones!B136</x:f>
        <x:v>41670</x:v>
      </x:c>
    </x:row>
    <x:row r="137" ht="1.9500000476837158" customHeight="1">
      <x:c r="A137" s="94" t="n">
        <x:f>Decisiones!B116</x:f>
        <x:v>40732</x:v>
      </x:c>
      <x:c r="B137" s="78" t="n">
        <x:f>Decisiones!H116</x:f>
        <x:v>4.5</x:v>
      </x:c>
      <x:c r="C137" s="78" t="n">
        <x:f>COUNTIFS(Votaciones!$A$2:$A$341,Decisiones!A116,Votaciones!$D$2:$D$341,"Disenso restrictivo")</x:f>
        <x:v>0</x:v>
      </x:c>
      <x:c r="D137" s="78" t="n">
        <x:f>COUNTIFS(Votaciones!$A$2:$A$341,Decisiones!A116,Votaciones!$D$2:$D$341,"Disenso acomodaticio")</x:f>
        <x:v>0</x:v>
      </x:c>
      <x:c r="E137" s="78" t="e">
        <x:f>NA()</x:f>
        <x:v>#N/A</x:v>
      </x:c>
      <x:c r="F137" s="78" t="e">
        <x:f>NA()</x:f>
        <x:v>#N/A</x:v>
      </x:c>
      <x:c r="G137" s="78" t="e">
        <x:f ca="1">IF(AND(Decisiones!A116&gt;=IFERROR(INDEX(Participacion_Junta!$A$2:$A$341,_xludf.AGGREGATE(15,6,(ROW(Participacion_Junta!$A$2:$A$341)-1)/(Participacion_Junta!$B$2:$B$341=$X$2),1)),"ZZZ"),Decisiones!A116&lt;=IFERROR(INDEX(Participacion_Junta!$A$2:$A$341,_xludf.AGGREGATE(14,6,(ROW(Participacion_Junta!$A$2:$A$341)-1)/(Participacion_Junta!$B$2:$B$341=$X$2),1)),"")),0.35,NA())</x:f>
        <x:v>#NAME?</x:v>
      </x:c>
      <x:c r="H137" s="78"/>
      <x:c r="I137" s="78"/>
      <x:c r="J137" s="78"/>
      <x:c r="K137" s="78"/>
      <x:c r="L137" s="78"/>
      <x:c r="M137" s="78"/>
      <x:c r="AA137" t="n">
        <x:f>Decisiones!B137</x:f>
        <x:v>41719</x:v>
      </x:c>
    </x:row>
    <x:row r="138" ht="1.9500000476837158" customHeight="1">
      <x:c r="A138" s="94" t="n">
        <x:f>Decisiones!B117</x:f>
        <x:v>40781</x:v>
      </x:c>
      <x:c r="B138" s="78" t="n">
        <x:f>Decisiones!H117</x:f>
        <x:v>4.5</x:v>
      </x:c>
      <x:c r="C138" s="78" t="n">
        <x:f>COUNTIFS(Votaciones!$A$2:$A$341,Decisiones!A117,Votaciones!$D$2:$D$341,"Disenso restrictivo")</x:f>
        <x:v>0</x:v>
      </x:c>
      <x:c r="D138" s="78" t="n">
        <x:f>COUNTIFS(Votaciones!$A$2:$A$341,Decisiones!A117,Votaciones!$D$2:$D$341,"Disenso acomodaticio")</x:f>
        <x:v>0</x:v>
      </x:c>
      <x:c r="E138" s="78" t="e">
        <x:f>NA()</x:f>
        <x:v>#N/A</x:v>
      </x:c>
      <x:c r="F138" s="78" t="e">
        <x:f>NA()</x:f>
        <x:v>#N/A</x:v>
      </x:c>
      <x:c r="G138" s="78" t="e">
        <x:f ca="1">IF(AND(Decisiones!A117&gt;=IFERROR(INDEX(Participacion_Junta!$A$2:$A$341,_xludf.AGGREGATE(15,6,(ROW(Participacion_Junta!$A$2:$A$341)-1)/(Participacion_Junta!$B$2:$B$341=$X$2),1)),"ZZZ"),Decisiones!A117&lt;=IFERROR(INDEX(Participacion_Junta!$A$2:$A$341,_xludf.AGGREGATE(14,6,(ROW(Participacion_Junta!$A$2:$A$341)-1)/(Participacion_Junta!$B$2:$B$341=$X$2),1)),"")),0.35,NA())</x:f>
        <x:v>#NAME?</x:v>
      </x:c>
      <x:c r="H138" s="78"/>
      <x:c r="I138" s="78"/>
      <x:c r="J138" s="78"/>
      <x:c r="K138" s="78"/>
      <x:c r="L138" s="78"/>
      <x:c r="M138" s="78"/>
      <x:c r="AA138" t="n">
        <x:f>Decisiones!B138</x:f>
        <x:v>41754</x:v>
      </x:c>
    </x:row>
    <x:row r="139" ht="1.9500000476837158" customHeight="1">
      <x:c r="A139" s="94" t="n">
        <x:f>Decisiones!B118</x:f>
        <x:v>40830</x:v>
      </x:c>
      <x:c r="B139" s="78" t="n">
        <x:f>Decisiones!H118</x:f>
        <x:v>4.5</x:v>
      </x:c>
      <x:c r="C139" s="78" t="n">
        <x:f>COUNTIFS(Votaciones!$A$2:$A$341,Decisiones!A118,Votaciones!$D$2:$D$341,"Disenso restrictivo")</x:f>
        <x:v>0</x:v>
      </x:c>
      <x:c r="D139" s="78" t="n">
        <x:f>COUNTIFS(Votaciones!$A$2:$A$341,Decisiones!A118,Votaciones!$D$2:$D$341,"Disenso acomodaticio")</x:f>
        <x:v>0</x:v>
      </x:c>
      <x:c r="E139" s="78" t="e">
        <x:f>NA()</x:f>
        <x:v>#N/A</x:v>
      </x:c>
      <x:c r="F139" s="78" t="e">
        <x:f>NA()</x:f>
        <x:v>#N/A</x:v>
      </x:c>
      <x:c r="G139" s="78" t="e">
        <x:f ca="1">IF(AND(Decisiones!A118&gt;=IFERROR(INDEX(Participacion_Junta!$A$2:$A$341,_xludf.AGGREGATE(15,6,(ROW(Participacion_Junta!$A$2:$A$341)-1)/(Participacion_Junta!$B$2:$B$341=$X$2),1)),"ZZZ"),Decisiones!A118&lt;=IFERROR(INDEX(Participacion_Junta!$A$2:$A$341,_xludf.AGGREGATE(14,6,(ROW(Participacion_Junta!$A$2:$A$341)-1)/(Participacion_Junta!$B$2:$B$341=$X$2),1)),"")),0.35,NA())</x:f>
        <x:v>#NAME?</x:v>
      </x:c>
      <x:c r="H139" s="78"/>
      <x:c r="I139" s="78"/>
      <x:c r="J139" s="78"/>
      <x:c r="K139" s="78"/>
      <x:c r="L139" s="78"/>
      <x:c r="M139" s="78"/>
      <x:c r="AA139" t="n">
        <x:f>Decisiones!B139</x:f>
        <x:v>41796</x:v>
      </x:c>
    </x:row>
    <x:row r="140" ht="1.9500000476837158" customHeight="1">
      <x:c r="A140" s="94" t="n">
        <x:f>Decisiones!B119</x:f>
        <x:v>40879</x:v>
      </x:c>
      <x:c r="B140" s="78" t="n">
        <x:f>Decisiones!H119</x:f>
        <x:v>4.5</x:v>
      </x:c>
      <x:c r="C140" s="78" t="n">
        <x:f>COUNTIFS(Votaciones!$A$2:$A$341,Decisiones!A119,Votaciones!$D$2:$D$341,"Disenso restrictivo")</x:f>
        <x:v>0</x:v>
      </x:c>
      <x:c r="D140" s="78" t="n">
        <x:f>COUNTIFS(Votaciones!$A$2:$A$341,Decisiones!A119,Votaciones!$D$2:$D$341,"Disenso acomodaticio")</x:f>
        <x:v>0</x:v>
      </x:c>
      <x:c r="E140" s="78" t="e">
        <x:f>NA()</x:f>
        <x:v>#N/A</x:v>
      </x:c>
      <x:c r="F140" s="78" t="e">
        <x:f>NA()</x:f>
        <x:v>#N/A</x:v>
      </x:c>
      <x:c r="G140" s="78" t="e">
        <x:f ca="1">IF(AND(Decisiones!A119&gt;=IFERROR(INDEX(Participacion_Junta!$A$2:$A$341,_xludf.AGGREGATE(15,6,(ROW(Participacion_Junta!$A$2:$A$341)-1)/(Participacion_Junta!$B$2:$B$341=$X$2),1)),"ZZZ"),Decisiones!A119&lt;=IFERROR(INDEX(Participacion_Junta!$A$2:$A$341,_xludf.AGGREGATE(14,6,(ROW(Participacion_Junta!$A$2:$A$341)-1)/(Participacion_Junta!$B$2:$B$341=$X$2),1)),"")),0.35,NA())</x:f>
        <x:v>#NAME?</x:v>
      </x:c>
      <x:c r="H140" s="78"/>
      <x:c r="I140" s="78"/>
      <x:c r="J140" s="78"/>
      <x:c r="K140" s="78"/>
      <x:c r="L140" s="78"/>
      <x:c r="M140" s="78"/>
      <x:c r="AA140" t="n">
        <x:f>Decisiones!B140</x:f>
        <x:v>41831</x:v>
      </x:c>
    </x:row>
    <x:row r="141" ht="1.9500000476837158" customHeight="1">
      <x:c r="A141" s="94" t="n">
        <x:f>Decisiones!B120</x:f>
        <x:v>40928</x:v>
      </x:c>
      <x:c r="B141" s="78" t="n">
        <x:f>Decisiones!H120</x:f>
        <x:v>4.5</x:v>
      </x:c>
      <x:c r="C141" s="78" t="n">
        <x:f>COUNTIFS(Votaciones!$A$2:$A$341,Decisiones!A120,Votaciones!$D$2:$D$341,"Disenso restrictivo")</x:f>
        <x:v>0</x:v>
      </x:c>
      <x:c r="D141" s="78" t="n">
        <x:f>COUNTIFS(Votaciones!$A$2:$A$341,Decisiones!A120,Votaciones!$D$2:$D$341,"Disenso acomodaticio")</x:f>
        <x:v>0</x:v>
      </x:c>
      <x:c r="E141" s="78" t="e">
        <x:f>NA()</x:f>
        <x:v>#N/A</x:v>
      </x:c>
      <x:c r="F141" s="78" t="e">
        <x:f>NA()</x:f>
        <x:v>#N/A</x:v>
      </x:c>
      <x:c r="G141" s="78" t="e">
        <x:f ca="1">IF(AND(Decisiones!A120&gt;=IFERROR(INDEX(Participacion_Junta!$A$2:$A$341,_xludf.AGGREGATE(15,6,(ROW(Participacion_Junta!$A$2:$A$341)-1)/(Participacion_Junta!$B$2:$B$341=$X$2),1)),"ZZZ"),Decisiones!A120&lt;=IFERROR(INDEX(Participacion_Junta!$A$2:$A$341,_xludf.AGGREGATE(14,6,(ROW(Participacion_Junta!$A$2:$A$341)-1)/(Participacion_Junta!$B$2:$B$341=$X$2),1)),"")),0.35,NA())</x:f>
        <x:v>#NAME?</x:v>
      </x:c>
      <x:c r="H141" s="78"/>
      <x:c r="I141" s="78"/>
      <x:c r="J141" s="78"/>
      <x:c r="K141" s="78"/>
      <x:c r="L141" s="78"/>
      <x:c r="M141" s="78"/>
      <x:c r="AA141" t="n">
        <x:f>Decisiones!B141</x:f>
        <x:v>41887</x:v>
      </x:c>
    </x:row>
    <x:row r="142" ht="1.9500000476837158" customHeight="1">
      <x:c r="A142" s="94" t="n">
        <x:f>Decisiones!B121</x:f>
        <x:v>40984</x:v>
      </x:c>
      <x:c r="B142" s="78" t="n">
        <x:f>Decisiones!H121</x:f>
        <x:v>4.5</x:v>
      </x:c>
      <x:c r="C142" s="78" t="n">
        <x:f>COUNTIFS(Votaciones!$A$2:$A$341,Decisiones!A121,Votaciones!$D$2:$D$341,"Disenso restrictivo")</x:f>
        <x:v>0</x:v>
      </x:c>
      <x:c r="D142" s="78" t="n">
        <x:f>COUNTIFS(Votaciones!$A$2:$A$341,Decisiones!A121,Votaciones!$D$2:$D$341,"Disenso acomodaticio")</x:f>
        <x:v>0</x:v>
      </x:c>
      <x:c r="E142" s="78" t="e">
        <x:f>NA()</x:f>
        <x:v>#N/A</x:v>
      </x:c>
      <x:c r="F142" s="78" t="e">
        <x:f>NA()</x:f>
        <x:v>#N/A</x:v>
      </x:c>
      <x:c r="G142" s="78" t="e">
        <x:f ca="1">IF(AND(Decisiones!A121&gt;=IFERROR(INDEX(Participacion_Junta!$A$2:$A$341,_xludf.AGGREGATE(15,6,(ROW(Participacion_Junta!$A$2:$A$341)-1)/(Participacion_Junta!$B$2:$B$341=$X$2),1)),"ZZZ"),Decisiones!A121&lt;=IFERROR(INDEX(Participacion_Junta!$A$2:$A$341,_xludf.AGGREGATE(14,6,(ROW(Participacion_Junta!$A$2:$A$341)-1)/(Participacion_Junta!$B$2:$B$341=$X$2),1)),"")),0.35,NA())</x:f>
        <x:v>#NAME?</x:v>
      </x:c>
      <x:c r="H142" s="78"/>
      <x:c r="I142" s="78"/>
      <x:c r="J142" s="78"/>
      <x:c r="K142" s="78"/>
      <x:c r="L142" s="78"/>
      <x:c r="M142" s="78"/>
      <x:c r="AA142" t="n">
        <x:f>Decisiones!B142</x:f>
        <x:v>41943</x:v>
      </x:c>
    </x:row>
    <x:row r="143" ht="1.9500000476837158" customHeight="1">
      <x:c r="A143" s="94" t="n">
        <x:f>Decisiones!B122</x:f>
        <x:v>41026</x:v>
      </x:c>
      <x:c r="B143" s="78" t="n">
        <x:f>Decisiones!H122</x:f>
        <x:v>4.5</x:v>
      </x:c>
      <x:c r="C143" s="78" t="n">
        <x:f>COUNTIFS(Votaciones!$A$2:$A$341,Decisiones!A122,Votaciones!$D$2:$D$341,"Disenso restrictivo")</x:f>
        <x:v>0</x:v>
      </x:c>
      <x:c r="D143" s="78" t="n">
        <x:f>COUNTIFS(Votaciones!$A$2:$A$341,Decisiones!A122,Votaciones!$D$2:$D$341,"Disenso acomodaticio")</x:f>
        <x:v>0</x:v>
      </x:c>
      <x:c r="E143" s="78" t="e">
        <x:f>NA()</x:f>
        <x:v>#N/A</x:v>
      </x:c>
      <x:c r="F143" s="78" t="e">
        <x:f>NA()</x:f>
        <x:v>#N/A</x:v>
      </x:c>
      <x:c r="G143" s="78" t="e">
        <x:f ca="1">IF(AND(Decisiones!A122&gt;=IFERROR(INDEX(Participacion_Junta!$A$2:$A$341,_xludf.AGGREGATE(15,6,(ROW(Participacion_Junta!$A$2:$A$341)-1)/(Participacion_Junta!$B$2:$B$341=$X$2),1)),"ZZZ"),Decisiones!A122&lt;=IFERROR(INDEX(Participacion_Junta!$A$2:$A$341,_xludf.AGGREGATE(14,6,(ROW(Participacion_Junta!$A$2:$A$341)-1)/(Participacion_Junta!$B$2:$B$341=$X$2),1)),"")),0.35,NA())</x:f>
        <x:v>#NAME?</x:v>
      </x:c>
      <x:c r="H143" s="78"/>
      <x:c r="I143" s="78"/>
      <x:c r="J143" s="78"/>
      <x:c r="K143" s="78"/>
      <x:c r="L143" s="78"/>
      <x:c r="M143" s="78"/>
      <x:c r="AA143" t="n">
        <x:f>Decisiones!B143</x:f>
        <x:v>41978</x:v>
      </x:c>
    </x:row>
    <x:row r="144" ht="1.9500000476837158" customHeight="1">
      <x:c r="A144" s="94" t="n">
        <x:f>Decisiones!B123</x:f>
        <x:v>41068</x:v>
      </x:c>
      <x:c r="B144" s="78" t="n">
        <x:f>Decisiones!H123</x:f>
        <x:v>4.5</x:v>
      </x:c>
      <x:c r="C144" s="78" t="n">
        <x:f>COUNTIFS(Votaciones!$A$2:$A$341,Decisiones!A123,Votaciones!$D$2:$D$341,"Disenso restrictivo")</x:f>
        <x:v>0</x:v>
      </x:c>
      <x:c r="D144" s="78" t="n">
        <x:f>COUNTIFS(Votaciones!$A$2:$A$341,Decisiones!A123,Votaciones!$D$2:$D$341,"Disenso acomodaticio")</x:f>
        <x:v>0</x:v>
      </x:c>
      <x:c r="E144" s="78" t="e">
        <x:f>NA()</x:f>
        <x:v>#N/A</x:v>
      </x:c>
      <x:c r="F144" s="78" t="e">
        <x:f>NA()</x:f>
        <x:v>#N/A</x:v>
      </x:c>
      <x:c r="G144" s="78" t="e">
        <x:f ca="1">IF(AND(Decisiones!A123&gt;=IFERROR(INDEX(Participacion_Junta!$A$2:$A$341,_xludf.AGGREGATE(15,6,(ROW(Participacion_Junta!$A$2:$A$341)-1)/(Participacion_Junta!$B$2:$B$341=$X$2),1)),"ZZZ"),Decisiones!A123&lt;=IFERROR(INDEX(Participacion_Junta!$A$2:$A$341,_xludf.AGGREGATE(14,6,(ROW(Participacion_Junta!$A$2:$A$341)-1)/(Participacion_Junta!$B$2:$B$341=$X$2),1)),"")),0.35,NA())</x:f>
        <x:v>#NAME?</x:v>
      </x:c>
      <x:c r="H144" s="78"/>
      <x:c r="I144" s="78"/>
      <x:c r="J144" s="78"/>
      <x:c r="K144" s="78"/>
      <x:c r="L144" s="78"/>
      <x:c r="M144" s="78"/>
      <x:c r="AA144" t="n">
        <x:f>Decisiones!B144</x:f>
        <x:v>42033</x:v>
      </x:c>
    </x:row>
    <x:row r="145" ht="1.9500000476837158" customHeight="1">
      <x:c r="A145" s="94" t="n">
        <x:f>Decisiones!B124</x:f>
        <x:v>41110</x:v>
      </x:c>
      <x:c r="B145" s="78" t="n">
        <x:f>Decisiones!H124</x:f>
        <x:v>4.5</x:v>
      </x:c>
      <x:c r="C145" s="78" t="n">
        <x:f>COUNTIFS(Votaciones!$A$2:$A$341,Decisiones!A124,Votaciones!$D$2:$D$341,"Disenso restrictivo")</x:f>
        <x:v>0</x:v>
      </x:c>
      <x:c r="D145" s="78" t="n">
        <x:f>COUNTIFS(Votaciones!$A$2:$A$341,Decisiones!A124,Votaciones!$D$2:$D$341,"Disenso acomodaticio")</x:f>
        <x:v>0</x:v>
      </x:c>
      <x:c r="E145" s="78" t="e">
        <x:f>NA()</x:f>
        <x:v>#N/A</x:v>
      </x:c>
      <x:c r="F145" s="78" t="e">
        <x:f>NA()</x:f>
        <x:v>#N/A</x:v>
      </x:c>
      <x:c r="G145" s="78" t="e">
        <x:f ca="1">IF(AND(Decisiones!A124&gt;=IFERROR(INDEX(Participacion_Junta!$A$2:$A$341,_xludf.AGGREGATE(15,6,(ROW(Participacion_Junta!$A$2:$A$341)-1)/(Participacion_Junta!$B$2:$B$341=$X$2),1)),"ZZZ"),Decisiones!A124&lt;=IFERROR(INDEX(Participacion_Junta!$A$2:$A$341,_xludf.AGGREGATE(14,6,(ROW(Participacion_Junta!$A$2:$A$341)-1)/(Participacion_Junta!$B$2:$B$341=$X$2),1)),"")),0.35,NA())</x:f>
        <x:v>#NAME?</x:v>
      </x:c>
      <x:c r="H145" s="78"/>
      <x:c r="I145" s="78"/>
      <x:c r="J145" s="78"/>
      <x:c r="K145" s="78"/>
      <x:c r="L145" s="78"/>
      <x:c r="M145" s="78"/>
      <x:c r="AA145" t="n">
        <x:f>Decisiones!B145</x:f>
        <x:v>42089</x:v>
      </x:c>
    </x:row>
    <x:row r="146" ht="1.9500000476837158" customHeight="1">
      <x:c r="A146" s="94" t="n">
        <x:f>Decisiones!B125</x:f>
        <x:v>41159</x:v>
      </x:c>
      <x:c r="B146" s="78" t="n">
        <x:f>Decisiones!H125</x:f>
        <x:v>4.5</x:v>
      </x:c>
      <x:c r="C146" s="78" t="n">
        <x:f>COUNTIFS(Votaciones!$A$2:$A$341,Decisiones!A125,Votaciones!$D$2:$D$341,"Disenso restrictivo")</x:f>
        <x:v>0</x:v>
      </x:c>
      <x:c r="D146" s="78" t="n">
        <x:f>COUNTIFS(Votaciones!$A$2:$A$341,Decisiones!A125,Votaciones!$D$2:$D$341,"Disenso acomodaticio")</x:f>
        <x:v>0</x:v>
      </x:c>
      <x:c r="E146" s="78" t="e">
        <x:f>NA()</x:f>
        <x:v>#N/A</x:v>
      </x:c>
      <x:c r="F146" s="78" t="e">
        <x:f>NA()</x:f>
        <x:v>#N/A</x:v>
      </x:c>
      <x:c r="G146" s="78" t="e">
        <x:f ca="1">IF(AND(Decisiones!A125&gt;=IFERROR(INDEX(Participacion_Junta!$A$2:$A$341,_xludf.AGGREGATE(15,6,(ROW(Participacion_Junta!$A$2:$A$341)-1)/(Participacion_Junta!$B$2:$B$341=$X$2),1)),"ZZZ"),Decisiones!A125&lt;=IFERROR(INDEX(Participacion_Junta!$A$2:$A$341,_xludf.AGGREGATE(14,6,(ROW(Participacion_Junta!$A$2:$A$341)-1)/(Participacion_Junta!$B$2:$B$341=$X$2),1)),"")),0.35,NA())</x:f>
        <x:v>#NAME?</x:v>
      </x:c>
      <x:c r="H146" s="78"/>
      <x:c r="I146" s="78"/>
      <x:c r="J146" s="78"/>
      <x:c r="K146" s="78"/>
      <x:c r="L146" s="78"/>
      <x:c r="M146" s="78"/>
      <x:c r="AA146" t="n">
        <x:f>Decisiones!B146</x:f>
        <x:v>42124</x:v>
      </x:c>
    </x:row>
    <x:row r="147" ht="1.9500000476837158" customHeight="1">
      <x:c r="A147" s="94" t="n">
        <x:f>Decisiones!B126</x:f>
        <x:v>41208</x:v>
      </x:c>
      <x:c r="B147" s="78" t="n">
        <x:f>Decisiones!H126</x:f>
        <x:v>4.5</x:v>
      </x:c>
      <x:c r="C147" s="78" t="n">
        <x:f>COUNTIFS(Votaciones!$A$2:$A$341,Decisiones!A126,Votaciones!$D$2:$D$341,"Disenso restrictivo")</x:f>
        <x:v>0</x:v>
      </x:c>
      <x:c r="D147" s="78" t="n">
        <x:f>COUNTIFS(Votaciones!$A$2:$A$341,Decisiones!A126,Votaciones!$D$2:$D$341,"Disenso acomodaticio")</x:f>
        <x:v>0</x:v>
      </x:c>
      <x:c r="E147" s="78" t="e">
        <x:f>NA()</x:f>
        <x:v>#N/A</x:v>
      </x:c>
      <x:c r="F147" s="78" t="e">
        <x:f>NA()</x:f>
        <x:v>#N/A</x:v>
      </x:c>
      <x:c r="G147" s="78" t="e">
        <x:f ca="1">IF(AND(Decisiones!A126&gt;=IFERROR(INDEX(Participacion_Junta!$A$2:$A$341,_xludf.AGGREGATE(15,6,(ROW(Participacion_Junta!$A$2:$A$341)-1)/(Participacion_Junta!$B$2:$B$341=$X$2),1)),"ZZZ"),Decisiones!A126&lt;=IFERROR(INDEX(Participacion_Junta!$A$2:$A$341,_xludf.AGGREGATE(14,6,(ROW(Participacion_Junta!$A$2:$A$341)-1)/(Participacion_Junta!$B$2:$B$341=$X$2),1)),"")),0.35,NA())</x:f>
        <x:v>#NAME?</x:v>
      </x:c>
      <x:c r="H147" s="78"/>
      <x:c r="I147" s="78"/>
      <x:c r="J147" s="78"/>
      <x:c r="K147" s="78"/>
      <x:c r="L147" s="78"/>
      <x:c r="M147" s="78"/>
      <x:c r="AA147" t="n">
        <x:f>Decisiones!B147</x:f>
        <x:v>42159</x:v>
      </x:c>
    </x:row>
    <x:row r="148" ht="1.9500000476837158" customHeight="1">
      <x:c r="A148" s="94" t="n">
        <x:f>Decisiones!B127</x:f>
        <x:v>41243</x:v>
      </x:c>
      <x:c r="B148" s="78" t="n">
        <x:f>Decisiones!H127</x:f>
        <x:v>4.5</x:v>
      </x:c>
      <x:c r="C148" s="78" t="n">
        <x:f>COUNTIFS(Votaciones!$A$2:$A$341,Decisiones!A127,Votaciones!$D$2:$D$341,"Disenso restrictivo")</x:f>
        <x:v>0</x:v>
      </x:c>
      <x:c r="D148" s="78" t="n">
        <x:f>COUNTIFS(Votaciones!$A$2:$A$341,Decisiones!A127,Votaciones!$D$2:$D$341,"Disenso acomodaticio")</x:f>
        <x:v>0</x:v>
      </x:c>
      <x:c r="E148" s="78" t="e">
        <x:f>NA()</x:f>
        <x:v>#N/A</x:v>
      </x:c>
      <x:c r="F148" s="78" t="e">
        <x:f>NA()</x:f>
        <x:v>#N/A</x:v>
      </x:c>
      <x:c r="G148" s="78" t="e">
        <x:f ca="1">IF(AND(Decisiones!A127&gt;=IFERROR(INDEX(Participacion_Junta!$A$2:$A$341,_xludf.AGGREGATE(15,6,(ROW(Participacion_Junta!$A$2:$A$341)-1)/(Participacion_Junta!$B$2:$B$341=$X$2),1)),"ZZZ"),Decisiones!A127&lt;=IFERROR(INDEX(Participacion_Junta!$A$2:$A$341,_xludf.AGGREGATE(14,6,(ROW(Participacion_Junta!$A$2:$A$341)-1)/(Participacion_Junta!$B$2:$B$341=$X$2),1)),"")),0.35,NA())</x:f>
        <x:v>#NAME?</x:v>
      </x:c>
      <x:c r="H148" s="78"/>
      <x:c r="I148" s="78"/>
      <x:c r="J148" s="78"/>
      <x:c r="K148" s="78"/>
      <x:c r="L148" s="78"/>
      <x:c r="M148" s="78"/>
      <x:c r="AA148" t="n">
        <x:f>Decisiones!B148</x:f>
        <x:v>42215</x:v>
      </x:c>
    </x:row>
    <x:row r="149" ht="1.9500000476837158" customHeight="1">
      <x:c r="A149" s="94" t="n">
        <x:f>Decisiones!B128</x:f>
        <x:v>41292</x:v>
      </x:c>
      <x:c r="B149" s="78" t="n">
        <x:f>Decisiones!H128</x:f>
        <x:v>4.5</x:v>
      </x:c>
      <x:c r="C149" s="78" t="n">
        <x:f>COUNTIFS(Votaciones!$A$2:$A$341,Decisiones!A128,Votaciones!$D$2:$D$341,"Disenso restrictivo")</x:f>
        <x:v>0</x:v>
      </x:c>
      <x:c r="D149" s="78" t="n">
        <x:f>COUNTIFS(Votaciones!$A$2:$A$341,Decisiones!A128,Votaciones!$D$2:$D$341,"Disenso acomodaticio")</x:f>
        <x:v>0</x:v>
      </x:c>
      <x:c r="E149" s="78" t="e">
        <x:f>NA()</x:f>
        <x:v>#N/A</x:v>
      </x:c>
      <x:c r="F149" s="78" t="e">
        <x:f>NA()</x:f>
        <x:v>#N/A</x:v>
      </x:c>
      <x:c r="G149" s="78" t="e">
        <x:f ca="1">IF(AND(Decisiones!A128&gt;=IFERROR(INDEX(Participacion_Junta!$A$2:$A$341,_xludf.AGGREGATE(15,6,(ROW(Participacion_Junta!$A$2:$A$341)-1)/(Participacion_Junta!$B$2:$B$341=$X$2),1)),"ZZZ"),Decisiones!A128&lt;=IFERROR(INDEX(Participacion_Junta!$A$2:$A$341,_xludf.AGGREGATE(14,6,(ROW(Participacion_Junta!$A$2:$A$341)-1)/(Participacion_Junta!$B$2:$B$341=$X$2),1)),"")),0.35,NA())</x:f>
        <x:v>#NAME?</x:v>
      </x:c>
      <x:c r="H149" s="78"/>
      <x:c r="I149" s="78"/>
      <x:c r="J149" s="78"/>
      <x:c r="K149" s="78"/>
      <x:c r="L149" s="78"/>
      <x:c r="M149" s="78"/>
      <x:c r="AA149" t="n">
        <x:f>Decisiones!B149</x:f>
        <x:v>42268</x:v>
      </x:c>
    </x:row>
    <x:row r="150" ht="1.9500000476837158" customHeight="1">
      <x:c r="A150" s="94" t="n">
        <x:f>Decisiones!B129</x:f>
        <x:v>41341</x:v>
      </x:c>
      <x:c r="B150" s="78" t="n">
        <x:f>Decisiones!H129</x:f>
        <x:v>4</x:v>
      </x:c>
      <x:c r="C150" s="78" t="n">
        <x:f>COUNTIFS(Votaciones!$A$2:$A$341,Decisiones!A129,Votaciones!$D$2:$D$341,"Disenso restrictivo")</x:f>
        <x:v>0</x:v>
      </x:c>
      <x:c r="D150" s="78" t="n">
        <x:f>COUNTIFS(Votaciones!$A$2:$A$341,Decisiones!A129,Votaciones!$D$2:$D$341,"Disenso acomodaticio")</x:f>
        <x:v>0</x:v>
      </x:c>
      <x:c r="E150" s="78" t="e">
        <x:f>NA()</x:f>
        <x:v>#N/A</x:v>
      </x:c>
      <x:c r="F150" s="78" t="e">
        <x:f>NA()</x:f>
        <x:v>#N/A</x:v>
      </x:c>
      <x:c r="G150" s="78" t="e">
        <x:f ca="1">IF(AND(Decisiones!A129&gt;=IFERROR(INDEX(Participacion_Junta!$A$2:$A$341,_xludf.AGGREGATE(15,6,(ROW(Participacion_Junta!$A$2:$A$341)-1)/(Participacion_Junta!$B$2:$B$341=$X$2),1)),"ZZZ"),Decisiones!A129&lt;=IFERROR(INDEX(Participacion_Junta!$A$2:$A$341,_xludf.AGGREGATE(14,6,(ROW(Participacion_Junta!$A$2:$A$341)-1)/(Participacion_Junta!$B$2:$B$341=$X$2),1)),"")),0.35,NA())</x:f>
        <x:v>#NAME?</x:v>
      </x:c>
      <x:c r="H150" s="78"/>
      <x:c r="I150" s="78"/>
      <x:c r="J150" s="78"/>
      <x:c r="K150" s="78"/>
      <x:c r="L150" s="78"/>
      <x:c r="M150" s="78"/>
      <x:c r="AA150" t="n">
        <x:f>Decisiones!B150</x:f>
        <x:v>42306</x:v>
      </x:c>
    </x:row>
    <x:row r="151" ht="1.9500000476837158" customHeight="1">
      <x:c r="A151" s="94" t="n">
        <x:f>Decisiones!B130</x:f>
        <x:v>41390</x:v>
      </x:c>
      <x:c r="B151" s="78" t="n">
        <x:f>Decisiones!H130</x:f>
        <x:v>4</x:v>
      </x:c>
      <x:c r="C151" s="78" t="n">
        <x:f>COUNTIFS(Votaciones!$A$2:$A$341,Decisiones!A130,Votaciones!$D$2:$D$341,"Disenso restrictivo")</x:f>
        <x:v>0</x:v>
      </x:c>
      <x:c r="D151" s="78" t="n">
        <x:f>COUNTIFS(Votaciones!$A$2:$A$341,Decisiones!A130,Votaciones!$D$2:$D$341,"Disenso acomodaticio")</x:f>
        <x:v>0</x:v>
      </x:c>
      <x:c r="E151" s="78" t="e">
        <x:f>NA()</x:f>
        <x:v>#N/A</x:v>
      </x:c>
      <x:c r="F151" s="78" t="e">
        <x:f>NA()</x:f>
        <x:v>#N/A</x:v>
      </x:c>
      <x:c r="G151" s="78" t="e">
        <x:f ca="1">IF(AND(Decisiones!A130&gt;=IFERROR(INDEX(Participacion_Junta!$A$2:$A$341,_xludf.AGGREGATE(15,6,(ROW(Participacion_Junta!$A$2:$A$341)-1)/(Participacion_Junta!$B$2:$B$341=$X$2),1)),"ZZZ"),Decisiones!A130&lt;=IFERROR(INDEX(Participacion_Junta!$A$2:$A$341,_xludf.AGGREGATE(14,6,(ROW(Participacion_Junta!$A$2:$A$341)-1)/(Participacion_Junta!$B$2:$B$341=$X$2),1)),"")),0.35,NA())</x:f>
        <x:v>#NAME?</x:v>
      </x:c>
      <x:c r="H151" s="78"/>
      <x:c r="I151" s="78"/>
      <x:c r="J151" s="78"/>
      <x:c r="K151" s="78"/>
      <x:c r="L151" s="78"/>
      <x:c r="M151" s="78"/>
      <x:c r="AA151" t="n">
        <x:f>Decisiones!B151</x:f>
        <x:v>42355</x:v>
      </x:c>
    </x:row>
    <x:row r="152" ht="1.9500000476837158" customHeight="1">
      <x:c r="A152" s="94" t="n">
        <x:f>Decisiones!B131</x:f>
        <x:v>41432</x:v>
      </x:c>
      <x:c r="B152" s="78" t="n">
        <x:f>Decisiones!H131</x:f>
        <x:v>4</x:v>
      </x:c>
      <x:c r="C152" s="78" t="n">
        <x:f>COUNTIFS(Votaciones!$A$2:$A$341,Decisiones!A131,Votaciones!$D$2:$D$341,"Disenso restrictivo")</x:f>
        <x:v>0</x:v>
      </x:c>
      <x:c r="D152" s="78" t="n">
        <x:f>COUNTIFS(Votaciones!$A$2:$A$341,Decisiones!A131,Votaciones!$D$2:$D$341,"Disenso acomodaticio")</x:f>
        <x:v>0</x:v>
      </x:c>
      <x:c r="E152" s="78" t="e">
        <x:f>NA()</x:f>
        <x:v>#N/A</x:v>
      </x:c>
      <x:c r="F152" s="78" t="e">
        <x:f>NA()</x:f>
        <x:v>#N/A</x:v>
      </x:c>
      <x:c r="G152" s="78" t="e">
        <x:f ca="1">IF(AND(Decisiones!A131&gt;=IFERROR(INDEX(Participacion_Junta!$A$2:$A$341,_xludf.AGGREGATE(15,6,(ROW(Participacion_Junta!$A$2:$A$341)-1)/(Participacion_Junta!$B$2:$B$341=$X$2),1)),"ZZZ"),Decisiones!A131&lt;=IFERROR(INDEX(Participacion_Junta!$A$2:$A$341,_xludf.AGGREGATE(14,6,(ROW(Participacion_Junta!$A$2:$A$341)-1)/(Participacion_Junta!$B$2:$B$341=$X$2),1)),"")),0.35,NA())</x:f>
        <x:v>#NAME?</x:v>
      </x:c>
      <x:c r="H152" s="78"/>
      <x:c r="I152" s="78"/>
      <x:c r="J152" s="78"/>
      <x:c r="K152" s="78"/>
      <x:c r="L152" s="78"/>
      <x:c r="M152" s="78"/>
      <x:c r="AA152" t="n">
        <x:f>Decisiones!B152</x:f>
        <x:v>42404</x:v>
      </x:c>
    </x:row>
    <x:row r="153" ht="1.9500000476837158" customHeight="1">
      <x:c r="A153" s="94" t="n">
        <x:f>Decisiones!B132</x:f>
        <x:v>41467</x:v>
      </x:c>
      <x:c r="B153" s="78" t="n">
        <x:f>Decisiones!H132</x:f>
        <x:v>4</x:v>
      </x:c>
      <x:c r="C153" s="78" t="n">
        <x:f>COUNTIFS(Votaciones!$A$2:$A$341,Decisiones!A132,Votaciones!$D$2:$D$341,"Disenso restrictivo")</x:f>
        <x:v>0</x:v>
      </x:c>
      <x:c r="D153" s="78" t="n">
        <x:f>COUNTIFS(Votaciones!$A$2:$A$341,Decisiones!A132,Votaciones!$D$2:$D$341,"Disenso acomodaticio")</x:f>
        <x:v>0</x:v>
      </x:c>
      <x:c r="E153" s="78" t="e">
        <x:f>NA()</x:f>
        <x:v>#N/A</x:v>
      </x:c>
      <x:c r="F153" s="78" t="e">
        <x:f>NA()</x:f>
        <x:v>#N/A</x:v>
      </x:c>
      <x:c r="G153" s="78" t="e">
        <x:f ca="1">IF(AND(Decisiones!A132&gt;=IFERROR(INDEX(Participacion_Junta!$A$2:$A$341,_xludf.AGGREGATE(15,6,(ROW(Participacion_Junta!$A$2:$A$341)-1)/(Participacion_Junta!$B$2:$B$341=$X$2),1)),"ZZZ"),Decisiones!A132&lt;=IFERROR(INDEX(Participacion_Junta!$A$2:$A$341,_xludf.AGGREGATE(14,6,(ROW(Participacion_Junta!$A$2:$A$341)-1)/(Participacion_Junta!$B$2:$B$341=$X$2),1)),"")),0.35,NA())</x:f>
        <x:v>#NAME?</x:v>
      </x:c>
      <x:c r="H153" s="78"/>
      <x:c r="I153" s="78"/>
      <x:c r="J153" s="78"/>
      <x:c r="K153" s="78"/>
      <x:c r="L153" s="78"/>
      <x:c r="M153" s="78"/>
      <x:c r="AA153" t="n">
        <x:f>Decisiones!B153</x:f>
        <x:v>42417</x:v>
      </x:c>
    </x:row>
    <x:row r="154" ht="1.9500000476837158" customHeight="1">
      <x:c r="A154" s="94" t="n">
        <x:f>Decisiones!B133</x:f>
        <x:v>41523</x:v>
      </x:c>
      <x:c r="B154" s="78" t="n">
        <x:f>Decisiones!H133</x:f>
        <x:v>3.75</x:v>
      </x:c>
      <x:c r="C154" s="78" t="n">
        <x:f>COUNTIFS(Votaciones!$A$2:$A$341,Decisiones!A133,Votaciones!$D$2:$D$341,"Disenso restrictivo")</x:f>
        <x:v>0</x:v>
      </x:c>
      <x:c r="D154" s="78" t="n">
        <x:f>COUNTIFS(Votaciones!$A$2:$A$341,Decisiones!A133,Votaciones!$D$2:$D$341,"Disenso acomodaticio")</x:f>
        <x:v>0</x:v>
      </x:c>
      <x:c r="E154" s="78" t="e">
        <x:f>NA()</x:f>
        <x:v>#N/A</x:v>
      </x:c>
      <x:c r="F154" s="78" t="e">
        <x:f>NA()</x:f>
        <x:v>#N/A</x:v>
      </x:c>
      <x:c r="G154" s="78" t="e">
        <x:f ca="1">IF(AND(Decisiones!A133&gt;=IFERROR(INDEX(Participacion_Junta!$A$2:$A$341,_xludf.AGGREGATE(15,6,(ROW(Participacion_Junta!$A$2:$A$341)-1)/(Participacion_Junta!$B$2:$B$341=$X$2),1)),"ZZZ"),Decisiones!A133&lt;=IFERROR(INDEX(Participacion_Junta!$A$2:$A$341,_xludf.AGGREGATE(14,6,(ROW(Participacion_Junta!$A$2:$A$341)-1)/(Participacion_Junta!$B$2:$B$341=$X$2),1)),"")),0.35,NA())</x:f>
        <x:v>#NAME?</x:v>
      </x:c>
      <x:c r="H154" s="78"/>
      <x:c r="I154" s="78"/>
      <x:c r="J154" s="78"/>
      <x:c r="K154" s="78"/>
      <x:c r="L154" s="78"/>
      <x:c r="M154" s="78"/>
      <x:c r="AA154" t="n">
        <x:f>Decisiones!B154</x:f>
        <x:v>42447</x:v>
      </x:c>
    </x:row>
    <x:row r="155" ht="1.9500000476837158" customHeight="1">
      <x:c r="A155" s="94" t="n">
        <x:f>Decisiones!B134</x:f>
        <x:v>41572</x:v>
      </x:c>
      <x:c r="B155" s="78" t="n">
        <x:f>Decisiones!H134</x:f>
        <x:v>3.5</x:v>
      </x:c>
      <x:c r="C155" s="78" t="n">
        <x:f>COUNTIFS(Votaciones!$A$2:$A$341,Decisiones!A134,Votaciones!$D$2:$D$341,"Disenso restrictivo")</x:f>
        <x:v>0</x:v>
      </x:c>
      <x:c r="D155" s="78" t="n">
        <x:f>COUNTIFS(Votaciones!$A$2:$A$341,Decisiones!A134,Votaciones!$D$2:$D$341,"Disenso acomodaticio")</x:f>
        <x:v>0</x:v>
      </x:c>
      <x:c r="E155" s="78" t="e">
        <x:f>NA()</x:f>
        <x:v>#N/A</x:v>
      </x:c>
      <x:c r="F155" s="78" t="e">
        <x:f>NA()</x:f>
        <x:v>#N/A</x:v>
      </x:c>
      <x:c r="G155" s="78" t="e">
        <x:f ca="1">IF(AND(Decisiones!A134&gt;=IFERROR(INDEX(Participacion_Junta!$A$2:$A$341,_xludf.AGGREGATE(15,6,(ROW(Participacion_Junta!$A$2:$A$341)-1)/(Participacion_Junta!$B$2:$B$341=$X$2),1)),"ZZZ"),Decisiones!A134&lt;=IFERROR(INDEX(Participacion_Junta!$A$2:$A$341,_xludf.AGGREGATE(14,6,(ROW(Participacion_Junta!$A$2:$A$341)-1)/(Participacion_Junta!$B$2:$B$341=$X$2),1)),"")),0.35,NA())</x:f>
        <x:v>#NAME?</x:v>
      </x:c>
      <x:c r="H155" s="78"/>
      <x:c r="I155" s="78"/>
      <x:c r="J155" s="78"/>
      <x:c r="K155" s="78"/>
      <x:c r="L155" s="78"/>
      <x:c r="M155" s="78"/>
      <x:c r="AA155" t="n">
        <x:f>Decisiones!B155</x:f>
        <x:v>42495</x:v>
      </x:c>
    </x:row>
    <x:row r="156" ht="1.9500000476837158" customHeight="1">
      <x:c r="A156" s="94" t="n">
        <x:f>Decisiones!B135</x:f>
        <x:v>41614</x:v>
      </x:c>
      <x:c r="B156" s="78" t="n">
        <x:f>Decisiones!H135</x:f>
        <x:v>3.5</x:v>
      </x:c>
      <x:c r="C156" s="78" t="n">
        <x:f>COUNTIFS(Votaciones!$A$2:$A$341,Decisiones!A135,Votaciones!$D$2:$D$341,"Disenso restrictivo")</x:f>
        <x:v>0</x:v>
      </x:c>
      <x:c r="D156" s="78" t="n">
        <x:f>COUNTIFS(Votaciones!$A$2:$A$341,Decisiones!A135,Votaciones!$D$2:$D$341,"Disenso acomodaticio")</x:f>
        <x:v>0</x:v>
      </x:c>
      <x:c r="E156" s="78" t="e">
        <x:f>NA()</x:f>
        <x:v>#N/A</x:v>
      </x:c>
      <x:c r="F156" s="78" t="e">
        <x:f>NA()</x:f>
        <x:v>#N/A</x:v>
      </x:c>
      <x:c r="G156" s="78" t="e">
        <x:f ca="1">IF(AND(Decisiones!A135&gt;=IFERROR(INDEX(Participacion_Junta!$A$2:$A$341,_xludf.AGGREGATE(15,6,(ROW(Participacion_Junta!$A$2:$A$341)-1)/(Participacion_Junta!$B$2:$B$341=$X$2),1)),"ZZZ"),Decisiones!A135&lt;=IFERROR(INDEX(Participacion_Junta!$A$2:$A$341,_xludf.AGGREGATE(14,6,(ROW(Participacion_Junta!$A$2:$A$341)-1)/(Participacion_Junta!$B$2:$B$341=$X$2),1)),"")),0.35,NA())</x:f>
        <x:v>#NAME?</x:v>
      </x:c>
      <x:c r="H156" s="78"/>
      <x:c r="I156" s="78"/>
      <x:c r="J156" s="78"/>
      <x:c r="K156" s="78"/>
      <x:c r="L156" s="78"/>
      <x:c r="M156" s="78"/>
      <x:c r="AA156" t="n">
        <x:f>Decisiones!B156</x:f>
        <x:v>42551</x:v>
      </x:c>
    </x:row>
    <x:row r="157" ht="1.9500000476837158" customHeight="1">
      <x:c r="A157" s="94" t="n">
        <x:f>Decisiones!B136</x:f>
        <x:v>41670</x:v>
      </x:c>
      <x:c r="B157" s="78" t="n">
        <x:f>Decisiones!H136</x:f>
        <x:v>3.5</x:v>
      </x:c>
      <x:c r="C157" s="78" t="n">
        <x:f>COUNTIFS(Votaciones!$A$2:$A$341,Decisiones!A136,Votaciones!$D$2:$D$341,"Disenso restrictivo")</x:f>
        <x:v>0</x:v>
      </x:c>
      <x:c r="D157" s="78" t="n">
        <x:f>COUNTIFS(Votaciones!$A$2:$A$341,Decisiones!A136,Votaciones!$D$2:$D$341,"Disenso acomodaticio")</x:f>
        <x:v>0</x:v>
      </x:c>
      <x:c r="E157" s="78" t="e">
        <x:f>NA()</x:f>
        <x:v>#N/A</x:v>
      </x:c>
      <x:c r="F157" s="78" t="e">
        <x:f>NA()</x:f>
        <x:v>#N/A</x:v>
      </x:c>
      <x:c r="G157" s="78" t="e">
        <x:f ca="1">IF(AND(Decisiones!A136&gt;=IFERROR(INDEX(Participacion_Junta!$A$2:$A$341,_xludf.AGGREGATE(15,6,(ROW(Participacion_Junta!$A$2:$A$341)-1)/(Participacion_Junta!$B$2:$B$341=$X$2),1)),"ZZZ"),Decisiones!A136&lt;=IFERROR(INDEX(Participacion_Junta!$A$2:$A$341,_xludf.AGGREGATE(14,6,(ROW(Participacion_Junta!$A$2:$A$341)-1)/(Participacion_Junta!$B$2:$B$341=$X$2),1)),"")),0.35,NA())</x:f>
        <x:v>#NAME?</x:v>
      </x:c>
      <x:c r="H157" s="78"/>
      <x:c r="I157" s="78"/>
      <x:c r="J157" s="78"/>
      <x:c r="K157" s="78"/>
      <x:c r="L157" s="78"/>
      <x:c r="M157" s="78"/>
      <x:c r="AA157" t="n">
        <x:f>Decisiones!B157</x:f>
        <x:v>42593</x:v>
      </x:c>
    </x:row>
    <x:row r="158" ht="1.9500000476837158" customHeight="1">
      <x:c r="A158" s="94" t="n">
        <x:f>Decisiones!B137</x:f>
        <x:v>41719</x:v>
      </x:c>
      <x:c r="B158" s="78" t="n">
        <x:f>Decisiones!H137</x:f>
        <x:v>3.5</x:v>
      </x:c>
      <x:c r="C158" s="78" t="n">
        <x:f>COUNTIFS(Votaciones!$A$2:$A$341,Decisiones!A137,Votaciones!$D$2:$D$341,"Disenso restrictivo")</x:f>
        <x:v>0</x:v>
      </x:c>
      <x:c r="D158" s="78" t="n">
        <x:f>COUNTIFS(Votaciones!$A$2:$A$341,Decisiones!A137,Votaciones!$D$2:$D$341,"Disenso acomodaticio")</x:f>
        <x:v>0</x:v>
      </x:c>
      <x:c r="E158" s="78" t="e">
        <x:f>NA()</x:f>
        <x:v>#N/A</x:v>
      </x:c>
      <x:c r="F158" s="78" t="e">
        <x:f>NA()</x:f>
        <x:v>#N/A</x:v>
      </x:c>
      <x:c r="G158" s="78" t="e">
        <x:f ca="1">IF(AND(Decisiones!A137&gt;=IFERROR(INDEX(Participacion_Junta!$A$2:$A$341,_xludf.AGGREGATE(15,6,(ROW(Participacion_Junta!$A$2:$A$341)-1)/(Participacion_Junta!$B$2:$B$341=$X$2),1)),"ZZZ"),Decisiones!A137&lt;=IFERROR(INDEX(Participacion_Junta!$A$2:$A$341,_xludf.AGGREGATE(14,6,(ROW(Participacion_Junta!$A$2:$A$341)-1)/(Participacion_Junta!$B$2:$B$341=$X$2),1)),"")),0.35,NA())</x:f>
        <x:v>#NAME?</x:v>
      </x:c>
      <x:c r="H158" s="78"/>
      <x:c r="I158" s="78"/>
      <x:c r="J158" s="78"/>
      <x:c r="K158" s="78"/>
      <x:c r="L158" s="78"/>
      <x:c r="M158" s="78"/>
      <x:c r="AA158" t="n">
        <x:f>Decisiones!B158</x:f>
        <x:v>42642</x:v>
      </x:c>
    </x:row>
    <x:row r="159" ht="1.9500000476837158" customHeight="1">
      <x:c r="A159" s="94" t="n">
        <x:f>Decisiones!B138</x:f>
        <x:v>41754</x:v>
      </x:c>
      <x:c r="B159" s="78" t="n">
        <x:f>Decisiones!H138</x:f>
        <x:v>3.5</x:v>
      </x:c>
      <x:c r="C159" s="78" t="n">
        <x:f>COUNTIFS(Votaciones!$A$2:$A$341,Decisiones!A138,Votaciones!$D$2:$D$341,"Disenso restrictivo")</x:f>
        <x:v>0</x:v>
      </x:c>
      <x:c r="D159" s="78" t="n">
        <x:f>COUNTIFS(Votaciones!$A$2:$A$341,Decisiones!A138,Votaciones!$D$2:$D$341,"Disenso acomodaticio")</x:f>
        <x:v>0</x:v>
      </x:c>
      <x:c r="E159" s="78" t="e">
        <x:f>NA()</x:f>
        <x:v>#N/A</x:v>
      </x:c>
      <x:c r="F159" s="78" t="e">
        <x:f>NA()</x:f>
        <x:v>#N/A</x:v>
      </x:c>
      <x:c r="G159" s="78" t="e">
        <x:f ca="1">IF(AND(Decisiones!A138&gt;=IFERROR(INDEX(Participacion_Junta!$A$2:$A$341,_xludf.AGGREGATE(15,6,(ROW(Participacion_Junta!$A$2:$A$341)-1)/(Participacion_Junta!$B$2:$B$341=$X$2),1)),"ZZZ"),Decisiones!A138&lt;=IFERROR(INDEX(Participacion_Junta!$A$2:$A$341,_xludf.AGGREGATE(14,6,(ROW(Participacion_Junta!$A$2:$A$341)-1)/(Participacion_Junta!$B$2:$B$341=$X$2),1)),"")),0.35,NA())</x:f>
        <x:v>#NAME?</x:v>
      </x:c>
      <x:c r="H159" s="78"/>
      <x:c r="I159" s="78"/>
      <x:c r="J159" s="78"/>
      <x:c r="K159" s="78"/>
      <x:c r="L159" s="78"/>
      <x:c r="M159" s="78"/>
      <x:c r="AA159" t="n">
        <x:f>Decisiones!B159</x:f>
        <x:v>42691</x:v>
      </x:c>
    </x:row>
    <x:row r="160" ht="1.9500000476837158" customHeight="1">
      <x:c r="A160" s="94" t="n">
        <x:f>Decisiones!B139</x:f>
        <x:v>41796</x:v>
      </x:c>
      <x:c r="B160" s="78" t="n">
        <x:f>Decisiones!H139</x:f>
        <x:v>3</x:v>
      </x:c>
      <x:c r="C160" s="78" t="n">
        <x:f>COUNTIFS(Votaciones!$A$2:$A$341,Decisiones!A139,Votaciones!$D$2:$D$341,"Disenso restrictivo")</x:f>
        <x:v>0</x:v>
      </x:c>
      <x:c r="D160" s="78" t="n">
        <x:f>COUNTIFS(Votaciones!$A$2:$A$341,Decisiones!A139,Votaciones!$D$2:$D$341,"Disenso acomodaticio")</x:f>
        <x:v>0</x:v>
      </x:c>
      <x:c r="E160" s="78" t="e">
        <x:f>NA()</x:f>
        <x:v>#N/A</x:v>
      </x:c>
      <x:c r="F160" s="78" t="e">
        <x:f>NA()</x:f>
        <x:v>#N/A</x:v>
      </x:c>
      <x:c r="G160" s="78" t="e">
        <x:f ca="1">IF(AND(Decisiones!A139&gt;=IFERROR(INDEX(Participacion_Junta!$A$2:$A$341,_xludf.AGGREGATE(15,6,(ROW(Participacion_Junta!$A$2:$A$341)-1)/(Participacion_Junta!$B$2:$B$341=$X$2),1)),"ZZZ"),Decisiones!A139&lt;=IFERROR(INDEX(Participacion_Junta!$A$2:$A$341,_xludf.AGGREGATE(14,6,(ROW(Participacion_Junta!$A$2:$A$341)-1)/(Participacion_Junta!$B$2:$B$341=$X$2),1)),"")),0.35,NA())</x:f>
        <x:v>#NAME?</x:v>
      </x:c>
      <x:c r="H160" s="78"/>
      <x:c r="I160" s="78"/>
      <x:c r="J160" s="78"/>
      <x:c r="K160" s="78"/>
      <x:c r="L160" s="78"/>
      <x:c r="M160" s="78"/>
      <x:c r="AA160" t="n">
        <x:f>Decisiones!B160</x:f>
        <x:v>42719</x:v>
      </x:c>
    </x:row>
    <x:row r="161" ht="1.9500000476837158" customHeight="1">
      <x:c r="A161" s="94" t="n">
        <x:f>Decisiones!B140</x:f>
        <x:v>41831</x:v>
      </x:c>
      <x:c r="B161" s="78" t="n">
        <x:f>Decisiones!H140</x:f>
        <x:v>3</x:v>
      </x:c>
      <x:c r="C161" s="78" t="n">
        <x:f>COUNTIFS(Votaciones!$A$2:$A$341,Decisiones!A140,Votaciones!$D$2:$D$341,"Disenso restrictivo")</x:f>
        <x:v>0</x:v>
      </x:c>
      <x:c r="D161" s="78" t="n">
        <x:f>COUNTIFS(Votaciones!$A$2:$A$341,Decisiones!A140,Votaciones!$D$2:$D$341,"Disenso acomodaticio")</x:f>
        <x:v>0</x:v>
      </x:c>
      <x:c r="E161" s="78" t="e">
        <x:f>NA()</x:f>
        <x:v>#N/A</x:v>
      </x:c>
      <x:c r="F161" s="78" t="e">
        <x:f>NA()</x:f>
        <x:v>#N/A</x:v>
      </x:c>
      <x:c r="G161" s="78" t="e">
        <x:f ca="1">IF(AND(Decisiones!A140&gt;=IFERROR(INDEX(Participacion_Junta!$A$2:$A$341,_xludf.AGGREGATE(15,6,(ROW(Participacion_Junta!$A$2:$A$341)-1)/(Participacion_Junta!$B$2:$B$341=$X$2),1)),"ZZZ"),Decisiones!A140&lt;=IFERROR(INDEX(Participacion_Junta!$A$2:$A$341,_xludf.AGGREGATE(14,6,(ROW(Participacion_Junta!$A$2:$A$341)-1)/(Participacion_Junta!$B$2:$B$341=$X$2),1)),"")),0.35,NA())</x:f>
        <x:v>#NAME?</x:v>
      </x:c>
      <x:c r="H161" s="78"/>
      <x:c r="I161" s="78"/>
      <x:c r="J161" s="78"/>
      <x:c r="K161" s="78"/>
      <x:c r="L161" s="78"/>
      <x:c r="M161" s="78"/>
      <x:c r="AA161" t="n">
        <x:f>Decisiones!B161</x:f>
        <x:v>42775</x:v>
      </x:c>
    </x:row>
    <x:row r="162" ht="1.9500000476837158" customHeight="1">
      <x:c r="A162" s="94" t="n">
        <x:f>Decisiones!B141</x:f>
        <x:v>41887</x:v>
      </x:c>
      <x:c r="B162" s="78" t="n">
        <x:f>Decisiones!H141</x:f>
        <x:v>3</x:v>
      </x:c>
      <x:c r="C162" s="78" t="n">
        <x:f>COUNTIFS(Votaciones!$A$2:$A$341,Decisiones!A141,Votaciones!$D$2:$D$341,"Disenso restrictivo")</x:f>
        <x:v>0</x:v>
      </x:c>
      <x:c r="D162" s="78" t="n">
        <x:f>COUNTIFS(Votaciones!$A$2:$A$341,Decisiones!A141,Votaciones!$D$2:$D$341,"Disenso acomodaticio")</x:f>
        <x:v>0</x:v>
      </x:c>
      <x:c r="E162" s="78" t="e">
        <x:f>NA()</x:f>
        <x:v>#N/A</x:v>
      </x:c>
      <x:c r="F162" s="78" t="e">
        <x:f>NA()</x:f>
        <x:v>#N/A</x:v>
      </x:c>
      <x:c r="G162" s="78" t="e">
        <x:f ca="1">IF(AND(Decisiones!A141&gt;=IFERROR(INDEX(Participacion_Junta!$A$2:$A$341,_xludf.AGGREGATE(15,6,(ROW(Participacion_Junta!$A$2:$A$341)-1)/(Participacion_Junta!$B$2:$B$341=$X$2),1)),"ZZZ"),Decisiones!A141&lt;=IFERROR(INDEX(Participacion_Junta!$A$2:$A$341,_xludf.AGGREGATE(14,6,(ROW(Participacion_Junta!$A$2:$A$341)-1)/(Participacion_Junta!$B$2:$B$341=$X$2),1)),"")),0.35,NA())</x:f>
        <x:v>#NAME?</x:v>
      </x:c>
      <x:c r="H162" s="78"/>
      <x:c r="I162" s="78"/>
      <x:c r="J162" s="78"/>
      <x:c r="K162" s="78"/>
      <x:c r="L162" s="78"/>
      <x:c r="M162" s="78"/>
      <x:c r="AA162" t="n">
        <x:f>Decisiones!B162</x:f>
        <x:v>42824</x:v>
      </x:c>
    </x:row>
    <x:row r="163" ht="1.9500000476837158" customHeight="1">
      <x:c r="A163" s="94" t="n">
        <x:f>Decisiones!B142</x:f>
        <x:v>41943</x:v>
      </x:c>
      <x:c r="B163" s="78" t="n">
        <x:f>Decisiones!H142</x:f>
        <x:v>3</x:v>
      </x:c>
      <x:c r="C163" s="78" t="n">
        <x:f>COUNTIFS(Votaciones!$A$2:$A$341,Decisiones!A142,Votaciones!$D$2:$D$341,"Disenso restrictivo")</x:f>
        <x:v>0</x:v>
      </x:c>
      <x:c r="D163" s="78" t="n">
        <x:f>COUNTIFS(Votaciones!$A$2:$A$341,Decisiones!A142,Votaciones!$D$2:$D$341,"Disenso acomodaticio")</x:f>
        <x:v>0</x:v>
      </x:c>
      <x:c r="E163" s="78" t="e">
        <x:f>NA()</x:f>
        <x:v>#N/A</x:v>
      </x:c>
      <x:c r="F163" s="78" t="e">
        <x:f>NA()</x:f>
        <x:v>#N/A</x:v>
      </x:c>
      <x:c r="G163" s="78" t="e">
        <x:f ca="1">IF(AND(Decisiones!A142&gt;=IFERROR(INDEX(Participacion_Junta!$A$2:$A$341,_xludf.AGGREGATE(15,6,(ROW(Participacion_Junta!$A$2:$A$341)-1)/(Participacion_Junta!$B$2:$B$341=$X$2),1)),"ZZZ"),Decisiones!A142&lt;=IFERROR(INDEX(Participacion_Junta!$A$2:$A$341,_xludf.AGGREGATE(14,6,(ROW(Participacion_Junta!$A$2:$A$341)-1)/(Participacion_Junta!$B$2:$B$341=$X$2),1)),"")),0.35,NA())</x:f>
        <x:v>#NAME?</x:v>
      </x:c>
      <x:c r="H163" s="78"/>
      <x:c r="I163" s="78"/>
      <x:c r="J163" s="78"/>
      <x:c r="K163" s="78"/>
      <x:c r="L163" s="78"/>
      <x:c r="M163" s="78"/>
      <x:c r="AA163" t="n">
        <x:f>Decisiones!B163</x:f>
        <x:v>42873</x:v>
      </x:c>
    </x:row>
    <x:row r="164" ht="1.9500000476837158" customHeight="1">
      <x:c r="A164" s="94" t="n">
        <x:f>Decisiones!B143</x:f>
        <x:v>41978</x:v>
      </x:c>
      <x:c r="B164" s="78" t="n">
        <x:f>Decisiones!H143</x:f>
        <x:v>3</x:v>
      </x:c>
      <x:c r="C164" s="78" t="n">
        <x:f>COUNTIFS(Votaciones!$A$2:$A$341,Decisiones!A143,Votaciones!$D$2:$D$341,"Disenso restrictivo")</x:f>
        <x:v>0</x:v>
      </x:c>
      <x:c r="D164" s="78" t="n">
        <x:f>COUNTIFS(Votaciones!$A$2:$A$341,Decisiones!A143,Votaciones!$D$2:$D$341,"Disenso acomodaticio")</x:f>
        <x:v>0</x:v>
      </x:c>
      <x:c r="E164" s="78" t="e">
        <x:f>NA()</x:f>
        <x:v>#N/A</x:v>
      </x:c>
      <x:c r="F164" s="78" t="e">
        <x:f>NA()</x:f>
        <x:v>#N/A</x:v>
      </x:c>
      <x:c r="G164" s="78" t="e">
        <x:f ca="1">IF(AND(Decisiones!A143&gt;=IFERROR(INDEX(Participacion_Junta!$A$2:$A$341,_xludf.AGGREGATE(15,6,(ROW(Participacion_Junta!$A$2:$A$341)-1)/(Participacion_Junta!$B$2:$B$341=$X$2),1)),"ZZZ"),Decisiones!A143&lt;=IFERROR(INDEX(Participacion_Junta!$A$2:$A$341,_xludf.AGGREGATE(14,6,(ROW(Participacion_Junta!$A$2:$A$341)-1)/(Participacion_Junta!$B$2:$B$341=$X$2),1)),"")),0.35,NA())</x:f>
        <x:v>#NAME?</x:v>
      </x:c>
      <x:c r="H164" s="78"/>
      <x:c r="I164" s="78"/>
      <x:c r="J164" s="78"/>
      <x:c r="K164" s="78"/>
      <x:c r="L164" s="78"/>
      <x:c r="M164" s="78"/>
      <x:c r="AA164" t="n">
        <x:f>Decisiones!B164</x:f>
        <x:v>42908</x:v>
      </x:c>
    </x:row>
    <x:row r="165" ht="1.9500000476837158" customHeight="1">
      <x:c r="A165" s="94" t="n">
        <x:f>Decisiones!B144</x:f>
        <x:v>42033</x:v>
      </x:c>
      <x:c r="B165" s="78" t="n">
        <x:f>Decisiones!H144</x:f>
        <x:v>3</x:v>
      </x:c>
      <x:c r="C165" s="78" t="n">
        <x:f>COUNTIFS(Votaciones!$A$2:$A$341,Decisiones!A144,Votaciones!$D$2:$D$341,"Disenso restrictivo")</x:f>
        <x:v>0</x:v>
      </x:c>
      <x:c r="D165" s="78" t="n">
        <x:f>COUNTIFS(Votaciones!$A$2:$A$341,Decisiones!A144,Votaciones!$D$2:$D$341,"Disenso acomodaticio")</x:f>
        <x:v>0</x:v>
      </x:c>
      <x:c r="E165" s="78" t="e">
        <x:f>NA()</x:f>
        <x:v>#N/A</x:v>
      </x:c>
      <x:c r="F165" s="78" t="e">
        <x:f>NA()</x:f>
        <x:v>#N/A</x:v>
      </x:c>
      <x:c r="G165" s="78" t="e">
        <x:f ca="1">IF(AND(Decisiones!A144&gt;=IFERROR(INDEX(Participacion_Junta!$A$2:$A$341,_xludf.AGGREGATE(15,6,(ROW(Participacion_Junta!$A$2:$A$341)-1)/(Participacion_Junta!$B$2:$B$341=$X$2),1)),"ZZZ"),Decisiones!A144&lt;=IFERROR(INDEX(Participacion_Junta!$A$2:$A$341,_xludf.AGGREGATE(14,6,(ROW(Participacion_Junta!$A$2:$A$341)-1)/(Participacion_Junta!$B$2:$B$341=$X$2),1)),"")),0.35,NA())</x:f>
        <x:v>#NAME?</x:v>
      </x:c>
      <x:c r="H165" s="78"/>
      <x:c r="I165" s="78"/>
      <x:c r="J165" s="78"/>
      <x:c r="K165" s="78"/>
      <x:c r="L165" s="78"/>
      <x:c r="M165" s="78"/>
      <x:c r="AA165" t="n">
        <x:f>Decisiones!B165</x:f>
        <x:v>42957</x:v>
      </x:c>
    </x:row>
    <x:row r="166" ht="1.9500000476837158" customHeight="1">
      <x:c r="A166" s="94" t="n">
        <x:f>Decisiones!B145</x:f>
        <x:v>42089</x:v>
      </x:c>
      <x:c r="B166" s="78" t="n">
        <x:f>Decisiones!H145</x:f>
        <x:v>3</x:v>
      </x:c>
      <x:c r="C166" s="78" t="n">
        <x:f>COUNTIFS(Votaciones!$A$2:$A$341,Decisiones!A145,Votaciones!$D$2:$D$341,"Disenso restrictivo")</x:f>
        <x:v>0</x:v>
      </x:c>
      <x:c r="D166" s="78" t="n">
        <x:f>COUNTIFS(Votaciones!$A$2:$A$341,Decisiones!A145,Votaciones!$D$2:$D$341,"Disenso acomodaticio")</x:f>
        <x:v>0</x:v>
      </x:c>
      <x:c r="E166" s="78" t="e">
        <x:f>NA()</x:f>
        <x:v>#N/A</x:v>
      </x:c>
      <x:c r="F166" s="78" t="e">
        <x:f>NA()</x:f>
        <x:v>#N/A</x:v>
      </x:c>
      <x:c r="G166" s="78" t="e">
        <x:f ca="1">IF(AND(Decisiones!A145&gt;=IFERROR(INDEX(Participacion_Junta!$A$2:$A$341,_xludf.AGGREGATE(15,6,(ROW(Participacion_Junta!$A$2:$A$341)-1)/(Participacion_Junta!$B$2:$B$341=$X$2),1)),"ZZZ"),Decisiones!A145&lt;=IFERROR(INDEX(Participacion_Junta!$A$2:$A$341,_xludf.AGGREGATE(14,6,(ROW(Participacion_Junta!$A$2:$A$341)-1)/(Participacion_Junta!$B$2:$B$341=$X$2),1)),"")),0.35,NA())</x:f>
        <x:v>#NAME?</x:v>
      </x:c>
      <x:c r="H166" s="78"/>
      <x:c r="I166" s="78"/>
      <x:c r="J166" s="78"/>
      <x:c r="K166" s="78"/>
      <x:c r="L166" s="78"/>
      <x:c r="M166" s="78"/>
      <x:c r="AA166" t="n">
        <x:f>Decisiones!B166</x:f>
        <x:v>43006</x:v>
      </x:c>
    </x:row>
    <x:row r="167" ht="1.9500000476837158" customHeight="1">
      <x:c r="A167" s="94" t="n">
        <x:f>Decisiones!B146</x:f>
        <x:v>42124</x:v>
      </x:c>
      <x:c r="B167" s="78" t="n">
        <x:f>Decisiones!H146</x:f>
        <x:v>3</x:v>
      </x:c>
      <x:c r="C167" s="78" t="n">
        <x:f>COUNTIFS(Votaciones!$A$2:$A$341,Decisiones!A146,Votaciones!$D$2:$D$341,"Disenso restrictivo")</x:f>
        <x:v>0</x:v>
      </x:c>
      <x:c r="D167" s="78" t="n">
        <x:f>COUNTIFS(Votaciones!$A$2:$A$341,Decisiones!A146,Votaciones!$D$2:$D$341,"Disenso acomodaticio")</x:f>
        <x:v>0</x:v>
      </x:c>
      <x:c r="E167" s="78" t="e">
        <x:f>NA()</x:f>
        <x:v>#N/A</x:v>
      </x:c>
      <x:c r="F167" s="78" t="e">
        <x:f>NA()</x:f>
        <x:v>#N/A</x:v>
      </x:c>
      <x:c r="G167" s="78" t="e">
        <x:f ca="1">IF(AND(Decisiones!A146&gt;=IFERROR(INDEX(Participacion_Junta!$A$2:$A$341,_xludf.AGGREGATE(15,6,(ROW(Participacion_Junta!$A$2:$A$341)-1)/(Participacion_Junta!$B$2:$B$341=$X$2),1)),"ZZZ"),Decisiones!A146&lt;=IFERROR(INDEX(Participacion_Junta!$A$2:$A$341,_xludf.AGGREGATE(14,6,(ROW(Participacion_Junta!$A$2:$A$341)-1)/(Participacion_Junta!$B$2:$B$341=$X$2),1)),"")),0.35,NA())</x:f>
        <x:v>#NAME?</x:v>
      </x:c>
      <x:c r="H167" s="78"/>
      <x:c r="I167" s="78"/>
      <x:c r="J167" s="78"/>
      <x:c r="K167" s="78"/>
      <x:c r="L167" s="78"/>
      <x:c r="M167" s="78"/>
      <x:c r="AA167" t="n">
        <x:f>Decisiones!B167</x:f>
        <x:v>43048</x:v>
      </x:c>
    </x:row>
    <x:row r="168" ht="1.9500000476837158" customHeight="1">
      <x:c r="A168" s="94" t="n">
        <x:f>Decisiones!B147</x:f>
        <x:v>42159</x:v>
      </x:c>
      <x:c r="B168" s="78" t="n">
        <x:f>Decisiones!H147</x:f>
        <x:v>3</x:v>
      </x:c>
      <x:c r="C168" s="78" t="n">
        <x:f>COUNTIFS(Votaciones!$A$2:$A$341,Decisiones!A147,Votaciones!$D$2:$D$341,"Disenso restrictivo")</x:f>
        <x:v>0</x:v>
      </x:c>
      <x:c r="D168" s="78" t="n">
        <x:f>COUNTIFS(Votaciones!$A$2:$A$341,Decisiones!A147,Votaciones!$D$2:$D$341,"Disenso acomodaticio")</x:f>
        <x:v>0</x:v>
      </x:c>
      <x:c r="E168" s="78" t="e">
        <x:f>NA()</x:f>
        <x:v>#N/A</x:v>
      </x:c>
      <x:c r="F168" s="78" t="e">
        <x:f>NA()</x:f>
        <x:v>#N/A</x:v>
      </x:c>
      <x:c r="G168" s="78" t="e">
        <x:f ca="1">IF(AND(Decisiones!A147&gt;=IFERROR(INDEX(Participacion_Junta!$A$2:$A$341,_xludf.AGGREGATE(15,6,(ROW(Participacion_Junta!$A$2:$A$341)-1)/(Participacion_Junta!$B$2:$B$341=$X$2),1)),"ZZZ"),Decisiones!A147&lt;=IFERROR(INDEX(Participacion_Junta!$A$2:$A$341,_xludf.AGGREGATE(14,6,(ROW(Participacion_Junta!$A$2:$A$341)-1)/(Participacion_Junta!$B$2:$B$341=$X$2),1)),"")),0.35,NA())</x:f>
        <x:v>#NAME?</x:v>
      </x:c>
      <x:c r="H168" s="78"/>
      <x:c r="I168" s="78"/>
      <x:c r="J168" s="78"/>
      <x:c r="K168" s="78"/>
      <x:c r="L168" s="78"/>
      <x:c r="M168" s="78"/>
      <x:c r="AA168" t="n">
        <x:f>Decisiones!B168</x:f>
        <x:v>43083</x:v>
      </x:c>
    </x:row>
    <x:row r="169" ht="1.9500000476837158" customHeight="1">
      <x:c r="A169" s="94" t="n">
        <x:f>Decisiones!B148</x:f>
        <x:v>42215</x:v>
      </x:c>
      <x:c r="B169" s="78" t="n">
        <x:f>Decisiones!H148</x:f>
        <x:v>3</x:v>
      </x:c>
      <x:c r="C169" s="78" t="n">
        <x:f>COUNTIFS(Votaciones!$A$2:$A$341,Decisiones!A148,Votaciones!$D$2:$D$341,"Disenso restrictivo")</x:f>
        <x:v>0</x:v>
      </x:c>
      <x:c r="D169" s="78" t="n">
        <x:f>COUNTIFS(Votaciones!$A$2:$A$341,Decisiones!A148,Votaciones!$D$2:$D$341,"Disenso acomodaticio")</x:f>
        <x:v>0</x:v>
      </x:c>
      <x:c r="E169" s="78" t="e">
        <x:f>NA()</x:f>
        <x:v>#N/A</x:v>
      </x:c>
      <x:c r="F169" s="78" t="e">
        <x:f>NA()</x:f>
        <x:v>#N/A</x:v>
      </x:c>
      <x:c r="G169" s="78" t="e">
        <x:f ca="1">IF(AND(Decisiones!A148&gt;=IFERROR(INDEX(Participacion_Junta!$A$2:$A$341,_xludf.AGGREGATE(15,6,(ROW(Participacion_Junta!$A$2:$A$341)-1)/(Participacion_Junta!$B$2:$B$341=$X$2),1)),"ZZZ"),Decisiones!A148&lt;=IFERROR(INDEX(Participacion_Junta!$A$2:$A$341,_xludf.AGGREGATE(14,6,(ROW(Participacion_Junta!$A$2:$A$341)-1)/(Participacion_Junta!$B$2:$B$341=$X$2),1)),"")),0.35,NA())</x:f>
        <x:v>#NAME?</x:v>
      </x:c>
      <x:c r="H169" s="78"/>
      <x:c r="I169" s="78"/>
      <x:c r="J169" s="78"/>
      <x:c r="K169" s="78"/>
      <x:c r="L169" s="78"/>
      <x:c r="M169" s="78"/>
      <x:c r="AA169" t="n">
        <x:f>Decisiones!B169</x:f>
        <x:v>43139</x:v>
      </x:c>
    </x:row>
    <x:row r="170" ht="1.9500000476837158" customHeight="1">
      <x:c r="A170" s="94" t="n">
        <x:f>Decisiones!B149</x:f>
        <x:v>42268</x:v>
      </x:c>
      <x:c r="B170" s="78" t="n">
        <x:f>Decisiones!H149</x:f>
        <x:v>3</x:v>
      </x:c>
      <x:c r="C170" s="78" t="n">
        <x:f>COUNTIFS(Votaciones!$A$2:$A$341,Decisiones!A149,Votaciones!$D$2:$D$341,"Disenso restrictivo")</x:f>
        <x:v>0</x:v>
      </x:c>
      <x:c r="D170" s="78" t="n">
        <x:f>COUNTIFS(Votaciones!$A$2:$A$341,Decisiones!A149,Votaciones!$D$2:$D$341,"Disenso acomodaticio")</x:f>
        <x:v>0</x:v>
      </x:c>
      <x:c r="E170" s="78" t="e">
        <x:f>NA()</x:f>
        <x:v>#N/A</x:v>
      </x:c>
      <x:c r="F170" s="78" t="e">
        <x:f>NA()</x:f>
        <x:v>#N/A</x:v>
      </x:c>
      <x:c r="G170" s="78" t="e">
        <x:f ca="1">IF(AND(Decisiones!A149&gt;=IFERROR(INDEX(Participacion_Junta!$A$2:$A$341,_xludf.AGGREGATE(15,6,(ROW(Participacion_Junta!$A$2:$A$341)-1)/(Participacion_Junta!$B$2:$B$341=$X$2),1)),"ZZZ"),Decisiones!A149&lt;=IFERROR(INDEX(Participacion_Junta!$A$2:$A$341,_xludf.AGGREGATE(14,6,(ROW(Participacion_Junta!$A$2:$A$341)-1)/(Participacion_Junta!$B$2:$B$341=$X$2),1)),"")),0.35,NA())</x:f>
        <x:v>#NAME?</x:v>
      </x:c>
      <x:c r="H170" s="78"/>
      <x:c r="I170" s="78"/>
      <x:c r="J170" s="78"/>
      <x:c r="K170" s="78"/>
      <x:c r="L170" s="78"/>
      <x:c r="M170" s="78"/>
      <x:c r="AA170" t="n">
        <x:f>Decisiones!B170</x:f>
        <x:v>43202</x:v>
      </x:c>
    </x:row>
    <x:row r="171" ht="1.9500000476837158" customHeight="1">
      <x:c r="A171" s="94" t="n">
        <x:f>Decisiones!B150</x:f>
        <x:v>42306</x:v>
      </x:c>
      <x:c r="B171" s="78" t="n">
        <x:f>Decisiones!H150</x:f>
        <x:v>3</x:v>
      </x:c>
      <x:c r="C171" s="78" t="n">
        <x:f>COUNTIFS(Votaciones!$A$2:$A$341,Decisiones!A150,Votaciones!$D$2:$D$341,"Disenso restrictivo")</x:f>
        <x:v>0</x:v>
      </x:c>
      <x:c r="D171" s="78" t="n">
        <x:f>COUNTIFS(Votaciones!$A$2:$A$341,Decisiones!A150,Votaciones!$D$2:$D$341,"Disenso acomodaticio")</x:f>
        <x:v>0</x:v>
      </x:c>
      <x:c r="E171" s="78" t="e">
        <x:f>NA()</x:f>
        <x:v>#N/A</x:v>
      </x:c>
      <x:c r="F171" s="78" t="e">
        <x:f>NA()</x:f>
        <x:v>#N/A</x:v>
      </x:c>
      <x:c r="G171" s="78" t="e">
        <x:f ca="1">IF(AND(Decisiones!A150&gt;=IFERROR(INDEX(Participacion_Junta!$A$2:$A$341,_xludf.AGGREGATE(15,6,(ROW(Participacion_Junta!$A$2:$A$341)-1)/(Participacion_Junta!$B$2:$B$341=$X$2),1)),"ZZZ"),Decisiones!A150&lt;=IFERROR(INDEX(Participacion_Junta!$A$2:$A$341,_xludf.AGGREGATE(14,6,(ROW(Participacion_Junta!$A$2:$A$341)-1)/(Participacion_Junta!$B$2:$B$341=$X$2),1)),"")),0.35,NA())</x:f>
        <x:v>#NAME?</x:v>
      </x:c>
      <x:c r="H171" s="78"/>
      <x:c r="I171" s="78"/>
      <x:c r="J171" s="78"/>
      <x:c r="K171" s="78"/>
      <x:c r="L171" s="78"/>
      <x:c r="M171" s="78"/>
      <x:c r="AA171" t="n">
        <x:f>Decisiones!B171</x:f>
        <x:v>43237</x:v>
      </x:c>
    </x:row>
    <x:row r="172" ht="1.9500000476837158" customHeight="1">
      <x:c r="A172" s="94" t="n">
        <x:f>Decisiones!B151</x:f>
        <x:v>42355</x:v>
      </x:c>
      <x:c r="B172" s="78" t="n">
        <x:f>Decisiones!H151</x:f>
        <x:v>3.25</x:v>
      </x:c>
      <x:c r="C172" s="78" t="n">
        <x:f>COUNTIFS(Votaciones!$A$2:$A$341,Decisiones!A151,Votaciones!$D$2:$D$341,"Disenso restrictivo")</x:f>
        <x:v>0</x:v>
      </x:c>
      <x:c r="D172" s="78" t="n">
        <x:f>COUNTIFS(Votaciones!$A$2:$A$341,Decisiones!A151,Votaciones!$D$2:$D$341,"Disenso acomodaticio")</x:f>
        <x:v>0</x:v>
      </x:c>
      <x:c r="E172" s="78" t="e">
        <x:f>NA()</x:f>
        <x:v>#N/A</x:v>
      </x:c>
      <x:c r="F172" s="78" t="e">
        <x:f>NA()</x:f>
        <x:v>#N/A</x:v>
      </x:c>
      <x:c r="G172" s="78" t="e">
        <x:f ca="1">IF(AND(Decisiones!A151&gt;=IFERROR(INDEX(Participacion_Junta!$A$2:$A$341,_xludf.AGGREGATE(15,6,(ROW(Participacion_Junta!$A$2:$A$341)-1)/(Participacion_Junta!$B$2:$B$341=$X$2),1)),"ZZZ"),Decisiones!A151&lt;=IFERROR(INDEX(Participacion_Junta!$A$2:$A$341,_xludf.AGGREGATE(14,6,(ROW(Participacion_Junta!$A$2:$A$341)-1)/(Participacion_Junta!$B$2:$B$341=$X$2),1)),"")),0.35,NA())</x:f>
        <x:v>#NAME?</x:v>
      </x:c>
      <x:c r="H172" s="78"/>
      <x:c r="I172" s="78"/>
      <x:c r="J172" s="78"/>
      <x:c r="K172" s="78"/>
      <x:c r="L172" s="78"/>
      <x:c r="M172" s="78"/>
      <x:c r="AA172" t="n">
        <x:f>Decisiones!B172</x:f>
        <x:v>43272</x:v>
      </x:c>
    </x:row>
    <x:row r="173" ht="1.9500000476837158" customHeight="1">
      <x:c r="A173" s="94" t="n">
        <x:f>Decisiones!B152</x:f>
        <x:v>42404</x:v>
      </x:c>
      <x:c r="B173" s="78" t="n">
        <x:f>Decisiones!H152</x:f>
        <x:v>3.25</x:v>
      </x:c>
      <x:c r="C173" s="78" t="n">
        <x:f>COUNTIFS(Votaciones!$A$2:$A$341,Decisiones!A152,Votaciones!$D$2:$D$341,"Disenso restrictivo")</x:f>
        <x:v>0</x:v>
      </x:c>
      <x:c r="D173" s="78" t="n">
        <x:f>COUNTIFS(Votaciones!$A$2:$A$341,Decisiones!A152,Votaciones!$D$2:$D$341,"Disenso acomodaticio")</x:f>
        <x:v>0</x:v>
      </x:c>
      <x:c r="E173" s="78" t="e">
        <x:f>NA()</x:f>
        <x:v>#N/A</x:v>
      </x:c>
      <x:c r="F173" s="78" t="e">
        <x:f>NA()</x:f>
        <x:v>#N/A</x:v>
      </x:c>
      <x:c r="G173" s="78" t="e">
        <x:f ca="1">IF(AND(Decisiones!A152&gt;=IFERROR(INDEX(Participacion_Junta!$A$2:$A$341,_xludf.AGGREGATE(15,6,(ROW(Participacion_Junta!$A$2:$A$341)-1)/(Participacion_Junta!$B$2:$B$341=$X$2),1)),"ZZZ"),Decisiones!A152&lt;=IFERROR(INDEX(Participacion_Junta!$A$2:$A$341,_xludf.AGGREGATE(14,6,(ROW(Participacion_Junta!$A$2:$A$341)-1)/(Participacion_Junta!$B$2:$B$341=$X$2),1)),"")),0.35,NA())</x:f>
        <x:v>#NAME?</x:v>
      </x:c>
      <x:c r="H173" s="78"/>
      <x:c r="I173" s="78"/>
      <x:c r="J173" s="78"/>
      <x:c r="K173" s="78"/>
      <x:c r="L173" s="78"/>
      <x:c r="M173" s="78"/>
      <x:c r="AA173" t="n">
        <x:f>Decisiones!B173</x:f>
        <x:v>43314</x:v>
      </x:c>
    </x:row>
    <x:row r="174" ht="1.9500000476837158" customHeight="1">
      <x:c r="A174" s="94" t="n">
        <x:f>Decisiones!B153</x:f>
        <x:v>42417</x:v>
      </x:c>
      <x:c r="B174" s="78" t="n">
        <x:f>Decisiones!H153</x:f>
        <x:v>3.75</x:v>
      </x:c>
      <x:c r="C174" s="78" t="n">
        <x:f>COUNTIFS(Votaciones!$A$2:$A$341,Decisiones!A153,Votaciones!$D$2:$D$341,"Disenso restrictivo")</x:f>
        <x:v>0</x:v>
      </x:c>
      <x:c r="D174" s="78" t="n">
        <x:f>COUNTIFS(Votaciones!$A$2:$A$341,Decisiones!A153,Votaciones!$D$2:$D$341,"Disenso acomodaticio")</x:f>
        <x:v>0</x:v>
      </x:c>
      <x:c r="E174" s="78" t="e">
        <x:f>NA()</x:f>
        <x:v>#N/A</x:v>
      </x:c>
      <x:c r="F174" s="78" t="e">
        <x:f>NA()</x:f>
        <x:v>#N/A</x:v>
      </x:c>
      <x:c r="G174" s="78" t="e">
        <x:f ca="1">IF(AND(Decisiones!A153&gt;=IFERROR(INDEX(Participacion_Junta!$A$2:$A$341,_xludf.AGGREGATE(15,6,(ROW(Participacion_Junta!$A$2:$A$341)-1)/(Participacion_Junta!$B$2:$B$341=$X$2),1)),"ZZZ"),Decisiones!A153&lt;=IFERROR(INDEX(Participacion_Junta!$A$2:$A$341,_xludf.AGGREGATE(14,6,(ROW(Participacion_Junta!$A$2:$A$341)-1)/(Participacion_Junta!$B$2:$B$341=$X$2),1)),"")),0.35,NA())</x:f>
        <x:v>#NAME?</x:v>
      </x:c>
      <x:c r="H174" s="78"/>
      <x:c r="I174" s="78"/>
      <x:c r="J174" s="78"/>
      <x:c r="K174" s="78"/>
      <x:c r="L174" s="78"/>
      <x:c r="M174" s="78"/>
      <x:c r="AA174" t="n">
        <x:f>Decisiones!B174</x:f>
        <x:v>43377</x:v>
      </x:c>
    </x:row>
    <x:row r="175" ht="1.9500000476837158" customHeight="1">
      <x:c r="A175" s="94" t="n">
        <x:f>Decisiones!B154</x:f>
        <x:v>42447</x:v>
      </x:c>
      <x:c r="B175" s="78" t="n">
        <x:f>Decisiones!H154</x:f>
        <x:v>3.75</x:v>
      </x:c>
      <x:c r="C175" s="78" t="n">
        <x:f>COUNTIFS(Votaciones!$A$2:$A$341,Decisiones!A154,Votaciones!$D$2:$D$341,"Disenso restrictivo")</x:f>
        <x:v>0</x:v>
      </x:c>
      <x:c r="D175" s="78" t="n">
        <x:f>COUNTIFS(Votaciones!$A$2:$A$341,Decisiones!A154,Votaciones!$D$2:$D$341,"Disenso acomodaticio")</x:f>
        <x:v>0</x:v>
      </x:c>
      <x:c r="E175" s="78" t="e">
        <x:f>NA()</x:f>
        <x:v>#N/A</x:v>
      </x:c>
      <x:c r="F175" s="78" t="e">
        <x:f>NA()</x:f>
        <x:v>#N/A</x:v>
      </x:c>
      <x:c r="G175" s="78" t="e">
        <x:f ca="1">IF(AND(Decisiones!A154&gt;=IFERROR(INDEX(Participacion_Junta!$A$2:$A$341,_xludf.AGGREGATE(15,6,(ROW(Participacion_Junta!$A$2:$A$341)-1)/(Participacion_Junta!$B$2:$B$341=$X$2),1)),"ZZZ"),Decisiones!A154&lt;=IFERROR(INDEX(Participacion_Junta!$A$2:$A$341,_xludf.AGGREGATE(14,6,(ROW(Participacion_Junta!$A$2:$A$341)-1)/(Participacion_Junta!$B$2:$B$341=$X$2),1)),"")),0.35,NA())</x:f>
        <x:v>#NAME?</x:v>
      </x:c>
      <x:c r="H175" s="78"/>
      <x:c r="I175" s="78"/>
      <x:c r="J175" s="78"/>
      <x:c r="K175" s="78"/>
      <x:c r="L175" s="78"/>
      <x:c r="M175" s="78"/>
      <x:c r="AA175" t="n">
        <x:f>Decisiones!B175</x:f>
        <x:v>43419</x:v>
      </x:c>
    </x:row>
    <x:row r="176" ht="1.9500000476837158" customHeight="1">
      <x:c r="A176" s="94" t="n">
        <x:f>Decisiones!B155</x:f>
        <x:v>42495</x:v>
      </x:c>
      <x:c r="B176" s="78" t="n">
        <x:f>Decisiones!H155</x:f>
        <x:v>3.75</x:v>
      </x:c>
      <x:c r="C176" s="78" t="n">
        <x:f>COUNTIFS(Votaciones!$A$2:$A$341,Decisiones!A155,Votaciones!$D$2:$D$341,"Disenso restrictivo")</x:f>
        <x:v>0</x:v>
      </x:c>
      <x:c r="D176" s="78" t="n">
        <x:f>COUNTIFS(Votaciones!$A$2:$A$341,Decisiones!A155,Votaciones!$D$2:$D$341,"Disenso acomodaticio")</x:f>
        <x:v>0</x:v>
      </x:c>
      <x:c r="E176" s="78" t="e">
        <x:f>NA()</x:f>
        <x:v>#N/A</x:v>
      </x:c>
      <x:c r="F176" s="78" t="e">
        <x:f>NA()</x:f>
        <x:v>#N/A</x:v>
      </x:c>
      <x:c r="G176" s="78" t="e">
        <x:f ca="1">IF(AND(Decisiones!A155&gt;=IFERROR(INDEX(Participacion_Junta!$A$2:$A$341,_xludf.AGGREGATE(15,6,(ROW(Participacion_Junta!$A$2:$A$341)-1)/(Participacion_Junta!$B$2:$B$341=$X$2),1)),"ZZZ"),Decisiones!A155&lt;=IFERROR(INDEX(Participacion_Junta!$A$2:$A$341,_xludf.AGGREGATE(14,6,(ROW(Participacion_Junta!$A$2:$A$341)-1)/(Participacion_Junta!$B$2:$B$341=$X$2),1)),"")),0.35,NA())</x:f>
        <x:v>#NAME?</x:v>
      </x:c>
      <x:c r="H176" s="78"/>
      <x:c r="I176" s="78"/>
      <x:c r="J176" s="78"/>
      <x:c r="K176" s="78"/>
      <x:c r="L176" s="78"/>
      <x:c r="M176" s="78"/>
      <x:c r="AA176" t="n">
        <x:f>Decisiones!B176</x:f>
        <x:v>43454</x:v>
      </x:c>
    </x:row>
    <x:row r="177" ht="1.9500000476837158" customHeight="1">
      <x:c r="A177" s="94" t="n">
        <x:f>Decisiones!B156</x:f>
        <x:v>42551</x:v>
      </x:c>
      <x:c r="B177" s="78" t="n">
        <x:f>Decisiones!H156</x:f>
        <x:v>4.25</x:v>
      </x:c>
      <x:c r="C177" s="78" t="n">
        <x:f>COUNTIFS(Votaciones!$A$2:$A$341,Decisiones!A156,Votaciones!$D$2:$D$341,"Disenso restrictivo")</x:f>
        <x:v>0</x:v>
      </x:c>
      <x:c r="D177" s="78" t="n">
        <x:f>COUNTIFS(Votaciones!$A$2:$A$341,Decisiones!A156,Votaciones!$D$2:$D$341,"Disenso acomodaticio")</x:f>
        <x:v>0</x:v>
      </x:c>
      <x:c r="E177" s="78" t="e">
        <x:f>NA()</x:f>
        <x:v>#N/A</x:v>
      </x:c>
      <x:c r="F177" s="78" t="e">
        <x:f>NA()</x:f>
        <x:v>#N/A</x:v>
      </x:c>
      <x:c r="G177" s="78" t="e">
        <x:f ca="1">IF(AND(Decisiones!A156&gt;=IFERROR(INDEX(Participacion_Junta!$A$2:$A$341,_xludf.AGGREGATE(15,6,(ROW(Participacion_Junta!$A$2:$A$341)-1)/(Participacion_Junta!$B$2:$B$341=$X$2),1)),"ZZZ"),Decisiones!A156&lt;=IFERROR(INDEX(Participacion_Junta!$A$2:$A$341,_xludf.AGGREGATE(14,6,(ROW(Participacion_Junta!$A$2:$A$341)-1)/(Participacion_Junta!$B$2:$B$341=$X$2),1)),"")),0.35,NA())</x:f>
        <x:v>#NAME?</x:v>
      </x:c>
      <x:c r="H177" s="78"/>
      <x:c r="I177" s="78"/>
      <x:c r="J177" s="78"/>
      <x:c r="K177" s="78"/>
      <x:c r="L177" s="78"/>
      <x:c r="M177" s="78"/>
      <x:c r="AA177" t="n">
        <x:f>Decisiones!B177</x:f>
        <x:v>43503</x:v>
      </x:c>
    </x:row>
    <x:row r="178" ht="1.9500000476837158" customHeight="1">
      <x:c r="A178" s="94" t="n">
        <x:f>Decisiones!B157</x:f>
        <x:v>42593</x:v>
      </x:c>
      <x:c r="B178" s="78" t="n">
        <x:f>Decisiones!H157</x:f>
        <x:v>4.25</x:v>
      </x:c>
      <x:c r="C178" s="78" t="n">
        <x:f>COUNTIFS(Votaciones!$A$2:$A$341,Decisiones!A157,Votaciones!$D$2:$D$341,"Disenso restrictivo")</x:f>
        <x:v>0</x:v>
      </x:c>
      <x:c r="D178" s="78" t="n">
        <x:f>COUNTIFS(Votaciones!$A$2:$A$341,Decisiones!A157,Votaciones!$D$2:$D$341,"Disenso acomodaticio")</x:f>
        <x:v>0</x:v>
      </x:c>
      <x:c r="E178" s="78" t="e">
        <x:f>NA()</x:f>
        <x:v>#N/A</x:v>
      </x:c>
      <x:c r="F178" s="78" t="e">
        <x:f>NA()</x:f>
        <x:v>#N/A</x:v>
      </x:c>
      <x:c r="G178" s="78" t="e">
        <x:f ca="1">IF(AND(Decisiones!A157&gt;=IFERROR(INDEX(Participacion_Junta!$A$2:$A$341,_xludf.AGGREGATE(15,6,(ROW(Participacion_Junta!$A$2:$A$341)-1)/(Participacion_Junta!$B$2:$B$341=$X$2),1)),"ZZZ"),Decisiones!A157&lt;=IFERROR(INDEX(Participacion_Junta!$A$2:$A$341,_xludf.AGGREGATE(14,6,(ROW(Participacion_Junta!$A$2:$A$341)-1)/(Participacion_Junta!$B$2:$B$341=$X$2),1)),"")),0.35,NA())</x:f>
        <x:v>#NAME?</x:v>
      </x:c>
      <x:c r="H178" s="78"/>
      <x:c r="I178" s="78"/>
      <x:c r="J178" s="78"/>
      <x:c r="K178" s="78"/>
      <x:c r="L178" s="78"/>
      <x:c r="M178" s="78"/>
      <x:c r="AA178" t="n">
        <x:f>Decisiones!B178</x:f>
        <x:v>43552</x:v>
      </x:c>
    </x:row>
    <x:row r="179" ht="1.9500000476837158" customHeight="1">
      <x:c r="A179" s="94" t="n">
        <x:f>Decisiones!B158</x:f>
        <x:v>42642</x:v>
      </x:c>
      <x:c r="B179" s="78" t="n">
        <x:f>Decisiones!H158</x:f>
        <x:v>4.75</x:v>
      </x:c>
      <x:c r="C179" s="78" t="n">
        <x:f>COUNTIFS(Votaciones!$A$2:$A$341,Decisiones!A158,Votaciones!$D$2:$D$341,"Disenso restrictivo")</x:f>
        <x:v>0</x:v>
      </x:c>
      <x:c r="D179" s="78" t="n">
        <x:f>COUNTIFS(Votaciones!$A$2:$A$341,Decisiones!A158,Votaciones!$D$2:$D$341,"Disenso acomodaticio")</x:f>
        <x:v>0</x:v>
      </x:c>
      <x:c r="E179" s="78" t="e">
        <x:f>NA()</x:f>
        <x:v>#N/A</x:v>
      </x:c>
      <x:c r="F179" s="78" t="e">
        <x:f>NA()</x:f>
        <x:v>#N/A</x:v>
      </x:c>
      <x:c r="G179" s="78" t="e">
        <x:f ca="1">IF(AND(Decisiones!A158&gt;=IFERROR(INDEX(Participacion_Junta!$A$2:$A$341,_xludf.AGGREGATE(15,6,(ROW(Participacion_Junta!$A$2:$A$341)-1)/(Participacion_Junta!$B$2:$B$341=$X$2),1)),"ZZZ"),Decisiones!A158&lt;=IFERROR(INDEX(Participacion_Junta!$A$2:$A$341,_xludf.AGGREGATE(14,6,(ROW(Participacion_Junta!$A$2:$A$341)-1)/(Participacion_Junta!$B$2:$B$341=$X$2),1)),"")),0.35,NA())</x:f>
        <x:v>#NAME?</x:v>
      </x:c>
      <x:c r="H179" s="78"/>
      <x:c r="I179" s="78"/>
      <x:c r="J179" s="78"/>
      <x:c r="K179" s="78"/>
      <x:c r="L179" s="78"/>
      <x:c r="M179" s="78"/>
      <x:c r="AA179" t="n">
        <x:f>Decisiones!B179</x:f>
        <x:v>43601</x:v>
      </x:c>
    </x:row>
    <x:row r="180" ht="1.9500000476837158" customHeight="1">
      <x:c r="A180" s="94" t="n">
        <x:f>Decisiones!B159</x:f>
        <x:v>42691</x:v>
      </x:c>
      <x:c r="B180" s="78" t="n">
        <x:f>Decisiones!H159</x:f>
        <x:v>5.25</x:v>
      </x:c>
      <x:c r="C180" s="78" t="n">
        <x:f>COUNTIFS(Votaciones!$A$2:$A$341,Decisiones!A159,Votaciones!$D$2:$D$341,"Disenso restrictivo")</x:f>
        <x:v>0</x:v>
      </x:c>
      <x:c r="D180" s="78" t="n">
        <x:f>COUNTIFS(Votaciones!$A$2:$A$341,Decisiones!A159,Votaciones!$D$2:$D$341,"Disenso acomodaticio")</x:f>
        <x:v>0</x:v>
      </x:c>
      <x:c r="E180" s="78" t="e">
        <x:f>NA()</x:f>
        <x:v>#N/A</x:v>
      </x:c>
      <x:c r="F180" s="78" t="e">
        <x:f>NA()</x:f>
        <x:v>#N/A</x:v>
      </x:c>
      <x:c r="G180" s="78" t="e">
        <x:f ca="1">IF(AND(Decisiones!A159&gt;=IFERROR(INDEX(Participacion_Junta!$A$2:$A$341,_xludf.AGGREGATE(15,6,(ROW(Participacion_Junta!$A$2:$A$341)-1)/(Participacion_Junta!$B$2:$B$341=$X$2),1)),"ZZZ"),Decisiones!A159&lt;=IFERROR(INDEX(Participacion_Junta!$A$2:$A$341,_xludf.AGGREGATE(14,6,(ROW(Participacion_Junta!$A$2:$A$341)-1)/(Participacion_Junta!$B$2:$B$341=$X$2),1)),"")),0.35,NA())</x:f>
        <x:v>#NAME?</x:v>
      </x:c>
      <x:c r="H180" s="78"/>
      <x:c r="I180" s="78"/>
      <x:c r="J180" s="78"/>
      <x:c r="K180" s="78"/>
      <x:c r="L180" s="78"/>
      <x:c r="M180" s="78"/>
      <x:c r="AA180" t="n">
        <x:f>Decisiones!B180</x:f>
        <x:v>43643</x:v>
      </x:c>
    </x:row>
    <x:row r="181" ht="1.9500000476837158" customHeight="1">
      <x:c r="A181" s="94" t="n">
        <x:f>Decisiones!B160</x:f>
        <x:v>42719</x:v>
      </x:c>
      <x:c r="B181" s="78" t="n">
        <x:f>Decisiones!H160</x:f>
        <x:v>5.75</x:v>
      </x:c>
      <x:c r="C181" s="78" t="n">
        <x:f>COUNTIFS(Votaciones!$A$2:$A$341,Decisiones!A160,Votaciones!$D$2:$D$341,"Disenso restrictivo")</x:f>
        <x:v>0</x:v>
      </x:c>
      <x:c r="D181" s="78" t="n">
        <x:f>COUNTIFS(Votaciones!$A$2:$A$341,Decisiones!A160,Votaciones!$D$2:$D$341,"Disenso acomodaticio")</x:f>
        <x:v>0</x:v>
      </x:c>
      <x:c r="E181" s="78" t="e">
        <x:f>NA()</x:f>
        <x:v>#N/A</x:v>
      </x:c>
      <x:c r="F181" s="78" t="e">
        <x:f>NA()</x:f>
        <x:v>#N/A</x:v>
      </x:c>
      <x:c r="G181" s="78" t="e">
        <x:f ca="1">IF(AND(Decisiones!A160&gt;=IFERROR(INDEX(Participacion_Junta!$A$2:$A$341,_xludf.AGGREGATE(15,6,(ROW(Participacion_Junta!$A$2:$A$341)-1)/(Participacion_Junta!$B$2:$B$341=$X$2),1)),"ZZZ"),Decisiones!A160&lt;=IFERROR(INDEX(Participacion_Junta!$A$2:$A$341,_xludf.AGGREGATE(14,6,(ROW(Participacion_Junta!$A$2:$A$341)-1)/(Participacion_Junta!$B$2:$B$341=$X$2),1)),"")),0.35,NA())</x:f>
        <x:v>#NAME?</x:v>
      </x:c>
      <x:c r="H181" s="78"/>
      <x:c r="I181" s="78"/>
      <x:c r="J181" s="78"/>
      <x:c r="K181" s="78"/>
      <x:c r="L181" s="78"/>
      <x:c r="M181" s="78"/>
      <x:c r="AA181" t="n">
        <x:f>Decisiones!B181</x:f>
        <x:v>43692</x:v>
      </x:c>
    </x:row>
    <x:row r="182" ht="1.9500000476837158" customHeight="1">
      <x:c r="A182" s="94" t="n">
        <x:f>Decisiones!B161</x:f>
        <x:v>42775</x:v>
      </x:c>
      <x:c r="B182" s="78" t="n">
        <x:f>Decisiones!H161</x:f>
        <x:v>6.25</x:v>
      </x:c>
      <x:c r="C182" s="78" t="n">
        <x:f>COUNTIFS(Votaciones!$A$2:$A$341,Decisiones!A161,Votaciones!$D$2:$D$341,"Disenso restrictivo")</x:f>
        <x:v>0</x:v>
      </x:c>
      <x:c r="D182" s="78" t="n">
        <x:f>COUNTIFS(Votaciones!$A$2:$A$341,Decisiones!A161,Votaciones!$D$2:$D$341,"Disenso acomodaticio")</x:f>
        <x:v>0</x:v>
      </x:c>
      <x:c r="E182" s="78" t="e">
        <x:f>NA()</x:f>
        <x:v>#N/A</x:v>
      </x:c>
      <x:c r="F182" s="78" t="e">
        <x:f>NA()</x:f>
        <x:v>#N/A</x:v>
      </x:c>
      <x:c r="G182" s="78" t="e">
        <x:f ca="1">IF(AND(Decisiones!A161&gt;=IFERROR(INDEX(Participacion_Junta!$A$2:$A$341,_xludf.AGGREGATE(15,6,(ROW(Participacion_Junta!$A$2:$A$341)-1)/(Participacion_Junta!$B$2:$B$341=$X$2),1)),"ZZZ"),Decisiones!A161&lt;=IFERROR(INDEX(Participacion_Junta!$A$2:$A$341,_xludf.AGGREGATE(14,6,(ROW(Participacion_Junta!$A$2:$A$341)-1)/(Participacion_Junta!$B$2:$B$341=$X$2),1)),"")),0.35,NA())</x:f>
        <x:v>#NAME?</x:v>
      </x:c>
      <x:c r="H182" s="78"/>
      <x:c r="I182" s="78"/>
      <x:c r="J182" s="78"/>
      <x:c r="K182" s="78"/>
      <x:c r="L182" s="78"/>
      <x:c r="M182" s="78"/>
      <x:c r="AA182" t="n">
        <x:f>Decisiones!B182</x:f>
        <x:v>43734</x:v>
      </x:c>
    </x:row>
    <x:row r="183" ht="1.9500000476837158" customHeight="1">
      <x:c r="A183" s="94" t="n">
        <x:f>Decisiones!B162</x:f>
        <x:v>42824</x:v>
      </x:c>
      <x:c r="B183" s="78" t="n">
        <x:f>Decisiones!H162</x:f>
        <x:v>6.5</x:v>
      </x:c>
      <x:c r="C183" s="78" t="n">
        <x:f>COUNTIFS(Votaciones!$A$2:$A$341,Decisiones!A162,Votaciones!$D$2:$D$341,"Disenso restrictivo")</x:f>
        <x:v>0</x:v>
      </x:c>
      <x:c r="D183" s="78" t="n">
        <x:f>COUNTIFS(Votaciones!$A$2:$A$341,Decisiones!A162,Votaciones!$D$2:$D$341,"Disenso acomodaticio")</x:f>
        <x:v>0</x:v>
      </x:c>
      <x:c r="E183" s="78" t="e">
        <x:f>NA()</x:f>
        <x:v>#N/A</x:v>
      </x:c>
      <x:c r="F183" s="78" t="e">
        <x:f>NA()</x:f>
        <x:v>#N/A</x:v>
      </x:c>
      <x:c r="G183" s="78" t="e">
        <x:f ca="1">IF(AND(Decisiones!A162&gt;=IFERROR(INDEX(Participacion_Junta!$A$2:$A$341,_xludf.AGGREGATE(15,6,(ROW(Participacion_Junta!$A$2:$A$341)-1)/(Participacion_Junta!$B$2:$B$341=$X$2),1)),"ZZZ"),Decisiones!A162&lt;=IFERROR(INDEX(Participacion_Junta!$A$2:$A$341,_xludf.AGGREGATE(14,6,(ROW(Participacion_Junta!$A$2:$A$341)-1)/(Participacion_Junta!$B$2:$B$341=$X$2),1)),"")),0.35,NA())</x:f>
        <x:v>#NAME?</x:v>
      </x:c>
      <x:c r="H183" s="78"/>
      <x:c r="I183" s="78"/>
      <x:c r="J183" s="78"/>
      <x:c r="K183" s="78"/>
      <x:c r="L183" s="78"/>
      <x:c r="M183" s="78"/>
      <x:c r="AA183" t="n">
        <x:f>Decisiones!B183</x:f>
        <x:v>43783</x:v>
      </x:c>
    </x:row>
    <x:row r="184" ht="1.9500000476837158" customHeight="1">
      <x:c r="A184" s="94" t="n">
        <x:f>Decisiones!B163</x:f>
        <x:v>42873</x:v>
      </x:c>
      <x:c r="B184" s="78" t="n">
        <x:f>Decisiones!H163</x:f>
        <x:v>6.75</x:v>
      </x:c>
      <x:c r="C184" s="78" t="n">
        <x:f>COUNTIFS(Votaciones!$A$2:$A$341,Decisiones!A163,Votaciones!$D$2:$D$341,"Disenso restrictivo")</x:f>
        <x:v>0</x:v>
      </x:c>
      <x:c r="D184" s="78" t="n">
        <x:f>COUNTIFS(Votaciones!$A$2:$A$341,Decisiones!A163,Votaciones!$D$2:$D$341,"Disenso acomodaticio")</x:f>
        <x:v>0</x:v>
      </x:c>
      <x:c r="E184" s="78" t="e">
        <x:f>NA()</x:f>
        <x:v>#N/A</x:v>
      </x:c>
      <x:c r="F184" s="78" t="e">
        <x:f>NA()</x:f>
        <x:v>#N/A</x:v>
      </x:c>
      <x:c r="G184" s="78" t="e">
        <x:f ca="1">IF(AND(Decisiones!A163&gt;=IFERROR(INDEX(Participacion_Junta!$A$2:$A$341,_xludf.AGGREGATE(15,6,(ROW(Participacion_Junta!$A$2:$A$341)-1)/(Participacion_Junta!$B$2:$B$341=$X$2),1)),"ZZZ"),Decisiones!A163&lt;=IFERROR(INDEX(Participacion_Junta!$A$2:$A$341,_xludf.AGGREGATE(14,6,(ROW(Participacion_Junta!$A$2:$A$341)-1)/(Participacion_Junta!$B$2:$B$341=$X$2),1)),"")),0.35,NA())</x:f>
        <x:v>#NAME?</x:v>
      </x:c>
      <x:c r="H184" s="78"/>
      <x:c r="I184" s="78"/>
      <x:c r="J184" s="78"/>
      <x:c r="K184" s="78"/>
      <x:c r="L184" s="78"/>
      <x:c r="M184" s="78"/>
      <x:c r="AA184" t="n">
        <x:f>Decisiones!B184</x:f>
        <x:v>43818</x:v>
      </x:c>
    </x:row>
    <x:row r="185" ht="1.9500000476837158" customHeight="1">
      <x:c r="A185" s="94" t="n">
        <x:f>Decisiones!B164</x:f>
        <x:v>42908</x:v>
      </x:c>
      <x:c r="B185" s="78" t="n">
        <x:f>Decisiones!H164</x:f>
        <x:v>7</x:v>
      </x:c>
      <x:c r="C185" s="78" t="n">
        <x:f>COUNTIFS(Votaciones!$A$2:$A$341,Decisiones!A164,Votaciones!$D$2:$D$341,"Disenso restrictivo")</x:f>
        <x:v>0</x:v>
      </x:c>
      <x:c r="D185" s="78" t="n">
        <x:f>COUNTIFS(Votaciones!$A$2:$A$341,Decisiones!A164,Votaciones!$D$2:$D$341,"Disenso acomodaticio")</x:f>
        <x:v>0</x:v>
      </x:c>
      <x:c r="E185" s="78" t="e">
        <x:f>NA()</x:f>
        <x:v>#N/A</x:v>
      </x:c>
      <x:c r="F185" s="78" t="e">
        <x:f>NA()</x:f>
        <x:v>#N/A</x:v>
      </x:c>
      <x:c r="G185" s="78" t="e">
        <x:f ca="1">IF(AND(Decisiones!A164&gt;=IFERROR(INDEX(Participacion_Junta!$A$2:$A$341,_xludf.AGGREGATE(15,6,(ROW(Participacion_Junta!$A$2:$A$341)-1)/(Participacion_Junta!$B$2:$B$341=$X$2),1)),"ZZZ"),Decisiones!A164&lt;=IFERROR(INDEX(Participacion_Junta!$A$2:$A$341,_xludf.AGGREGATE(14,6,(ROW(Participacion_Junta!$A$2:$A$341)-1)/(Participacion_Junta!$B$2:$B$341=$X$2),1)),"")),0.35,NA())</x:f>
        <x:v>#NAME?</x:v>
      </x:c>
      <x:c r="H185" s="78"/>
      <x:c r="I185" s="78"/>
      <x:c r="J185" s="78"/>
      <x:c r="K185" s="78"/>
      <x:c r="L185" s="78"/>
      <x:c r="M185" s="78"/>
      <x:c r="AA185" t="n">
        <x:f>Decisiones!B185</x:f>
        <x:v>43874</x:v>
      </x:c>
    </x:row>
    <x:row r="186" ht="1.9500000476837158" customHeight="1">
      <x:c r="A186" s="94" t="n">
        <x:f>Decisiones!B165</x:f>
        <x:v>42957</x:v>
      </x:c>
      <x:c r="B186" s="78" t="n">
        <x:f>Decisiones!H165</x:f>
        <x:v>7</x:v>
      </x:c>
      <x:c r="C186" s="78" t="n">
        <x:f>COUNTIFS(Votaciones!$A$2:$A$341,Decisiones!A165,Votaciones!$D$2:$D$341,"Disenso restrictivo")</x:f>
        <x:v>0</x:v>
      </x:c>
      <x:c r="D186" s="78" t="n">
        <x:f>COUNTIFS(Votaciones!$A$2:$A$341,Decisiones!A165,Votaciones!$D$2:$D$341,"Disenso acomodaticio")</x:f>
        <x:v>0</x:v>
      </x:c>
      <x:c r="E186" s="78" t="e">
        <x:f>NA()</x:f>
        <x:v>#N/A</x:v>
      </x:c>
      <x:c r="F186" s="78" t="e">
        <x:f>NA()</x:f>
        <x:v>#N/A</x:v>
      </x:c>
      <x:c r="G186" s="78" t="e">
        <x:f ca="1">IF(AND(Decisiones!A165&gt;=IFERROR(INDEX(Participacion_Junta!$A$2:$A$341,_xludf.AGGREGATE(15,6,(ROW(Participacion_Junta!$A$2:$A$341)-1)/(Participacion_Junta!$B$2:$B$341=$X$2),1)),"ZZZ"),Decisiones!A165&lt;=IFERROR(INDEX(Participacion_Junta!$A$2:$A$341,_xludf.AGGREGATE(14,6,(ROW(Participacion_Junta!$A$2:$A$341)-1)/(Participacion_Junta!$B$2:$B$341=$X$2),1)),"")),0.35,NA())</x:f>
        <x:v>#NAME?</x:v>
      </x:c>
      <x:c r="H186" s="78"/>
      <x:c r="I186" s="78"/>
      <x:c r="J186" s="78"/>
      <x:c r="K186" s="78"/>
      <x:c r="L186" s="78"/>
      <x:c r="M186" s="78"/>
      <x:c r="AA186" t="n">
        <x:f>Decisiones!B186</x:f>
        <x:v>43910</x:v>
      </x:c>
    </x:row>
    <x:row r="187" ht="1.9500000476837158" customHeight="1">
      <x:c r="A187" s="94" t="n">
        <x:f>Decisiones!B166</x:f>
        <x:v>43006</x:v>
      </x:c>
      <x:c r="B187" s="78" t="n">
        <x:f>Decisiones!H166</x:f>
        <x:v>7</x:v>
      </x:c>
      <x:c r="C187" s="78" t="n">
        <x:f>COUNTIFS(Votaciones!$A$2:$A$341,Decisiones!A166,Votaciones!$D$2:$D$341,"Disenso restrictivo")</x:f>
        <x:v>0</x:v>
      </x:c>
      <x:c r="D187" s="78" t="n">
        <x:f>COUNTIFS(Votaciones!$A$2:$A$341,Decisiones!A166,Votaciones!$D$2:$D$341,"Disenso acomodaticio")</x:f>
        <x:v>0</x:v>
      </x:c>
      <x:c r="E187" s="78" t="e">
        <x:f>NA()</x:f>
        <x:v>#N/A</x:v>
      </x:c>
      <x:c r="F187" s="78" t="e">
        <x:f>NA()</x:f>
        <x:v>#N/A</x:v>
      </x:c>
      <x:c r="G187" s="78" t="e">
        <x:f ca="1">IF(AND(Decisiones!A166&gt;=IFERROR(INDEX(Participacion_Junta!$A$2:$A$341,_xludf.AGGREGATE(15,6,(ROW(Participacion_Junta!$A$2:$A$341)-1)/(Participacion_Junta!$B$2:$B$341=$X$2),1)),"ZZZ"),Decisiones!A166&lt;=IFERROR(INDEX(Participacion_Junta!$A$2:$A$341,_xludf.AGGREGATE(14,6,(ROW(Participacion_Junta!$A$2:$A$341)-1)/(Participacion_Junta!$B$2:$B$341=$X$2),1)),"")),0.35,NA())</x:f>
        <x:v>#NAME?</x:v>
      </x:c>
      <x:c r="H187" s="78"/>
      <x:c r="I187" s="78"/>
      <x:c r="J187" s="78"/>
      <x:c r="K187" s="78"/>
      <x:c r="L187" s="78"/>
      <x:c r="M187" s="78"/>
      <x:c r="AA187" t="n">
        <x:f>Decisiones!B187</x:f>
        <x:v>43942</x:v>
      </x:c>
    </x:row>
    <x:row r="188" ht="1.9500000476837158" customHeight="1">
      <x:c r="A188" s="94" t="n">
        <x:f>Decisiones!B167</x:f>
        <x:v>43048</x:v>
      </x:c>
      <x:c r="B188" s="78" t="n">
        <x:f>Decisiones!H167</x:f>
        <x:v>7</x:v>
      </x:c>
      <x:c r="C188" s="78" t="n">
        <x:f>COUNTIFS(Votaciones!$A$2:$A$341,Decisiones!A167,Votaciones!$D$2:$D$341,"Disenso restrictivo")</x:f>
        <x:v>0</x:v>
      </x:c>
      <x:c r="D188" s="78" t="n">
        <x:f>COUNTIFS(Votaciones!$A$2:$A$341,Decisiones!A167,Votaciones!$D$2:$D$341,"Disenso acomodaticio")</x:f>
        <x:v>0</x:v>
      </x:c>
      <x:c r="E188" s="78" t="e">
        <x:f>NA()</x:f>
        <x:v>#N/A</x:v>
      </x:c>
      <x:c r="F188" s="78" t="e">
        <x:f>NA()</x:f>
        <x:v>#N/A</x:v>
      </x:c>
      <x:c r="G188" s="78" t="e">
        <x:f ca="1">IF(AND(Decisiones!A167&gt;=IFERROR(INDEX(Participacion_Junta!$A$2:$A$341,_xludf.AGGREGATE(15,6,(ROW(Participacion_Junta!$A$2:$A$341)-1)/(Participacion_Junta!$B$2:$B$341=$X$2),1)),"ZZZ"),Decisiones!A167&lt;=IFERROR(INDEX(Participacion_Junta!$A$2:$A$341,_xludf.AGGREGATE(14,6,(ROW(Participacion_Junta!$A$2:$A$341)-1)/(Participacion_Junta!$B$2:$B$341=$X$2),1)),"")),0.35,NA())</x:f>
        <x:v>#NAME?</x:v>
      </x:c>
      <x:c r="H188" s="78"/>
      <x:c r="I188" s="78"/>
      <x:c r="J188" s="78"/>
      <x:c r="K188" s="78"/>
      <x:c r="L188" s="78"/>
      <x:c r="M188" s="78"/>
      <x:c r="AA188" t="n">
        <x:f>Decisiones!B188</x:f>
        <x:v>43965</x:v>
      </x:c>
    </x:row>
    <x:row r="189" ht="1.9500000476837158" customHeight="1">
      <x:c r="A189" s="94" t="n">
        <x:f>Decisiones!B168</x:f>
        <x:v>43083</x:v>
      </x:c>
      <x:c r="B189" s="78" t="n">
        <x:f>Decisiones!H168</x:f>
        <x:v>7.25</x:v>
      </x:c>
      <x:c r="C189" s="78" t="n">
        <x:f>COUNTIFS(Votaciones!$A$2:$A$341,Decisiones!A168,Votaciones!$D$2:$D$341,"Disenso restrictivo")</x:f>
        <x:v>0</x:v>
      </x:c>
      <x:c r="D189" s="78" t="n">
        <x:f>COUNTIFS(Votaciones!$A$2:$A$341,Decisiones!A168,Votaciones!$D$2:$D$341,"Disenso acomodaticio")</x:f>
        <x:v>0</x:v>
      </x:c>
      <x:c r="E189" s="78" t="e">
        <x:f>NA()</x:f>
        <x:v>#N/A</x:v>
      </x:c>
      <x:c r="F189" s="78" t="e">
        <x:f>NA()</x:f>
        <x:v>#N/A</x:v>
      </x:c>
      <x:c r="G189" s="78" t="e">
        <x:f ca="1">IF(AND(Decisiones!A168&gt;=IFERROR(INDEX(Participacion_Junta!$A$2:$A$341,_xludf.AGGREGATE(15,6,(ROW(Participacion_Junta!$A$2:$A$341)-1)/(Participacion_Junta!$B$2:$B$341=$X$2),1)),"ZZZ"),Decisiones!A168&lt;=IFERROR(INDEX(Participacion_Junta!$A$2:$A$341,_xludf.AGGREGATE(14,6,(ROW(Participacion_Junta!$A$2:$A$341)-1)/(Participacion_Junta!$B$2:$B$341=$X$2),1)),"")),0.35,NA())</x:f>
        <x:v>#NAME?</x:v>
      </x:c>
      <x:c r="H189" s="78"/>
      <x:c r="I189" s="78"/>
      <x:c r="J189" s="78"/>
      <x:c r="K189" s="78"/>
      <x:c r="L189" s="78"/>
      <x:c r="M189" s="78"/>
      <x:c r="AA189" t="n">
        <x:f>Decisiones!B189</x:f>
        <x:v>44007</x:v>
      </x:c>
    </x:row>
    <x:row r="190" ht="1.9500000476837158" customHeight="1">
      <x:c r="A190" s="94" t="n">
        <x:f>Decisiones!B169</x:f>
        <x:v>43139</x:v>
      </x:c>
      <x:c r="B190" s="78" t="n">
        <x:f>Decisiones!H169</x:f>
        <x:v>7.5</x:v>
      </x:c>
      <x:c r="C190" s="78" t="n">
        <x:f>COUNTIFS(Votaciones!$A$2:$A$341,Decisiones!A169,Votaciones!$D$2:$D$341,"Disenso restrictivo")</x:f>
        <x:v>0</x:v>
      </x:c>
      <x:c r="D190" s="78" t="n">
        <x:f>COUNTIFS(Votaciones!$A$2:$A$341,Decisiones!A169,Votaciones!$D$2:$D$341,"Disenso acomodaticio")</x:f>
        <x:v>0</x:v>
      </x:c>
      <x:c r="E190" s="78" t="e">
        <x:f>NA()</x:f>
        <x:v>#N/A</x:v>
      </x:c>
      <x:c r="F190" s="78" t="e">
        <x:f>NA()</x:f>
        <x:v>#N/A</x:v>
      </x:c>
      <x:c r="G190" s="78" t="e">
        <x:f ca="1">IF(AND(Decisiones!A169&gt;=IFERROR(INDEX(Participacion_Junta!$A$2:$A$341,_xludf.AGGREGATE(15,6,(ROW(Participacion_Junta!$A$2:$A$341)-1)/(Participacion_Junta!$B$2:$B$341=$X$2),1)),"ZZZ"),Decisiones!A169&lt;=IFERROR(INDEX(Participacion_Junta!$A$2:$A$341,_xludf.AGGREGATE(14,6,(ROW(Participacion_Junta!$A$2:$A$341)-1)/(Participacion_Junta!$B$2:$B$341=$X$2),1)),"")),0.35,NA())</x:f>
        <x:v>#NAME?</x:v>
      </x:c>
      <x:c r="H190" s="78"/>
      <x:c r="I190" s="78"/>
      <x:c r="J190" s="78"/>
      <x:c r="K190" s="78"/>
      <x:c r="L190" s="78"/>
      <x:c r="M190" s="78"/>
      <x:c r="AA190" t="n">
        <x:f>Decisiones!B190</x:f>
        <x:v>44056</x:v>
      </x:c>
    </x:row>
    <x:row r="191" ht="1.9500000476837158" customHeight="1">
      <x:c r="A191" s="94" t="n">
        <x:f>Decisiones!B170</x:f>
        <x:v>43202</x:v>
      </x:c>
      <x:c r="B191" s="78" t="n">
        <x:f>Decisiones!H170</x:f>
        <x:v>7.5</x:v>
      </x:c>
      <x:c r="C191" s="78" t="n">
        <x:f>COUNTIFS(Votaciones!$A$2:$A$341,Decisiones!A170,Votaciones!$D$2:$D$341,"Disenso restrictivo")</x:f>
        <x:v>0</x:v>
      </x:c>
      <x:c r="D191" s="78" t="n">
        <x:f>COUNTIFS(Votaciones!$A$2:$A$341,Decisiones!A170,Votaciones!$D$2:$D$341,"Disenso acomodaticio")</x:f>
        <x:v>0</x:v>
      </x:c>
      <x:c r="E191" s="78" t="e">
        <x:f>NA()</x:f>
        <x:v>#N/A</x:v>
      </x:c>
      <x:c r="F191" s="78" t="e">
        <x:f>NA()</x:f>
        <x:v>#N/A</x:v>
      </x:c>
      <x:c r="G191" s="78" t="e">
        <x:f ca="1">IF(AND(Decisiones!A170&gt;=IFERROR(INDEX(Participacion_Junta!$A$2:$A$341,_xludf.AGGREGATE(15,6,(ROW(Participacion_Junta!$A$2:$A$341)-1)/(Participacion_Junta!$B$2:$B$341=$X$2),1)),"ZZZ"),Decisiones!A170&lt;=IFERROR(INDEX(Participacion_Junta!$A$2:$A$341,_xludf.AGGREGATE(14,6,(ROW(Participacion_Junta!$A$2:$A$341)-1)/(Participacion_Junta!$B$2:$B$341=$X$2),1)),"")),0.35,NA())</x:f>
        <x:v>#NAME?</x:v>
      </x:c>
      <x:c r="H191" s="78"/>
      <x:c r="I191" s="78"/>
      <x:c r="J191" s="78"/>
      <x:c r="K191" s="78"/>
      <x:c r="L191" s="78"/>
      <x:c r="M191" s="78"/>
      <x:c r="AA191" t="n">
        <x:f>Decisiones!B191</x:f>
        <x:v>44098</x:v>
      </x:c>
    </x:row>
    <x:row r="192" ht="1.9500000476837158" customHeight="1">
      <x:c r="A192" s="94" t="n">
        <x:f>Decisiones!B171</x:f>
        <x:v>43237</x:v>
      </x:c>
      <x:c r="B192" s="78" t="n">
        <x:f>Decisiones!H171</x:f>
        <x:v>7.5</x:v>
      </x:c>
      <x:c r="C192" s="78" t="n">
        <x:f>COUNTIFS(Votaciones!$A$2:$A$341,Decisiones!A171,Votaciones!$D$2:$D$341,"Disenso restrictivo")</x:f>
        <x:v>0</x:v>
      </x:c>
      <x:c r="D192" s="78" t="n">
        <x:f>COUNTIFS(Votaciones!$A$2:$A$341,Decisiones!A171,Votaciones!$D$2:$D$341,"Disenso acomodaticio")</x:f>
        <x:v>0</x:v>
      </x:c>
      <x:c r="E192" s="78" t="e">
        <x:f>NA()</x:f>
        <x:v>#N/A</x:v>
      </x:c>
      <x:c r="F192" s="78" t="e">
        <x:f>NA()</x:f>
        <x:v>#N/A</x:v>
      </x:c>
      <x:c r="G192" s="78" t="e">
        <x:f ca="1">IF(AND(Decisiones!A171&gt;=IFERROR(INDEX(Participacion_Junta!$A$2:$A$341,_xludf.AGGREGATE(15,6,(ROW(Participacion_Junta!$A$2:$A$341)-1)/(Participacion_Junta!$B$2:$B$341=$X$2),1)),"ZZZ"),Decisiones!A171&lt;=IFERROR(INDEX(Participacion_Junta!$A$2:$A$341,_xludf.AGGREGATE(14,6,(ROW(Participacion_Junta!$A$2:$A$341)-1)/(Participacion_Junta!$B$2:$B$341=$X$2),1)),"")),0.35,NA())</x:f>
        <x:v>#NAME?</x:v>
      </x:c>
      <x:c r="H192" s="78"/>
      <x:c r="I192" s="78"/>
      <x:c r="J192" s="78"/>
      <x:c r="K192" s="78"/>
      <x:c r="L192" s="78"/>
      <x:c r="M192" s="78"/>
      <x:c r="AA192" t="n">
        <x:f>Decisiones!B192</x:f>
        <x:v>44147</x:v>
      </x:c>
    </x:row>
    <x:row r="193" ht="1.9500000476837158" customHeight="1">
      <x:c r="A193" s="94" t="n">
        <x:f>Decisiones!B172</x:f>
        <x:v>43272</x:v>
      </x:c>
      <x:c r="B193" s="78" t="n">
        <x:f>Decisiones!H172</x:f>
        <x:v>7.75</x:v>
      </x:c>
      <x:c r="C193" s="78" t="n">
        <x:f>COUNTIFS(Votaciones!$A$2:$A$341,Decisiones!A172,Votaciones!$D$2:$D$341,"Disenso restrictivo")</x:f>
        <x:v>0</x:v>
      </x:c>
      <x:c r="D193" s="78" t="n">
        <x:f>COUNTIFS(Votaciones!$A$2:$A$341,Decisiones!A172,Votaciones!$D$2:$D$341,"Disenso acomodaticio")</x:f>
        <x:v>0</x:v>
      </x:c>
      <x:c r="E193" s="78" t="e">
        <x:f>NA()</x:f>
        <x:v>#N/A</x:v>
      </x:c>
      <x:c r="F193" s="78" t="e">
        <x:f>NA()</x:f>
        <x:v>#N/A</x:v>
      </x:c>
      <x:c r="G193" s="78" t="e">
        <x:f ca="1">IF(AND(Decisiones!A172&gt;=IFERROR(INDEX(Participacion_Junta!$A$2:$A$341,_xludf.AGGREGATE(15,6,(ROW(Participacion_Junta!$A$2:$A$341)-1)/(Participacion_Junta!$B$2:$B$341=$X$2),1)),"ZZZ"),Decisiones!A172&lt;=IFERROR(INDEX(Participacion_Junta!$A$2:$A$341,_xludf.AGGREGATE(14,6,(ROW(Participacion_Junta!$A$2:$A$341)-1)/(Participacion_Junta!$B$2:$B$341=$X$2),1)),"")),0.35,NA())</x:f>
        <x:v>#NAME?</x:v>
      </x:c>
      <x:c r="H193" s="78"/>
      <x:c r="I193" s="78"/>
      <x:c r="J193" s="78"/>
      <x:c r="K193" s="78"/>
      <x:c r="L193" s="78"/>
      <x:c r="M193" s="78"/>
      <x:c r="AA193" t="n">
        <x:f>Decisiones!B193</x:f>
        <x:v>44182</x:v>
      </x:c>
    </x:row>
    <x:row r="194" ht="1.9500000476837158" customHeight="1">
      <x:c r="A194" s="94" t="n">
        <x:f>Decisiones!B173</x:f>
        <x:v>43314</x:v>
      </x:c>
      <x:c r="B194" s="78" t="n">
        <x:f>Decisiones!H173</x:f>
        <x:v>7.75</x:v>
      </x:c>
      <x:c r="C194" s="78" t="n">
        <x:f>COUNTIFS(Votaciones!$A$2:$A$341,Decisiones!A173,Votaciones!$D$2:$D$341,"Disenso restrictivo")</x:f>
        <x:v>0</x:v>
      </x:c>
      <x:c r="D194" s="78" t="n">
        <x:f>COUNTIFS(Votaciones!$A$2:$A$341,Decisiones!A173,Votaciones!$D$2:$D$341,"Disenso acomodaticio")</x:f>
        <x:v>0</x:v>
      </x:c>
      <x:c r="E194" s="78" t="e">
        <x:f>NA()</x:f>
        <x:v>#N/A</x:v>
      </x:c>
      <x:c r="F194" s="78" t="e">
        <x:f>NA()</x:f>
        <x:v>#N/A</x:v>
      </x:c>
      <x:c r="G194" s="78" t="e">
        <x:f ca="1">IF(AND(Decisiones!A173&gt;=IFERROR(INDEX(Participacion_Junta!$A$2:$A$341,_xludf.AGGREGATE(15,6,(ROW(Participacion_Junta!$A$2:$A$341)-1)/(Participacion_Junta!$B$2:$B$341=$X$2),1)),"ZZZ"),Decisiones!A173&lt;=IFERROR(INDEX(Participacion_Junta!$A$2:$A$341,_xludf.AGGREGATE(14,6,(ROW(Participacion_Junta!$A$2:$A$341)-1)/(Participacion_Junta!$B$2:$B$341=$X$2),1)),"")),0.35,NA())</x:f>
        <x:v>#NAME?</x:v>
      </x:c>
      <x:c r="H194" s="78"/>
      <x:c r="I194" s="78"/>
      <x:c r="J194" s="78"/>
      <x:c r="K194" s="78"/>
      <x:c r="L194" s="78"/>
      <x:c r="M194" s="78"/>
      <x:c r="AA194" t="n">
        <x:f>Decisiones!B194</x:f>
        <x:v>44238</x:v>
      </x:c>
    </x:row>
    <x:row r="195" ht="1.9500000476837158" customHeight="1">
      <x:c r="A195" s="94" t="n">
        <x:f>Decisiones!B174</x:f>
        <x:v>43377</x:v>
      </x:c>
      <x:c r="B195" s="78" t="n">
        <x:f>Decisiones!H174</x:f>
        <x:v>7.75</x:v>
      </x:c>
      <x:c r="C195" s="78" t="n">
        <x:f>COUNTIFS(Votaciones!$A$2:$A$341,Decisiones!A174,Votaciones!$D$2:$D$341,"Disenso restrictivo")</x:f>
        <x:v>1</x:v>
      </x:c>
      <x:c r="D195" s="78" t="n">
        <x:f>COUNTIFS(Votaciones!$A$2:$A$341,Decisiones!A174,Votaciones!$D$2:$D$341,"Disenso acomodaticio")</x:f>
        <x:v>0</x:v>
      </x:c>
      <x:c r="E195" s="78" t="e">
        <x:f>NA()</x:f>
        <x:v>#N/A</x:v>
      </x:c>
      <x:c r="F195" s="78" t="e">
        <x:f>NA()</x:f>
        <x:v>#N/A</x:v>
      </x:c>
      <x:c r="G195" s="78" t="e">
        <x:f ca="1">IF(AND(Decisiones!A174&gt;=IFERROR(INDEX(Participacion_Junta!$A$2:$A$341,_xludf.AGGREGATE(15,6,(ROW(Participacion_Junta!$A$2:$A$341)-1)/(Participacion_Junta!$B$2:$B$341=$X$2),1)),"ZZZ"),Decisiones!A174&lt;=IFERROR(INDEX(Participacion_Junta!$A$2:$A$341,_xludf.AGGREGATE(14,6,(ROW(Participacion_Junta!$A$2:$A$341)-1)/(Participacion_Junta!$B$2:$B$341=$X$2),1)),"")),0.35,NA())</x:f>
        <x:v>#NAME?</x:v>
      </x:c>
      <x:c r="H195" s="78"/>
      <x:c r="I195" s="78"/>
      <x:c r="J195" s="78"/>
      <x:c r="K195" s="78"/>
      <x:c r="L195" s="78"/>
      <x:c r="M195" s="78"/>
      <x:c r="AA195" t="n">
        <x:f>Decisiones!B195</x:f>
        <x:v>44280</x:v>
      </x:c>
    </x:row>
    <x:row r="196" ht="1.9500000476837158" customHeight="1">
      <x:c r="A196" s="94" t="n">
        <x:f>Decisiones!B175</x:f>
        <x:v>43419</x:v>
      </x:c>
      <x:c r="B196" s="78" t="n">
        <x:f>Decisiones!H175</x:f>
        <x:v>8</x:v>
      </x:c>
      <x:c r="C196" s="78" t="n">
        <x:f>COUNTIFS(Votaciones!$A$2:$A$341,Decisiones!A175,Votaciones!$D$2:$D$341,"Disenso restrictivo")</x:f>
        <x:v>1</x:v>
      </x:c>
      <x:c r="D196" s="78" t="n">
        <x:f>COUNTIFS(Votaciones!$A$2:$A$341,Decisiones!A175,Votaciones!$D$2:$D$341,"Disenso acomodaticio")</x:f>
        <x:v>0</x:v>
      </x:c>
      <x:c r="E196" s="78" t="e">
        <x:f>NA()</x:f>
        <x:v>#N/A</x:v>
      </x:c>
      <x:c r="F196" s="78" t="e">
        <x:f>NA()</x:f>
        <x:v>#N/A</x:v>
      </x:c>
      <x:c r="G196" s="78" t="e">
        <x:f ca="1">IF(AND(Decisiones!A175&gt;=IFERROR(INDEX(Participacion_Junta!$A$2:$A$341,_xludf.AGGREGATE(15,6,(ROW(Participacion_Junta!$A$2:$A$341)-1)/(Participacion_Junta!$B$2:$B$341=$X$2),1)),"ZZZ"),Decisiones!A175&lt;=IFERROR(INDEX(Participacion_Junta!$A$2:$A$341,_xludf.AGGREGATE(14,6,(ROW(Participacion_Junta!$A$2:$A$341)-1)/(Participacion_Junta!$B$2:$B$341=$X$2),1)),"")),0.35,NA())</x:f>
        <x:v>#NAME?</x:v>
      </x:c>
      <x:c r="H196" s="78"/>
      <x:c r="I196" s="78"/>
      <x:c r="J196" s="78"/>
      <x:c r="K196" s="78"/>
      <x:c r="L196" s="78"/>
      <x:c r="M196" s="78"/>
      <x:c r="AA196" t="n">
        <x:f>Decisiones!B196</x:f>
        <x:v>44329</x:v>
      </x:c>
    </x:row>
    <x:row r="197" ht="1.9500000476837158" customHeight="1">
      <x:c r="A197" s="94" t="n">
        <x:f>Decisiones!B176</x:f>
        <x:v>43454</x:v>
      </x:c>
      <x:c r="B197" s="78" t="n">
        <x:f>Decisiones!H176</x:f>
        <x:v>8.25</x:v>
      </x:c>
      <x:c r="C197" s="78" t="n">
        <x:f>COUNTIFS(Votaciones!$A$2:$A$341,Decisiones!A176,Votaciones!$D$2:$D$341,"Disenso restrictivo")</x:f>
        <x:v>0</x:v>
      </x:c>
      <x:c r="D197" s="78" t="n">
        <x:f>COUNTIFS(Votaciones!$A$2:$A$341,Decisiones!A176,Votaciones!$D$2:$D$341,"Disenso acomodaticio")</x:f>
        <x:v>0</x:v>
      </x:c>
      <x:c r="E197" s="78" t="e">
        <x:f>NA()</x:f>
        <x:v>#N/A</x:v>
      </x:c>
      <x:c r="F197" s="78" t="e">
        <x:f>NA()</x:f>
        <x:v>#N/A</x:v>
      </x:c>
      <x:c r="G197" s="78" t="e">
        <x:f ca="1">IF(AND(Decisiones!A176&gt;=IFERROR(INDEX(Participacion_Junta!$A$2:$A$341,_xludf.AGGREGATE(15,6,(ROW(Participacion_Junta!$A$2:$A$341)-1)/(Participacion_Junta!$B$2:$B$341=$X$2),1)),"ZZZ"),Decisiones!A176&lt;=IFERROR(INDEX(Participacion_Junta!$A$2:$A$341,_xludf.AGGREGATE(14,6,(ROW(Participacion_Junta!$A$2:$A$341)-1)/(Participacion_Junta!$B$2:$B$341=$X$2),1)),"")),0.35,NA())</x:f>
        <x:v>#NAME?</x:v>
      </x:c>
      <x:c r="H197" s="78"/>
      <x:c r="I197" s="78"/>
      <x:c r="J197" s="78"/>
      <x:c r="K197" s="78"/>
      <x:c r="L197" s="78"/>
      <x:c r="M197" s="78"/>
      <x:c r="AA197" t="n">
        <x:f>Decisiones!B197</x:f>
        <x:v>44371</x:v>
      </x:c>
    </x:row>
    <x:row r="198" ht="1.9500000476837158" customHeight="1">
      <x:c r="A198" s="94" t="n">
        <x:f>Decisiones!B177</x:f>
        <x:v>43503</x:v>
      </x:c>
      <x:c r="B198" s="78" t="n">
        <x:f>Decisiones!H177</x:f>
        <x:v>8.25</x:v>
      </x:c>
      <x:c r="C198" s="78" t="n">
        <x:f>COUNTIFS(Votaciones!$A$2:$A$341,Decisiones!A177,Votaciones!$D$2:$D$341,"Disenso restrictivo")</x:f>
        <x:v>0</x:v>
      </x:c>
      <x:c r="D198" s="78" t="n">
        <x:f>COUNTIFS(Votaciones!$A$2:$A$341,Decisiones!A177,Votaciones!$D$2:$D$341,"Disenso acomodaticio")</x:f>
        <x:v>0</x:v>
      </x:c>
      <x:c r="E198" s="78" t="e">
        <x:f>NA()</x:f>
        <x:v>#N/A</x:v>
      </x:c>
      <x:c r="F198" s="78" t="e">
        <x:f>NA()</x:f>
        <x:v>#N/A</x:v>
      </x:c>
      <x:c r="G198" s="78" t="e">
        <x:f ca="1">IF(AND(Decisiones!A177&gt;=IFERROR(INDEX(Participacion_Junta!$A$2:$A$341,_xludf.AGGREGATE(15,6,(ROW(Participacion_Junta!$A$2:$A$341)-1)/(Participacion_Junta!$B$2:$B$341=$X$2),1)),"ZZZ"),Decisiones!A177&lt;=IFERROR(INDEX(Participacion_Junta!$A$2:$A$341,_xludf.AGGREGATE(14,6,(ROW(Participacion_Junta!$A$2:$A$341)-1)/(Participacion_Junta!$B$2:$B$341=$X$2),1)),"")),0.35,NA())</x:f>
        <x:v>#NAME?</x:v>
      </x:c>
      <x:c r="H198" s="78"/>
      <x:c r="I198" s="78"/>
      <x:c r="J198" s="78"/>
      <x:c r="K198" s="78"/>
      <x:c r="L198" s="78"/>
      <x:c r="M198" s="78"/>
      <x:c r="AA198" t="n">
        <x:f>Decisiones!B198</x:f>
        <x:v>44420</x:v>
      </x:c>
    </x:row>
    <x:row r="199" ht="1.9500000476837158" customHeight="1">
      <x:c r="A199" s="94" t="n">
        <x:f>Decisiones!B178</x:f>
        <x:v>43552</x:v>
      </x:c>
      <x:c r="B199" s="78" t="n">
        <x:f>Decisiones!H178</x:f>
        <x:v>8.25</x:v>
      </x:c>
      <x:c r="C199" s="78" t="n">
        <x:f>COUNTIFS(Votaciones!$A$2:$A$341,Decisiones!A178,Votaciones!$D$2:$D$341,"Disenso restrictivo")</x:f>
        <x:v>0</x:v>
      </x:c>
      <x:c r="D199" s="78" t="n">
        <x:f>COUNTIFS(Votaciones!$A$2:$A$341,Decisiones!A178,Votaciones!$D$2:$D$341,"Disenso acomodaticio")</x:f>
        <x:v>0</x:v>
      </x:c>
      <x:c r="E199" s="78" t="e">
        <x:f>NA()</x:f>
        <x:v>#N/A</x:v>
      </x:c>
      <x:c r="F199" s="78" t="e">
        <x:f>NA()</x:f>
        <x:v>#N/A</x:v>
      </x:c>
      <x:c r="G199" s="78" t="e">
        <x:f ca="1">IF(AND(Decisiones!A178&gt;=IFERROR(INDEX(Participacion_Junta!$A$2:$A$341,_xludf.AGGREGATE(15,6,(ROW(Participacion_Junta!$A$2:$A$341)-1)/(Participacion_Junta!$B$2:$B$341=$X$2),1)),"ZZZ"),Decisiones!A178&lt;=IFERROR(INDEX(Participacion_Junta!$A$2:$A$341,_xludf.AGGREGATE(14,6,(ROW(Participacion_Junta!$A$2:$A$341)-1)/(Participacion_Junta!$B$2:$B$341=$X$2),1)),"")),0.35,NA())</x:f>
        <x:v>#NAME?</x:v>
      </x:c>
      <x:c r="H199" s="78"/>
      <x:c r="I199" s="78"/>
      <x:c r="J199" s="78"/>
      <x:c r="K199" s="78"/>
      <x:c r="L199" s="78"/>
      <x:c r="M199" s="78"/>
      <x:c r="AA199" t="n">
        <x:f>Decisiones!B199</x:f>
        <x:v>44469</x:v>
      </x:c>
    </x:row>
    <x:row r="200" ht="1.9500000476837158" customHeight="1">
      <x:c r="A200" s="94" t="n">
        <x:f>Decisiones!B179</x:f>
        <x:v>43601</x:v>
      </x:c>
      <x:c r="B200" s="78" t="n">
        <x:f>Decisiones!H179</x:f>
        <x:v>8.25</x:v>
      </x:c>
      <x:c r="C200" s="78" t="n">
        <x:f>COUNTIFS(Votaciones!$A$2:$A$341,Decisiones!A179,Votaciones!$D$2:$D$341,"Disenso restrictivo")</x:f>
        <x:v>0</x:v>
      </x:c>
      <x:c r="D200" s="78" t="n">
        <x:f>COUNTIFS(Votaciones!$A$2:$A$341,Decisiones!A179,Votaciones!$D$2:$D$341,"Disenso acomodaticio")</x:f>
        <x:v>0</x:v>
      </x:c>
      <x:c r="E200" s="78" t="e">
        <x:f>NA()</x:f>
        <x:v>#N/A</x:v>
      </x:c>
      <x:c r="F200" s="78" t="e">
        <x:f>NA()</x:f>
        <x:v>#N/A</x:v>
      </x:c>
      <x:c r="G200" s="78" t="e">
        <x:f ca="1">IF(AND(Decisiones!A179&gt;=IFERROR(INDEX(Participacion_Junta!$A$2:$A$341,_xludf.AGGREGATE(15,6,(ROW(Participacion_Junta!$A$2:$A$341)-1)/(Participacion_Junta!$B$2:$B$341=$X$2),1)),"ZZZ"),Decisiones!A179&lt;=IFERROR(INDEX(Participacion_Junta!$A$2:$A$341,_xludf.AGGREGATE(14,6,(ROW(Participacion_Junta!$A$2:$A$341)-1)/(Participacion_Junta!$B$2:$B$341=$X$2),1)),"")),0.35,NA())</x:f>
        <x:v>#NAME?</x:v>
      </x:c>
      <x:c r="H200" s="78"/>
      <x:c r="I200" s="78"/>
      <x:c r="J200" s="78"/>
      <x:c r="K200" s="78"/>
      <x:c r="L200" s="78"/>
      <x:c r="M200" s="78"/>
      <x:c r="AA200" t="n">
        <x:f>Decisiones!B200</x:f>
        <x:v>44511</x:v>
      </x:c>
    </x:row>
    <x:row r="201" ht="1.9500000476837158" customHeight="1">
      <x:c r="A201" s="94" t="n">
        <x:f>Decisiones!B180</x:f>
        <x:v>43643</x:v>
      </x:c>
      <x:c r="B201" s="78" t="n">
        <x:f>Decisiones!H180</x:f>
        <x:v>8.25</x:v>
      </x:c>
      <x:c r="C201" s="78" t="n">
        <x:f>COUNTIFS(Votaciones!$A$2:$A$341,Decisiones!A180,Votaciones!$D$2:$D$341,"Disenso restrictivo")</x:f>
        <x:v>0</x:v>
      </x:c>
      <x:c r="D201" s="78" t="n">
        <x:f>COUNTIFS(Votaciones!$A$2:$A$341,Decisiones!A180,Votaciones!$D$2:$D$341,"Disenso acomodaticio")</x:f>
        <x:v>1</x:v>
      </x:c>
      <x:c r="E201" s="78" t="n">
        <x:f>Decisiones!H180-0.1</x:f>
        <x:v>8.15</x:v>
      </x:c>
      <x:c r="F201" s="78" t="e">
        <x:f>NA()</x:f>
        <x:v>#N/A</x:v>
      </x:c>
      <x:c r="G201" s="78" t="e">
        <x:f ca="1">IF(AND(Decisiones!A180&gt;=IFERROR(INDEX(Participacion_Junta!$A$2:$A$341,_xludf.AGGREGATE(15,6,(ROW(Participacion_Junta!$A$2:$A$341)-1)/(Participacion_Junta!$B$2:$B$341=$X$2),1)),"ZZZ"),Decisiones!A180&lt;=IFERROR(INDEX(Participacion_Junta!$A$2:$A$341,_xludf.AGGREGATE(14,6,(ROW(Participacion_Junta!$A$2:$A$341)-1)/(Participacion_Junta!$B$2:$B$341=$X$2),1)),"")),0.35,NA())</x:f>
        <x:v>#NAME?</x:v>
      </x:c>
      <x:c r="H201" s="78"/>
      <x:c r="I201" s="78"/>
      <x:c r="J201" s="78"/>
      <x:c r="K201" s="78"/>
      <x:c r="L201" s="78"/>
      <x:c r="M201" s="78"/>
      <x:c r="AA201" t="n">
        <x:f>Decisiones!B201</x:f>
        <x:v>44546</x:v>
      </x:c>
    </x:row>
    <x:row r="202" ht="1.9500000476837158" customHeight="1">
      <x:c r="A202" s="94" t="n">
        <x:f>Decisiones!B181</x:f>
        <x:v>43692</x:v>
      </x:c>
      <x:c r="B202" s="78" t="n">
        <x:f>Decisiones!H181</x:f>
        <x:v>8</x:v>
      </x:c>
      <x:c r="C202" s="78" t="n">
        <x:f>COUNTIFS(Votaciones!$A$2:$A$341,Decisiones!A181,Votaciones!$D$2:$D$341,"Disenso restrictivo")</x:f>
        <x:v>1</x:v>
      </x:c>
      <x:c r="D202" s="78" t="n">
        <x:f>COUNTIFS(Votaciones!$A$2:$A$341,Decisiones!A181,Votaciones!$D$2:$D$341,"Disenso acomodaticio")</x:f>
        <x:v>0</x:v>
      </x:c>
      <x:c r="E202" s="78" t="e">
        <x:f>NA()</x:f>
        <x:v>#N/A</x:v>
      </x:c>
      <x:c r="F202" s="78" t="e">
        <x:f>NA()</x:f>
        <x:v>#N/A</x:v>
      </x:c>
      <x:c r="G202" s="78" t="e">
        <x:f ca="1">IF(AND(Decisiones!A181&gt;=IFERROR(INDEX(Participacion_Junta!$A$2:$A$341,_xludf.AGGREGATE(15,6,(ROW(Participacion_Junta!$A$2:$A$341)-1)/(Participacion_Junta!$B$2:$B$341=$X$2),1)),"ZZZ"),Decisiones!A181&lt;=IFERROR(INDEX(Participacion_Junta!$A$2:$A$341,_xludf.AGGREGATE(14,6,(ROW(Participacion_Junta!$A$2:$A$341)-1)/(Participacion_Junta!$B$2:$B$341=$X$2),1)),"")),0.35,NA())</x:f>
        <x:v>#NAME?</x:v>
      </x:c>
      <x:c r="H202" s="78"/>
      <x:c r="I202" s="78"/>
      <x:c r="J202" s="78"/>
      <x:c r="K202" s="78"/>
      <x:c r="L202" s="78"/>
      <x:c r="M202" s="78"/>
      <x:c r="AA202" t="n">
        <x:f>Decisiones!B202</x:f>
        <x:v>44602</x:v>
      </x:c>
    </x:row>
    <x:row r="203" ht="1.9500000476837158" customHeight="1">
      <x:c r="A203" s="94" t="n">
        <x:f>Decisiones!B182</x:f>
        <x:v>43734</x:v>
      </x:c>
      <x:c r="B203" s="78" t="n">
        <x:f>Decisiones!H182</x:f>
        <x:v>7.75</x:v>
      </x:c>
      <x:c r="C203" s="78" t="n">
        <x:f>COUNTIFS(Votaciones!$A$2:$A$341,Decisiones!A182,Votaciones!$D$2:$D$341,"Disenso restrictivo")</x:f>
        <x:v>0</x:v>
      </x:c>
      <x:c r="D203" s="78" t="n">
        <x:f>COUNTIFS(Votaciones!$A$2:$A$341,Decisiones!A182,Votaciones!$D$2:$D$341,"Disenso acomodaticio")</x:f>
        <x:v>2</x:v>
      </x:c>
      <x:c r="E203" s="78" t="n">
        <x:f>Decisiones!H182-0.1</x:f>
        <x:v>7.65</x:v>
      </x:c>
      <x:c r="F203" s="78" t="n">
        <x:f>Decisiones!H182-0.2</x:f>
        <x:v>7.55</x:v>
      </x:c>
      <x:c r="G203" s="78" t="e">
        <x:f ca="1">IF(AND(Decisiones!A182&gt;=IFERROR(INDEX(Participacion_Junta!$A$2:$A$341,_xludf.AGGREGATE(15,6,(ROW(Participacion_Junta!$A$2:$A$341)-1)/(Participacion_Junta!$B$2:$B$341=$X$2),1)),"ZZZ"),Decisiones!A182&lt;=IFERROR(INDEX(Participacion_Junta!$A$2:$A$341,_xludf.AGGREGATE(14,6,(ROW(Participacion_Junta!$A$2:$A$341)-1)/(Participacion_Junta!$B$2:$B$341=$X$2),1)),"")),0.35,NA())</x:f>
        <x:v>#NAME?</x:v>
      </x:c>
      <x:c r="H203" s="78"/>
      <x:c r="I203" s="78"/>
      <x:c r="J203" s="78"/>
      <x:c r="K203" s="78"/>
      <x:c r="L203" s="78"/>
      <x:c r="M203" s="78"/>
      <x:c r="AA203" t="n">
        <x:f>Decisiones!B203</x:f>
        <x:v>44644</x:v>
      </x:c>
    </x:row>
    <x:row r="204" ht="1.9500000476837158" customHeight="1">
      <x:c r="A204" s="94" t="n">
        <x:f>Decisiones!B183</x:f>
        <x:v>43783</x:v>
      </x:c>
      <x:c r="B204" s="78" t="n">
        <x:f>Decisiones!H183</x:f>
        <x:v>7.5</x:v>
      </x:c>
      <x:c r="C204" s="78" t="n">
        <x:f>COUNTIFS(Votaciones!$A$2:$A$341,Decisiones!A183,Votaciones!$D$2:$D$341,"Disenso restrictivo")</x:f>
        <x:v>0</x:v>
      </x:c>
      <x:c r="D204" s="78" t="n">
        <x:f>COUNTIFS(Votaciones!$A$2:$A$341,Decisiones!A183,Votaciones!$D$2:$D$341,"Disenso acomodaticio")</x:f>
        <x:v>2</x:v>
      </x:c>
      <x:c r="E204" s="78" t="n">
        <x:f>Decisiones!H183-0.1</x:f>
        <x:v>7.4</x:v>
      </x:c>
      <x:c r="F204" s="78" t="n">
        <x:f>Decisiones!H183-0.2</x:f>
        <x:v>7.3</x:v>
      </x:c>
      <x:c r="G204" s="78" t="e">
        <x:f ca="1">IF(AND(Decisiones!A183&gt;=IFERROR(INDEX(Participacion_Junta!$A$2:$A$341,_xludf.AGGREGATE(15,6,(ROW(Participacion_Junta!$A$2:$A$341)-1)/(Participacion_Junta!$B$2:$B$341=$X$2),1)),"ZZZ"),Decisiones!A183&lt;=IFERROR(INDEX(Participacion_Junta!$A$2:$A$341,_xludf.AGGREGATE(14,6,(ROW(Participacion_Junta!$A$2:$A$341)-1)/(Participacion_Junta!$B$2:$B$341=$X$2),1)),"")),0.35,NA())</x:f>
        <x:v>#NAME?</x:v>
      </x:c>
      <x:c r="H204" s="78"/>
      <x:c r="I204" s="78"/>
      <x:c r="J204" s="78"/>
      <x:c r="K204" s="78"/>
      <x:c r="L204" s="78"/>
      <x:c r="M204" s="78"/>
      <x:c r="AA204" t="n">
        <x:f>Decisiones!B204</x:f>
        <x:v>44693</x:v>
      </x:c>
    </x:row>
    <x:row r="205" ht="1.9500000476837158" customHeight="1">
      <x:c r="A205" s="94" t="n">
        <x:f>Decisiones!B184</x:f>
        <x:v>43818</x:v>
      </x:c>
      <x:c r="B205" s="78" t="n">
        <x:f>Decisiones!H184</x:f>
        <x:v>7.25</x:v>
      </x:c>
      <x:c r="C205" s="78" t="n">
        <x:f>COUNTIFS(Votaciones!$A$2:$A$341,Decisiones!A184,Votaciones!$D$2:$D$341,"Disenso restrictivo")</x:f>
        <x:v>0</x:v>
      </x:c>
      <x:c r="D205" s="78" t="n">
        <x:f>COUNTIFS(Votaciones!$A$2:$A$341,Decisiones!A184,Votaciones!$D$2:$D$341,"Disenso acomodaticio")</x:f>
        <x:v>1</x:v>
      </x:c>
      <x:c r="E205" s="78" t="n">
        <x:f>Decisiones!H184-0.1</x:f>
        <x:v>7.15</x:v>
      </x:c>
      <x:c r="F205" s="78" t="e">
        <x:f>NA()</x:f>
        <x:v>#N/A</x:v>
      </x:c>
      <x:c r="G205" s="78" t="e">
        <x:f ca="1">IF(AND(Decisiones!A184&gt;=IFERROR(INDEX(Participacion_Junta!$A$2:$A$341,_xludf.AGGREGATE(15,6,(ROW(Participacion_Junta!$A$2:$A$341)-1)/(Participacion_Junta!$B$2:$B$341=$X$2),1)),"ZZZ"),Decisiones!A184&lt;=IFERROR(INDEX(Participacion_Junta!$A$2:$A$341,_xludf.AGGREGATE(14,6,(ROW(Participacion_Junta!$A$2:$A$341)-1)/(Participacion_Junta!$B$2:$B$341=$X$2),1)),"")),0.35,NA())</x:f>
        <x:v>#NAME?</x:v>
      </x:c>
      <x:c r="H205" s="78"/>
      <x:c r="I205" s="78"/>
      <x:c r="J205" s="78"/>
      <x:c r="K205" s="78"/>
      <x:c r="L205" s="78"/>
      <x:c r="M205" s="78"/>
      <x:c r="AA205" t="n">
        <x:f>Decisiones!B205</x:f>
        <x:v>44735</x:v>
      </x:c>
    </x:row>
    <x:row r="206" ht="1.9500000476837158" customHeight="1">
      <x:c r="A206" s="94" t="n">
        <x:f>Decisiones!B185</x:f>
        <x:v>43874</x:v>
      </x:c>
      <x:c r="B206" s="78" t="n">
        <x:f>Decisiones!H185</x:f>
        <x:v>7</x:v>
      </x:c>
      <x:c r="C206" s="78" t="n">
        <x:f>COUNTIFS(Votaciones!$A$2:$A$341,Decisiones!A185,Votaciones!$D$2:$D$341,"Disenso restrictivo")</x:f>
        <x:v>0</x:v>
      </x:c>
      <x:c r="D206" s="78" t="n">
        <x:f>COUNTIFS(Votaciones!$A$2:$A$341,Decisiones!A185,Votaciones!$D$2:$D$341,"Disenso acomodaticio")</x:f>
        <x:v>0</x:v>
      </x:c>
      <x:c r="E206" s="78" t="e">
        <x:f>NA()</x:f>
        <x:v>#N/A</x:v>
      </x:c>
      <x:c r="F206" s="78" t="e">
        <x:f>NA()</x:f>
        <x:v>#N/A</x:v>
      </x:c>
      <x:c r="G206" s="78" t="e">
        <x:f ca="1">IF(AND(Decisiones!A185&gt;=IFERROR(INDEX(Participacion_Junta!$A$2:$A$341,_xludf.AGGREGATE(15,6,(ROW(Participacion_Junta!$A$2:$A$341)-1)/(Participacion_Junta!$B$2:$B$341=$X$2),1)),"ZZZ"),Decisiones!A185&lt;=IFERROR(INDEX(Participacion_Junta!$A$2:$A$341,_xludf.AGGREGATE(14,6,(ROW(Participacion_Junta!$A$2:$A$341)-1)/(Participacion_Junta!$B$2:$B$341=$X$2),1)),"")),0.35,NA())</x:f>
        <x:v>#NAME?</x:v>
      </x:c>
      <x:c r="H206" s="78"/>
      <x:c r="I206" s="78"/>
      <x:c r="J206" s="78"/>
      <x:c r="K206" s="78"/>
      <x:c r="L206" s="78"/>
      <x:c r="M206" s="78"/>
      <x:c r="AA206" t="n">
        <x:f>Decisiones!B206</x:f>
        <x:v>44784</x:v>
      </x:c>
    </x:row>
    <x:row r="207" ht="1.9500000476837158" customHeight="1">
      <x:c r="A207" s="94" t="n">
        <x:f>Decisiones!B186</x:f>
        <x:v>43910</x:v>
      </x:c>
      <x:c r="B207" s="78" t="n">
        <x:f>Decisiones!H186</x:f>
        <x:v>6.5</x:v>
      </x:c>
      <x:c r="C207" s="78" t="n">
        <x:f>COUNTIFS(Votaciones!$A$2:$A$341,Decisiones!A186,Votaciones!$D$2:$D$341,"Disenso restrictivo")</x:f>
        <x:v>1</x:v>
      </x:c>
      <x:c r="D207" s="78" t="n">
        <x:f>COUNTIFS(Votaciones!$A$2:$A$341,Decisiones!A186,Votaciones!$D$2:$D$341,"Disenso acomodaticio")</x:f>
        <x:v>0</x:v>
      </x:c>
      <x:c r="E207" s="78" t="e">
        <x:f>NA()</x:f>
        <x:v>#N/A</x:v>
      </x:c>
      <x:c r="F207" s="78" t="e">
        <x:f>NA()</x:f>
        <x:v>#N/A</x:v>
      </x:c>
      <x:c r="G207" s="78" t="e">
        <x:f ca="1">IF(AND(Decisiones!A186&gt;=IFERROR(INDEX(Participacion_Junta!$A$2:$A$341,_xludf.AGGREGATE(15,6,(ROW(Participacion_Junta!$A$2:$A$341)-1)/(Participacion_Junta!$B$2:$B$341=$X$2),1)),"ZZZ"),Decisiones!A186&lt;=IFERROR(INDEX(Participacion_Junta!$A$2:$A$341,_xludf.AGGREGATE(14,6,(ROW(Participacion_Junta!$A$2:$A$341)-1)/(Participacion_Junta!$B$2:$B$341=$X$2),1)),"")),0.35,NA())</x:f>
        <x:v>#NAME?</x:v>
      </x:c>
      <x:c r="H207" s="78"/>
      <x:c r="I207" s="78"/>
      <x:c r="J207" s="78"/>
      <x:c r="K207" s="78"/>
      <x:c r="L207" s="78"/>
      <x:c r="M207" s="78"/>
      <x:c r="AA207" t="n">
        <x:f>Decisiones!B207</x:f>
        <x:v>44833</x:v>
      </x:c>
    </x:row>
    <x:row r="208" ht="1.9500000476837158" customHeight="1">
      <x:c r="A208" s="94" t="n">
        <x:f>Decisiones!B187</x:f>
        <x:v>43942</x:v>
      </x:c>
      <x:c r="B208" s="78" t="n">
        <x:f>Decisiones!H187</x:f>
        <x:v>6</x:v>
      </x:c>
      <x:c r="C208" s="78" t="n">
        <x:f>COUNTIFS(Votaciones!$A$2:$A$341,Decisiones!A187,Votaciones!$D$2:$D$341,"Disenso restrictivo")</x:f>
        <x:v>0</x:v>
      </x:c>
      <x:c r="D208" s="78" t="n">
        <x:f>COUNTIFS(Votaciones!$A$2:$A$341,Decisiones!A187,Votaciones!$D$2:$D$341,"Disenso acomodaticio")</x:f>
        <x:v>0</x:v>
      </x:c>
      <x:c r="E208" s="78" t="e">
        <x:f>NA()</x:f>
        <x:v>#N/A</x:v>
      </x:c>
      <x:c r="F208" s="78" t="e">
        <x:f>NA()</x:f>
        <x:v>#N/A</x:v>
      </x:c>
      <x:c r="G208" s="78" t="e">
        <x:f ca="1">IF(AND(Decisiones!A187&gt;=IFERROR(INDEX(Participacion_Junta!$A$2:$A$341,_xludf.AGGREGATE(15,6,(ROW(Participacion_Junta!$A$2:$A$341)-1)/(Participacion_Junta!$B$2:$B$341=$X$2),1)),"ZZZ"),Decisiones!A187&lt;=IFERROR(INDEX(Participacion_Junta!$A$2:$A$341,_xludf.AGGREGATE(14,6,(ROW(Participacion_Junta!$A$2:$A$341)-1)/(Participacion_Junta!$B$2:$B$341=$X$2),1)),"")),0.35,NA())</x:f>
        <x:v>#NAME?</x:v>
      </x:c>
      <x:c r="H208" s="78"/>
      <x:c r="I208" s="78"/>
      <x:c r="J208" s="78"/>
      <x:c r="K208" s="78"/>
      <x:c r="L208" s="78"/>
      <x:c r="M208" s="78"/>
      <x:c r="AA208" t="n">
        <x:f>Decisiones!B208</x:f>
        <x:v>44875</x:v>
      </x:c>
    </x:row>
    <x:row r="209" ht="1.9500000476837158" customHeight="1">
      <x:c r="A209" s="94" t="n">
        <x:f>Decisiones!B188</x:f>
        <x:v>43965</x:v>
      </x:c>
      <x:c r="B209" s="78" t="n">
        <x:f>Decisiones!H188</x:f>
        <x:v>5.5</x:v>
      </x:c>
      <x:c r="C209" s="78" t="n">
        <x:f>COUNTIFS(Votaciones!$A$2:$A$341,Decisiones!A188,Votaciones!$D$2:$D$341,"Disenso restrictivo")</x:f>
        <x:v>0</x:v>
      </x:c>
      <x:c r="D209" s="78" t="n">
        <x:f>COUNTIFS(Votaciones!$A$2:$A$341,Decisiones!A188,Votaciones!$D$2:$D$341,"Disenso acomodaticio")</x:f>
        <x:v>0</x:v>
      </x:c>
      <x:c r="E209" s="78" t="e">
        <x:f>NA()</x:f>
        <x:v>#N/A</x:v>
      </x:c>
      <x:c r="F209" s="78" t="e">
        <x:f>NA()</x:f>
        <x:v>#N/A</x:v>
      </x:c>
      <x:c r="G209" s="78" t="e">
        <x:f ca="1">IF(AND(Decisiones!A188&gt;=IFERROR(INDEX(Participacion_Junta!$A$2:$A$341,_xludf.AGGREGATE(15,6,(ROW(Participacion_Junta!$A$2:$A$341)-1)/(Participacion_Junta!$B$2:$B$341=$X$2),1)),"ZZZ"),Decisiones!A188&lt;=IFERROR(INDEX(Participacion_Junta!$A$2:$A$341,_xludf.AGGREGATE(14,6,(ROW(Participacion_Junta!$A$2:$A$341)-1)/(Participacion_Junta!$B$2:$B$341=$X$2),1)),"")),0.35,NA())</x:f>
        <x:v>#NAME?</x:v>
      </x:c>
      <x:c r="H209" s="78"/>
      <x:c r="I209" s="78"/>
      <x:c r="J209" s="78"/>
      <x:c r="K209" s="78"/>
      <x:c r="L209" s="78"/>
      <x:c r="M209" s="78"/>
      <x:c r="AA209" t="n">
        <x:f>Decisiones!B209</x:f>
        <x:v>44910</x:v>
      </x:c>
    </x:row>
    <x:row r="210" ht="1.9500000476837158" customHeight="1">
      <x:c r="A210" s="94" t="n">
        <x:f>Decisiones!B189</x:f>
        <x:v>44007</x:v>
      </x:c>
      <x:c r="B210" s="78" t="n">
        <x:f>Decisiones!H189</x:f>
        <x:v>5</x:v>
      </x:c>
      <x:c r="C210" s="78" t="n">
        <x:f>COUNTIFS(Votaciones!$A$2:$A$341,Decisiones!A189,Votaciones!$D$2:$D$341,"Disenso restrictivo")</x:f>
        <x:v>0</x:v>
      </x:c>
      <x:c r="D210" s="78" t="n">
        <x:f>COUNTIFS(Votaciones!$A$2:$A$341,Decisiones!A189,Votaciones!$D$2:$D$341,"Disenso acomodaticio")</x:f>
        <x:v>0</x:v>
      </x:c>
      <x:c r="E210" s="78" t="e">
        <x:f>NA()</x:f>
        <x:v>#N/A</x:v>
      </x:c>
      <x:c r="F210" s="78" t="e">
        <x:f>NA()</x:f>
        <x:v>#N/A</x:v>
      </x:c>
      <x:c r="G210" s="78" t="e">
        <x:f ca="1">IF(AND(Decisiones!A189&gt;=IFERROR(INDEX(Participacion_Junta!$A$2:$A$341,_xludf.AGGREGATE(15,6,(ROW(Participacion_Junta!$A$2:$A$341)-1)/(Participacion_Junta!$B$2:$B$341=$X$2),1)),"ZZZ"),Decisiones!A189&lt;=IFERROR(INDEX(Participacion_Junta!$A$2:$A$341,_xludf.AGGREGATE(14,6,(ROW(Participacion_Junta!$A$2:$A$341)-1)/(Participacion_Junta!$B$2:$B$341=$X$2),1)),"")),0.35,NA())</x:f>
        <x:v>#NAME?</x:v>
      </x:c>
      <x:c r="H210" s="78"/>
      <x:c r="I210" s="78"/>
      <x:c r="J210" s="78"/>
      <x:c r="K210" s="78"/>
      <x:c r="L210" s="78"/>
      <x:c r="M210" s="78"/>
      <x:c r="AA210" t="n">
        <x:f>Decisiones!B210</x:f>
        <x:v>44966</x:v>
      </x:c>
    </x:row>
    <x:row r="211" ht="1.9500000476837158" customHeight="1">
      <x:c r="A211" s="94" t="n">
        <x:f>Decisiones!B190</x:f>
        <x:v>44056</x:v>
      </x:c>
      <x:c r="B211" s="78" t="n">
        <x:f>Decisiones!H190</x:f>
        <x:v>4.5</x:v>
      </x:c>
      <x:c r="C211" s="78" t="n">
        <x:f>COUNTIFS(Votaciones!$A$2:$A$341,Decisiones!A190,Votaciones!$D$2:$D$341,"Disenso restrictivo")</x:f>
        <x:v>1</x:v>
      </x:c>
      <x:c r="D211" s="78" t="n">
        <x:f>COUNTIFS(Votaciones!$A$2:$A$341,Decisiones!A190,Votaciones!$D$2:$D$341,"Disenso acomodaticio")</x:f>
        <x:v>0</x:v>
      </x:c>
      <x:c r="E211" s="78" t="e">
        <x:f>NA()</x:f>
        <x:v>#N/A</x:v>
      </x:c>
      <x:c r="F211" s="78" t="e">
        <x:f>NA()</x:f>
        <x:v>#N/A</x:v>
      </x:c>
      <x:c r="G211" s="78" t="e">
        <x:f ca="1">IF(AND(Decisiones!A190&gt;=IFERROR(INDEX(Participacion_Junta!$A$2:$A$341,_xludf.AGGREGATE(15,6,(ROW(Participacion_Junta!$A$2:$A$341)-1)/(Participacion_Junta!$B$2:$B$341=$X$2),1)),"ZZZ"),Decisiones!A190&lt;=IFERROR(INDEX(Participacion_Junta!$A$2:$A$341,_xludf.AGGREGATE(14,6,(ROW(Participacion_Junta!$A$2:$A$341)-1)/(Participacion_Junta!$B$2:$B$341=$X$2),1)),"")),0.35,NA())</x:f>
        <x:v>#NAME?</x:v>
      </x:c>
      <x:c r="H211" s="78"/>
      <x:c r="I211" s="78"/>
      <x:c r="J211" s="78"/>
      <x:c r="K211" s="78"/>
      <x:c r="L211" s="78"/>
      <x:c r="M211" s="78"/>
      <x:c r="AA211" t="n">
        <x:f>Decisiones!B211</x:f>
        <x:v>45015</x:v>
      </x:c>
    </x:row>
    <x:row r="212" ht="1.9500000476837158" customHeight="1">
      <x:c r="A212" s="94" t="n">
        <x:f>Decisiones!B191</x:f>
        <x:v>44098</x:v>
      </x:c>
      <x:c r="B212" s="78" t="n">
        <x:f>Decisiones!H191</x:f>
        <x:v>4.25</x:v>
      </x:c>
      <x:c r="C212" s="78" t="n">
        <x:f>COUNTIFS(Votaciones!$A$2:$A$341,Decisiones!A191,Votaciones!$D$2:$D$341,"Disenso restrictivo")</x:f>
        <x:v>0</x:v>
      </x:c>
      <x:c r="D212" s="78" t="n">
        <x:f>COUNTIFS(Votaciones!$A$2:$A$341,Decisiones!A191,Votaciones!$D$2:$D$341,"Disenso acomodaticio")</x:f>
        <x:v>0</x:v>
      </x:c>
      <x:c r="E212" s="78" t="e">
        <x:f>NA()</x:f>
        <x:v>#N/A</x:v>
      </x:c>
      <x:c r="F212" s="78" t="e">
        <x:f>NA()</x:f>
        <x:v>#N/A</x:v>
      </x:c>
      <x:c r="G212" s="78" t="e">
        <x:f ca="1">IF(AND(Decisiones!A191&gt;=IFERROR(INDEX(Participacion_Junta!$A$2:$A$341,_xludf.AGGREGATE(15,6,(ROW(Participacion_Junta!$A$2:$A$341)-1)/(Participacion_Junta!$B$2:$B$341=$X$2),1)),"ZZZ"),Decisiones!A191&lt;=IFERROR(INDEX(Participacion_Junta!$A$2:$A$341,_xludf.AGGREGATE(14,6,(ROW(Participacion_Junta!$A$2:$A$341)-1)/(Participacion_Junta!$B$2:$B$341=$X$2),1)),"")),0.35,NA())</x:f>
        <x:v>#NAME?</x:v>
      </x:c>
      <x:c r="H212" s="78"/>
      <x:c r="I212" s="78"/>
      <x:c r="J212" s="78"/>
      <x:c r="K212" s="78"/>
      <x:c r="L212" s="78"/>
      <x:c r="M212" s="78"/>
      <x:c r="AA212" t="n">
        <x:f>Decisiones!B212</x:f>
        <x:v>45064</x:v>
      </x:c>
    </x:row>
    <x:row r="213" ht="1.9500000476837158" customHeight="1">
      <x:c r="A213" s="94" t="n">
        <x:f>Decisiones!B192</x:f>
        <x:v>44147</x:v>
      </x:c>
      <x:c r="B213" s="78" t="n">
        <x:f>Decisiones!H192</x:f>
        <x:v>4.25</x:v>
      </x:c>
      <x:c r="C213" s="78" t="n">
        <x:f>COUNTIFS(Votaciones!$A$2:$A$341,Decisiones!A192,Votaciones!$D$2:$D$341,"Disenso restrictivo")</x:f>
        <x:v>0</x:v>
      </x:c>
      <x:c r="D213" s="78" t="n">
        <x:f>COUNTIFS(Votaciones!$A$2:$A$341,Decisiones!A192,Votaciones!$D$2:$D$341,"Disenso acomodaticio")</x:f>
        <x:v>1</x:v>
      </x:c>
      <x:c r="E213" s="78" t="n">
        <x:f>Decisiones!H192-0.1</x:f>
        <x:v>4.15</x:v>
      </x:c>
      <x:c r="F213" s="78" t="e">
        <x:f>NA()</x:f>
        <x:v>#N/A</x:v>
      </x:c>
      <x:c r="G213" s="78" t="e">
        <x:f ca="1">IF(AND(Decisiones!A192&gt;=IFERROR(INDEX(Participacion_Junta!$A$2:$A$341,_xludf.AGGREGATE(15,6,(ROW(Participacion_Junta!$A$2:$A$341)-1)/(Participacion_Junta!$B$2:$B$341=$X$2),1)),"ZZZ"),Decisiones!A192&lt;=IFERROR(INDEX(Participacion_Junta!$A$2:$A$341,_xludf.AGGREGATE(14,6,(ROW(Participacion_Junta!$A$2:$A$341)-1)/(Participacion_Junta!$B$2:$B$341=$X$2),1)),"")),0.35,NA())</x:f>
        <x:v>#NAME?</x:v>
      </x:c>
      <x:c r="H213" s="78"/>
      <x:c r="I213" s="78"/>
      <x:c r="J213" s="78"/>
      <x:c r="K213" s="78"/>
      <x:c r="L213" s="78"/>
      <x:c r="M213" s="78"/>
      <x:c r="AA213" t="n">
        <x:f>Decisiones!B213</x:f>
        <x:v>45099</x:v>
      </x:c>
    </x:row>
    <x:row r="214" ht="1.9500000476837158" customHeight="1">
      <x:c r="A214" s="94" t="n">
        <x:f>Decisiones!B193</x:f>
        <x:v>44182</x:v>
      </x:c>
      <x:c r="B214" s="78" t="n">
        <x:f>Decisiones!H193</x:f>
        <x:v>4.25</x:v>
      </x:c>
      <x:c r="C214" s="78" t="n">
        <x:f>COUNTIFS(Votaciones!$A$2:$A$341,Decisiones!A193,Votaciones!$D$2:$D$341,"Disenso restrictivo")</x:f>
        <x:v>0</x:v>
      </x:c>
      <x:c r="D214" s="78" t="n">
        <x:f>COUNTIFS(Votaciones!$A$2:$A$341,Decisiones!A193,Votaciones!$D$2:$D$341,"Disenso acomodaticio")</x:f>
        <x:v>2</x:v>
      </x:c>
      <x:c r="E214" s="78" t="n">
        <x:f>Decisiones!H193-0.1</x:f>
        <x:v>4.15</x:v>
      </x:c>
      <x:c r="F214" s="78" t="n">
        <x:f>Decisiones!H193-0.2</x:f>
        <x:v>4.05</x:v>
      </x:c>
      <x:c r="G214" s="78" t="e">
        <x:f ca="1">IF(AND(Decisiones!A193&gt;=IFERROR(INDEX(Participacion_Junta!$A$2:$A$341,_xludf.AGGREGATE(15,6,(ROW(Participacion_Junta!$A$2:$A$341)-1)/(Participacion_Junta!$B$2:$B$341=$X$2),1)),"ZZZ"),Decisiones!A193&lt;=IFERROR(INDEX(Participacion_Junta!$A$2:$A$341,_xludf.AGGREGATE(14,6,(ROW(Participacion_Junta!$A$2:$A$341)-1)/(Participacion_Junta!$B$2:$B$341=$X$2),1)),"")),0.35,NA())</x:f>
        <x:v>#NAME?</x:v>
      </x:c>
      <x:c r="H214" s="78"/>
      <x:c r="I214" s="78"/>
      <x:c r="J214" s="78"/>
      <x:c r="K214" s="78"/>
      <x:c r="L214" s="78"/>
      <x:c r="M214" s="78"/>
      <x:c r="AA214" t="n">
        <x:f>Decisiones!B214</x:f>
        <x:v>45148</x:v>
      </x:c>
    </x:row>
    <x:row r="215" ht="1.9500000476837158" customHeight="1">
      <x:c r="A215" s="94" t="n">
        <x:f>Decisiones!B194</x:f>
        <x:v>44238</x:v>
      </x:c>
      <x:c r="B215" s="78" t="n">
        <x:f>Decisiones!H194</x:f>
        <x:v>4</x:v>
      </x:c>
      <x:c r="C215" s="78" t="n">
        <x:f>COUNTIFS(Votaciones!$A$2:$A$341,Decisiones!A194,Votaciones!$D$2:$D$341,"Disenso restrictivo")</x:f>
        <x:v>0</x:v>
      </x:c>
      <x:c r="D215" s="78" t="n">
        <x:f>COUNTIFS(Votaciones!$A$2:$A$341,Decisiones!A194,Votaciones!$D$2:$D$341,"Disenso acomodaticio")</x:f>
        <x:v>0</x:v>
      </x:c>
      <x:c r="E215" s="78" t="e">
        <x:f>NA()</x:f>
        <x:v>#N/A</x:v>
      </x:c>
      <x:c r="F215" s="78" t="e">
        <x:f>NA()</x:f>
        <x:v>#N/A</x:v>
      </x:c>
      <x:c r="G215" s="78" t="e">
        <x:f ca="1">IF(AND(Decisiones!A194&gt;=IFERROR(INDEX(Participacion_Junta!$A$2:$A$341,_xludf.AGGREGATE(15,6,(ROW(Participacion_Junta!$A$2:$A$341)-1)/(Participacion_Junta!$B$2:$B$341=$X$2),1)),"ZZZ"),Decisiones!A194&lt;=IFERROR(INDEX(Participacion_Junta!$A$2:$A$341,_xludf.AGGREGATE(14,6,(ROW(Participacion_Junta!$A$2:$A$341)-1)/(Participacion_Junta!$B$2:$B$341=$X$2),1)),"")),0.35,NA())</x:f>
        <x:v>#NAME?</x:v>
      </x:c>
      <x:c r="H215" s="78"/>
      <x:c r="I215" s="78"/>
      <x:c r="J215" s="78"/>
      <x:c r="K215" s="78"/>
      <x:c r="L215" s="78"/>
      <x:c r="M215" s="78"/>
      <x:c r="AA215" t="n">
        <x:f>Decisiones!B215</x:f>
        <x:v>45197</x:v>
      </x:c>
    </x:row>
    <x:row r="216" ht="1.9500000476837158" customHeight="1">
      <x:c r="A216" s="94" t="n">
        <x:f>Decisiones!B195</x:f>
        <x:v>44280</x:v>
      </x:c>
      <x:c r="B216" s="78" t="n">
        <x:f>Decisiones!H195</x:f>
        <x:v>4</x:v>
      </x:c>
      <x:c r="C216" s="78" t="n">
        <x:f>COUNTIFS(Votaciones!$A$2:$A$341,Decisiones!A195,Votaciones!$D$2:$D$341,"Disenso restrictivo")</x:f>
        <x:v>0</x:v>
      </x:c>
      <x:c r="D216" s="78" t="n">
        <x:f>COUNTIFS(Votaciones!$A$2:$A$341,Decisiones!A195,Votaciones!$D$2:$D$341,"Disenso acomodaticio")</x:f>
        <x:v>0</x:v>
      </x:c>
      <x:c r="E216" s="78" t="e">
        <x:f>NA()</x:f>
        <x:v>#N/A</x:v>
      </x:c>
      <x:c r="F216" s="78" t="e">
        <x:f>NA()</x:f>
        <x:v>#N/A</x:v>
      </x:c>
      <x:c r="G216" s="78" t="e">
        <x:f ca="1">IF(AND(Decisiones!A195&gt;=IFERROR(INDEX(Participacion_Junta!$A$2:$A$341,_xludf.AGGREGATE(15,6,(ROW(Participacion_Junta!$A$2:$A$341)-1)/(Participacion_Junta!$B$2:$B$341=$X$2),1)),"ZZZ"),Decisiones!A195&lt;=IFERROR(INDEX(Participacion_Junta!$A$2:$A$341,_xludf.AGGREGATE(14,6,(ROW(Participacion_Junta!$A$2:$A$341)-1)/(Participacion_Junta!$B$2:$B$341=$X$2),1)),"")),0.35,NA())</x:f>
        <x:v>#NAME?</x:v>
      </x:c>
      <x:c r="H216" s="78"/>
      <x:c r="I216" s="78"/>
      <x:c r="J216" s="78"/>
      <x:c r="K216" s="78"/>
      <x:c r="L216" s="78"/>
      <x:c r="M216" s="78"/>
      <x:c r="AA216" t="n">
        <x:f>Decisiones!B216</x:f>
        <x:v>45239</x:v>
      </x:c>
    </x:row>
    <x:row r="217" ht="1.9500000476837158" customHeight="1">
      <x:c r="A217" s="94" t="n">
        <x:f>Decisiones!B196</x:f>
        <x:v>44329</x:v>
      </x:c>
      <x:c r="B217" s="78" t="n">
        <x:f>Decisiones!H196</x:f>
        <x:v>4</x:v>
      </x:c>
      <x:c r="C217" s="78" t="n">
        <x:f>COUNTIFS(Votaciones!$A$2:$A$341,Decisiones!A196,Votaciones!$D$2:$D$341,"Disenso restrictivo")</x:f>
        <x:v>0</x:v>
      </x:c>
      <x:c r="D217" s="78" t="n">
        <x:f>COUNTIFS(Votaciones!$A$2:$A$341,Decisiones!A196,Votaciones!$D$2:$D$341,"Disenso acomodaticio")</x:f>
        <x:v>0</x:v>
      </x:c>
      <x:c r="E217" s="78" t="e">
        <x:f>NA()</x:f>
        <x:v>#N/A</x:v>
      </x:c>
      <x:c r="F217" s="78" t="e">
        <x:f>NA()</x:f>
        <x:v>#N/A</x:v>
      </x:c>
      <x:c r="G217" s="78" t="e">
        <x:f ca="1">IF(AND(Decisiones!A196&gt;=IFERROR(INDEX(Participacion_Junta!$A$2:$A$341,_xludf.AGGREGATE(15,6,(ROW(Participacion_Junta!$A$2:$A$341)-1)/(Participacion_Junta!$B$2:$B$341=$X$2),1)),"ZZZ"),Decisiones!A196&lt;=IFERROR(INDEX(Participacion_Junta!$A$2:$A$341,_xludf.AGGREGATE(14,6,(ROW(Participacion_Junta!$A$2:$A$341)-1)/(Participacion_Junta!$B$2:$B$341=$X$2),1)),"")),0.35,NA())</x:f>
        <x:v>#NAME?</x:v>
      </x:c>
      <x:c r="H217" s="78"/>
      <x:c r="I217" s="78"/>
      <x:c r="J217" s="78"/>
      <x:c r="K217" s="78"/>
      <x:c r="L217" s="78"/>
      <x:c r="M217" s="78"/>
      <x:c r="AA217" t="n">
        <x:f>Decisiones!B217</x:f>
        <x:v>45274</x:v>
      </x:c>
    </x:row>
    <x:row r="218" ht="1.9500000476837158" customHeight="1">
      <x:c r="A218" s="94" t="n">
        <x:f>Decisiones!B197</x:f>
        <x:v>44371</x:v>
      </x:c>
      <x:c r="B218" s="78" t="n">
        <x:f>Decisiones!H197</x:f>
        <x:v>4.25</x:v>
      </x:c>
      <x:c r="C218" s="78" t="n">
        <x:f>COUNTIFS(Votaciones!$A$2:$A$341,Decisiones!A197,Votaciones!$D$2:$D$341,"Disenso restrictivo")</x:f>
        <x:v>0</x:v>
      </x:c>
      <x:c r="D218" s="78" t="n">
        <x:f>COUNTIFS(Votaciones!$A$2:$A$341,Decisiones!A197,Votaciones!$D$2:$D$341,"Disenso acomodaticio")</x:f>
        <x:v>2</x:v>
      </x:c>
      <x:c r="E218" s="78" t="n">
        <x:f>Decisiones!H197-0.1</x:f>
        <x:v>4.15</x:v>
      </x:c>
      <x:c r="F218" s="78" t="n">
        <x:f>Decisiones!H197-0.2</x:f>
        <x:v>4.05</x:v>
      </x:c>
      <x:c r="G218" s="78" t="e">
        <x:f ca="1">IF(AND(Decisiones!A197&gt;=IFERROR(INDEX(Participacion_Junta!$A$2:$A$341,_xludf.AGGREGATE(15,6,(ROW(Participacion_Junta!$A$2:$A$341)-1)/(Participacion_Junta!$B$2:$B$341=$X$2),1)),"ZZZ"),Decisiones!A197&lt;=IFERROR(INDEX(Participacion_Junta!$A$2:$A$341,_xludf.AGGREGATE(14,6,(ROW(Participacion_Junta!$A$2:$A$341)-1)/(Participacion_Junta!$B$2:$B$341=$X$2),1)),"")),0.35,NA())</x:f>
        <x:v>#NAME?</x:v>
      </x:c>
      <x:c r="H218" s="78"/>
      <x:c r="I218" s="78"/>
      <x:c r="J218" s="78"/>
      <x:c r="K218" s="78"/>
      <x:c r="L218" s="78"/>
      <x:c r="M218" s="78"/>
      <x:c r="AA218" t="n">
        <x:f>Decisiones!B218</x:f>
        <x:v>45330</x:v>
      </x:c>
    </x:row>
    <x:row r="219" ht="1.9500000476837158" customHeight="1">
      <x:c r="A219" s="94" t="n">
        <x:f>Decisiones!B198</x:f>
        <x:v>44420</x:v>
      </x:c>
      <x:c r="B219" s="78" t="n">
        <x:f>Decisiones!H198</x:f>
        <x:v>4.5</x:v>
      </x:c>
      <x:c r="C219" s="78" t="n">
        <x:f>COUNTIFS(Votaciones!$A$2:$A$341,Decisiones!A198,Votaciones!$D$2:$D$341,"Disenso restrictivo")</x:f>
        <x:v>0</x:v>
      </x:c>
      <x:c r="D219" s="78" t="n">
        <x:f>COUNTIFS(Votaciones!$A$2:$A$341,Decisiones!A198,Votaciones!$D$2:$D$341,"Disenso acomodaticio")</x:f>
        <x:v>2</x:v>
      </x:c>
      <x:c r="E219" s="78" t="n">
        <x:f>Decisiones!H198-0.1</x:f>
        <x:v>4.4</x:v>
      </x:c>
      <x:c r="F219" s="78" t="n">
        <x:f>Decisiones!H198-0.2</x:f>
        <x:v>4.3</x:v>
      </x:c>
      <x:c r="G219" s="78" t="e">
        <x:f ca="1">IF(AND(Decisiones!A198&gt;=IFERROR(INDEX(Participacion_Junta!$A$2:$A$341,_xludf.AGGREGATE(15,6,(ROW(Participacion_Junta!$A$2:$A$341)-1)/(Participacion_Junta!$B$2:$B$341=$X$2),1)),"ZZZ"),Decisiones!A198&lt;=IFERROR(INDEX(Participacion_Junta!$A$2:$A$341,_xludf.AGGREGATE(14,6,(ROW(Participacion_Junta!$A$2:$A$341)-1)/(Participacion_Junta!$B$2:$B$341=$X$2),1)),"")),0.35,NA())</x:f>
        <x:v>#NAME?</x:v>
      </x:c>
      <x:c r="H219" s="78"/>
      <x:c r="I219" s="78"/>
      <x:c r="J219" s="78"/>
      <x:c r="K219" s="78"/>
      <x:c r="L219" s="78"/>
      <x:c r="M219" s="78"/>
      <x:c r="AA219" t="n">
        <x:f>Decisiones!B219</x:f>
        <x:v>45372</x:v>
      </x:c>
    </x:row>
    <x:row r="220" ht="1.9500000476837158" customHeight="1">
      <x:c r="A220" s="94" t="n">
        <x:f>Decisiones!B199</x:f>
        <x:v>44469</x:v>
      </x:c>
      <x:c r="B220" s="78" t="n">
        <x:f>Decisiones!H199</x:f>
        <x:v>4.75</x:v>
      </x:c>
      <x:c r="C220" s="78" t="n">
        <x:f>COUNTIFS(Votaciones!$A$2:$A$341,Decisiones!A199,Votaciones!$D$2:$D$341,"Disenso restrictivo")</x:f>
        <x:v>0</x:v>
      </x:c>
      <x:c r="D220" s="78" t="n">
        <x:f>COUNTIFS(Votaciones!$A$2:$A$341,Decisiones!A199,Votaciones!$D$2:$D$341,"Disenso acomodaticio")</x:f>
        <x:v>1</x:v>
      </x:c>
      <x:c r="E220" s="78" t="n">
        <x:f>Decisiones!H199-0.1</x:f>
        <x:v>4.65</x:v>
      </x:c>
      <x:c r="F220" s="78" t="e">
        <x:f>NA()</x:f>
        <x:v>#N/A</x:v>
      </x:c>
      <x:c r="G220" s="78" t="e">
        <x:f ca="1">IF(AND(Decisiones!A199&gt;=IFERROR(INDEX(Participacion_Junta!$A$2:$A$341,_xludf.AGGREGATE(15,6,(ROW(Participacion_Junta!$A$2:$A$341)-1)/(Participacion_Junta!$B$2:$B$341=$X$2),1)),"ZZZ"),Decisiones!A199&lt;=IFERROR(INDEX(Participacion_Junta!$A$2:$A$341,_xludf.AGGREGATE(14,6,(ROW(Participacion_Junta!$A$2:$A$341)-1)/(Participacion_Junta!$B$2:$B$341=$X$2),1)),"")),0.35,NA())</x:f>
        <x:v>#NAME?</x:v>
      </x:c>
      <x:c r="H220" s="78"/>
      <x:c r="I220" s="78"/>
      <x:c r="J220" s="78"/>
      <x:c r="K220" s="78"/>
      <x:c r="L220" s="78"/>
      <x:c r="M220" s="78"/>
      <x:c r="AA220" t="n">
        <x:f>Decisiones!B220</x:f>
        <x:v>45421</x:v>
      </x:c>
    </x:row>
    <x:row r="221" ht="1.9500000476837158" customHeight="1">
      <x:c r="A221" s="94" t="n">
        <x:f>Decisiones!B200</x:f>
        <x:v>44511</x:v>
      </x:c>
      <x:c r="B221" s="78" t="n">
        <x:f>Decisiones!H200</x:f>
        <x:v>5</x:v>
      </x:c>
      <x:c r="C221" s="78" t="n">
        <x:f>COUNTIFS(Votaciones!$A$2:$A$341,Decisiones!A200,Votaciones!$D$2:$D$341,"Disenso restrictivo")</x:f>
        <x:v>0</x:v>
      </x:c>
      <x:c r="D221" s="78" t="n">
        <x:f>COUNTIFS(Votaciones!$A$2:$A$341,Decisiones!A200,Votaciones!$D$2:$D$341,"Disenso acomodaticio")</x:f>
        <x:v>1</x:v>
      </x:c>
      <x:c r="E221" s="78" t="n">
        <x:f>Decisiones!H200-0.1</x:f>
        <x:v>4.9</x:v>
      </x:c>
      <x:c r="F221" s="78" t="e">
        <x:f>NA()</x:f>
        <x:v>#N/A</x:v>
      </x:c>
      <x:c r="G221" s="78" t="e">
        <x:f ca="1">IF(AND(Decisiones!A200&gt;=IFERROR(INDEX(Participacion_Junta!$A$2:$A$341,_xludf.AGGREGATE(15,6,(ROW(Participacion_Junta!$A$2:$A$341)-1)/(Participacion_Junta!$B$2:$B$341=$X$2),1)),"ZZZ"),Decisiones!A200&lt;=IFERROR(INDEX(Participacion_Junta!$A$2:$A$341,_xludf.AGGREGATE(14,6,(ROW(Participacion_Junta!$A$2:$A$341)-1)/(Participacion_Junta!$B$2:$B$341=$X$2),1)),"")),0.35,NA())</x:f>
        <x:v>#NAME?</x:v>
      </x:c>
      <x:c r="H221" s="78"/>
      <x:c r="I221" s="78"/>
      <x:c r="J221" s="78"/>
      <x:c r="K221" s="78"/>
      <x:c r="L221" s="78"/>
      <x:c r="M221" s="78"/>
      <x:c r="AA221" t="n">
        <x:f>Decisiones!B221</x:f>
        <x:v>45470</x:v>
      </x:c>
    </x:row>
    <x:row r="222" ht="1.9500000476837158" customHeight="1">
      <x:c r="A222" s="94" t="n">
        <x:f>Decisiones!B201</x:f>
        <x:v>44546</x:v>
      </x:c>
      <x:c r="B222" s="78" t="n">
        <x:f>Decisiones!H201</x:f>
        <x:v>5.5</x:v>
      </x:c>
      <x:c r="C222" s="78" t="n">
        <x:f>COUNTIFS(Votaciones!$A$2:$A$341,Decisiones!A201,Votaciones!$D$2:$D$341,"Disenso restrictivo")</x:f>
        <x:v>0</x:v>
      </x:c>
      <x:c r="D222" s="78" t="n">
        <x:f>COUNTIFS(Votaciones!$A$2:$A$341,Decisiones!A201,Votaciones!$D$2:$D$341,"Disenso acomodaticio")</x:f>
        <x:v>1</x:v>
      </x:c>
      <x:c r="E222" s="78" t="n">
        <x:f>Decisiones!H201-0.1</x:f>
        <x:v>5.4</x:v>
      </x:c>
      <x:c r="F222" s="78" t="e">
        <x:f>NA()</x:f>
        <x:v>#N/A</x:v>
      </x:c>
      <x:c r="G222" s="78" t="e">
        <x:f ca="1">IF(AND(Decisiones!A201&gt;=IFERROR(INDEX(Participacion_Junta!$A$2:$A$341,_xludf.AGGREGATE(15,6,(ROW(Participacion_Junta!$A$2:$A$341)-1)/(Participacion_Junta!$B$2:$B$341=$X$2),1)),"ZZZ"),Decisiones!A201&lt;=IFERROR(INDEX(Participacion_Junta!$A$2:$A$341,_xludf.AGGREGATE(14,6,(ROW(Participacion_Junta!$A$2:$A$341)-1)/(Participacion_Junta!$B$2:$B$341=$X$2),1)),"")),0.35,NA())</x:f>
        <x:v>#NAME?</x:v>
      </x:c>
      <x:c r="H222" s="78"/>
      <x:c r="I222" s="78"/>
      <x:c r="J222" s="78"/>
      <x:c r="K222" s="78"/>
      <x:c r="L222" s="78"/>
      <x:c r="M222" s="78"/>
      <x:c r="AA222" t="n">
        <x:f>Decisiones!B222</x:f>
        <x:v>45512</x:v>
      </x:c>
    </x:row>
    <x:row r="223" ht="1.9500000476837158" customHeight="1">
      <x:c r="A223" s="94" t="n">
        <x:f>Decisiones!B202</x:f>
        <x:v>44602</x:v>
      </x:c>
      <x:c r="B223" s="78" t="n">
        <x:f>Decisiones!H202</x:f>
        <x:v>6</x:v>
      </x:c>
      <x:c r="C223" s="78" t="n">
        <x:f>COUNTIFS(Votaciones!$A$2:$A$341,Decisiones!A202,Votaciones!$D$2:$D$341,"Disenso restrictivo")</x:f>
        <x:v>0</x:v>
      </x:c>
      <x:c r="D223" s="78" t="n">
        <x:f>COUNTIFS(Votaciones!$A$2:$A$341,Decisiones!A202,Votaciones!$D$2:$D$341,"Disenso acomodaticio")</x:f>
        <x:v>1</x:v>
      </x:c>
      <x:c r="E223" s="78" t="n">
        <x:f>Decisiones!H202-0.1</x:f>
        <x:v>5.9</x:v>
      </x:c>
      <x:c r="F223" s="78" t="e">
        <x:f>NA()</x:f>
        <x:v>#N/A</x:v>
      </x:c>
      <x:c r="G223" s="78" t="e">
        <x:f ca="1">IF(AND(Decisiones!A202&gt;=IFERROR(INDEX(Participacion_Junta!$A$2:$A$341,_xludf.AGGREGATE(15,6,(ROW(Participacion_Junta!$A$2:$A$341)-1)/(Participacion_Junta!$B$2:$B$341=$X$2),1)),"ZZZ"),Decisiones!A202&lt;=IFERROR(INDEX(Participacion_Junta!$A$2:$A$341,_xludf.AGGREGATE(14,6,(ROW(Participacion_Junta!$A$2:$A$341)-1)/(Participacion_Junta!$B$2:$B$341=$X$2),1)),"")),0.35,NA())</x:f>
        <x:v>#NAME?</x:v>
      </x:c>
      <x:c r="H223" s="78"/>
      <x:c r="I223" s="78"/>
      <x:c r="J223" s="78"/>
      <x:c r="K223" s="78"/>
      <x:c r="L223" s="78"/>
      <x:c r="M223" s="78"/>
      <x:c r="AA223" t="n">
        <x:f>Decisiones!B223</x:f>
        <x:v>45561</x:v>
      </x:c>
    </x:row>
    <x:row r="224" ht="1.9500000476837158" customHeight="1">
      <x:c r="A224" s="94" t="n">
        <x:f>Decisiones!B203</x:f>
        <x:v>44644</x:v>
      </x:c>
      <x:c r="B224" s="78" t="n">
        <x:f>Decisiones!H203</x:f>
        <x:v>6.5</x:v>
      </x:c>
      <x:c r="C224" s="78" t="n">
        <x:f>COUNTIFS(Votaciones!$A$2:$A$341,Decisiones!A203,Votaciones!$D$2:$D$341,"Disenso restrictivo")</x:f>
        <x:v>0</x:v>
      </x:c>
      <x:c r="D224" s="78" t="n">
        <x:f>COUNTIFS(Votaciones!$A$2:$A$341,Decisiones!A203,Votaciones!$D$2:$D$341,"Disenso acomodaticio")</x:f>
        <x:v>0</x:v>
      </x:c>
      <x:c r="E224" s="78" t="e">
        <x:f>NA()</x:f>
        <x:v>#N/A</x:v>
      </x:c>
      <x:c r="F224" s="78" t="e">
        <x:f>NA()</x:f>
        <x:v>#N/A</x:v>
      </x:c>
      <x:c r="G224" s="78" t="e">
        <x:f ca="1">IF(AND(Decisiones!A203&gt;=IFERROR(INDEX(Participacion_Junta!$A$2:$A$341,_xludf.AGGREGATE(15,6,(ROW(Participacion_Junta!$A$2:$A$341)-1)/(Participacion_Junta!$B$2:$B$341=$X$2),1)),"ZZZ"),Decisiones!A203&lt;=IFERROR(INDEX(Participacion_Junta!$A$2:$A$341,_xludf.AGGREGATE(14,6,(ROW(Participacion_Junta!$A$2:$A$341)-1)/(Participacion_Junta!$B$2:$B$341=$X$2),1)),"")),0.35,NA())</x:f>
        <x:v>#NAME?</x:v>
      </x:c>
      <x:c r="H224" s="78"/>
      <x:c r="I224" s="78"/>
      <x:c r="J224" s="78"/>
      <x:c r="K224" s="78"/>
      <x:c r="L224" s="78"/>
      <x:c r="M224" s="78"/>
      <x:c r="AA224" t="n">
        <x:f>Decisiones!B224</x:f>
        <x:v>45610</x:v>
      </x:c>
    </x:row>
    <x:row r="225" ht="1.9500000476837158" customHeight="1">
      <x:c r="A225" s="94" t="n">
        <x:f>Decisiones!B204</x:f>
        <x:v>44693</x:v>
      </x:c>
      <x:c r="B225" s="78" t="n">
        <x:f>Decisiones!H204</x:f>
        <x:v>7</x:v>
      </x:c>
      <x:c r="C225" s="78" t="n">
        <x:f>COUNTIFS(Votaciones!$A$2:$A$341,Decisiones!A204,Votaciones!$D$2:$D$341,"Disenso restrictivo")</x:f>
        <x:v>1</x:v>
      </x:c>
      <x:c r="D225" s="78" t="n">
        <x:f>COUNTIFS(Votaciones!$A$2:$A$341,Decisiones!A204,Votaciones!$D$2:$D$341,"Disenso acomodaticio")</x:f>
        <x:v>0</x:v>
      </x:c>
      <x:c r="E225" s="78" t="e">
        <x:f>NA()</x:f>
        <x:v>#N/A</x:v>
      </x:c>
      <x:c r="F225" s="78" t="e">
        <x:f>NA()</x:f>
        <x:v>#N/A</x:v>
      </x:c>
      <x:c r="G225" s="78" t="e">
        <x:f ca="1">IF(AND(Decisiones!A204&gt;=IFERROR(INDEX(Participacion_Junta!$A$2:$A$341,_xludf.AGGREGATE(15,6,(ROW(Participacion_Junta!$A$2:$A$341)-1)/(Participacion_Junta!$B$2:$B$341=$X$2),1)),"ZZZ"),Decisiones!A204&lt;=IFERROR(INDEX(Participacion_Junta!$A$2:$A$341,_xludf.AGGREGATE(14,6,(ROW(Participacion_Junta!$A$2:$A$341)-1)/(Participacion_Junta!$B$2:$B$341=$X$2),1)),"")),0.35,NA())</x:f>
        <x:v>#NAME?</x:v>
      </x:c>
      <x:c r="H225" s="78"/>
      <x:c r="I225" s="78"/>
      <x:c r="J225" s="78"/>
      <x:c r="K225" s="78"/>
      <x:c r="L225" s="78"/>
      <x:c r="M225" s="78"/>
      <x:c r="AA225" t="n">
        <x:f>Decisiones!B225</x:f>
        <x:v>45645</x:v>
      </x:c>
    </x:row>
    <x:row r="226" ht="1.9500000476837158" customHeight="1">
      <x:c r="A226" s="94" t="n">
        <x:f>Decisiones!B205</x:f>
        <x:v>44735</x:v>
      </x:c>
      <x:c r="B226" s="78" t="n">
        <x:f>Decisiones!H205</x:f>
        <x:v>7.75</x:v>
      </x:c>
      <x:c r="C226" s="78" t="n">
        <x:f>COUNTIFS(Votaciones!$A$2:$A$341,Decisiones!A205,Votaciones!$D$2:$D$341,"Disenso restrictivo")</x:f>
        <x:v>0</x:v>
      </x:c>
      <x:c r="D226" s="78" t="n">
        <x:f>COUNTIFS(Votaciones!$A$2:$A$341,Decisiones!A205,Votaciones!$D$2:$D$341,"Disenso acomodaticio")</x:f>
        <x:v>0</x:v>
      </x:c>
      <x:c r="E226" s="78" t="e">
        <x:f>NA()</x:f>
        <x:v>#N/A</x:v>
      </x:c>
      <x:c r="F226" s="78" t="e">
        <x:f>NA()</x:f>
        <x:v>#N/A</x:v>
      </x:c>
      <x:c r="G226" s="78" t="e">
        <x:f ca="1">IF(AND(Decisiones!A205&gt;=IFERROR(INDEX(Participacion_Junta!$A$2:$A$341,_xludf.AGGREGATE(15,6,(ROW(Participacion_Junta!$A$2:$A$341)-1)/(Participacion_Junta!$B$2:$B$341=$X$2),1)),"ZZZ"),Decisiones!A205&lt;=IFERROR(INDEX(Participacion_Junta!$A$2:$A$341,_xludf.AGGREGATE(14,6,(ROW(Participacion_Junta!$A$2:$A$341)-1)/(Participacion_Junta!$B$2:$B$341=$X$2),1)),"")),0.35,NA())</x:f>
        <x:v>#NAME?</x:v>
      </x:c>
      <x:c r="H226" s="78"/>
      <x:c r="I226" s="78"/>
      <x:c r="J226" s="78"/>
      <x:c r="K226" s="78"/>
      <x:c r="L226" s="78"/>
      <x:c r="M226" s="78"/>
      <x:c r="AA226" t="n">
        <x:f>Decisiones!B226</x:f>
        <x:v>45694</x:v>
      </x:c>
    </x:row>
    <x:row r="227" ht="1.9500000476837158" customHeight="1">
      <x:c r="A227" s="94" t="n">
        <x:f>Decisiones!B206</x:f>
        <x:v>44784</x:v>
      </x:c>
      <x:c r="B227" s="78" t="n">
        <x:f>Decisiones!H206</x:f>
        <x:v>8.5</x:v>
      </x:c>
      <x:c r="C227" s="78" t="n">
        <x:f>COUNTIFS(Votaciones!$A$2:$A$341,Decisiones!A206,Votaciones!$D$2:$D$341,"Disenso restrictivo")</x:f>
        <x:v>0</x:v>
      </x:c>
      <x:c r="D227" s="78" t="n">
        <x:f>COUNTIFS(Votaciones!$A$2:$A$341,Decisiones!A206,Votaciones!$D$2:$D$341,"Disenso acomodaticio")</x:f>
        <x:v>0</x:v>
      </x:c>
      <x:c r="E227" s="78" t="e">
        <x:f>NA()</x:f>
        <x:v>#N/A</x:v>
      </x:c>
      <x:c r="F227" s="78" t="e">
        <x:f>NA()</x:f>
        <x:v>#N/A</x:v>
      </x:c>
      <x:c r="G227" s="78" t="e">
        <x:f ca="1">IF(AND(Decisiones!A206&gt;=IFERROR(INDEX(Participacion_Junta!$A$2:$A$341,_xludf.AGGREGATE(15,6,(ROW(Participacion_Junta!$A$2:$A$341)-1)/(Participacion_Junta!$B$2:$B$341=$X$2),1)),"ZZZ"),Decisiones!A206&lt;=IFERROR(INDEX(Participacion_Junta!$A$2:$A$341,_xludf.AGGREGATE(14,6,(ROW(Participacion_Junta!$A$2:$A$341)-1)/(Participacion_Junta!$B$2:$B$341=$X$2),1)),"")),0.35,NA())</x:f>
        <x:v>#NAME?</x:v>
      </x:c>
      <x:c r="H227" s="78"/>
      <x:c r="I227" s="78"/>
      <x:c r="J227" s="78"/>
      <x:c r="K227" s="78"/>
      <x:c r="L227" s="78"/>
      <x:c r="M227" s="78"/>
      <x:c r="AA227" t="n">
        <x:f>Decisiones!B227</x:f>
        <x:v>45743</x:v>
      </x:c>
    </x:row>
    <x:row r="228" ht="1.9500000476837158" customHeight="1">
      <x:c r="A228" s="94" t="n">
        <x:f>Decisiones!B207</x:f>
        <x:v>44833</x:v>
      </x:c>
      <x:c r="B228" s="78" t="n">
        <x:f>Decisiones!H207</x:f>
        <x:v>9.25</x:v>
      </x:c>
      <x:c r="C228" s="78" t="n">
        <x:f>COUNTIFS(Votaciones!$A$2:$A$341,Decisiones!A207,Votaciones!$D$2:$D$341,"Disenso restrictivo")</x:f>
        <x:v>0</x:v>
      </x:c>
      <x:c r="D228" s="78" t="n">
        <x:f>COUNTIFS(Votaciones!$A$2:$A$341,Decisiones!A207,Votaciones!$D$2:$D$341,"Disenso acomodaticio")</x:f>
        <x:v>0</x:v>
      </x:c>
      <x:c r="E228" s="78" t="e">
        <x:f>NA()</x:f>
        <x:v>#N/A</x:v>
      </x:c>
      <x:c r="F228" s="78" t="e">
        <x:f>NA()</x:f>
        <x:v>#N/A</x:v>
      </x:c>
      <x:c r="G228" s="78" t="e">
        <x:f ca="1">IF(AND(Decisiones!A207&gt;=IFERROR(INDEX(Participacion_Junta!$A$2:$A$341,_xludf.AGGREGATE(15,6,(ROW(Participacion_Junta!$A$2:$A$341)-1)/(Participacion_Junta!$B$2:$B$341=$X$2),1)),"ZZZ"),Decisiones!A207&lt;=IFERROR(INDEX(Participacion_Junta!$A$2:$A$341,_xludf.AGGREGATE(14,6,(ROW(Participacion_Junta!$A$2:$A$341)-1)/(Participacion_Junta!$B$2:$B$341=$X$2),1)),"")),0.35,NA())</x:f>
        <x:v>#NAME?</x:v>
      </x:c>
      <x:c r="H228" s="78"/>
      <x:c r="I228" s="78"/>
      <x:c r="J228" s="78"/>
      <x:c r="K228" s="78"/>
      <x:c r="L228" s="78"/>
      <x:c r="M228" s="78"/>
      <x:c r="AA228" t="n">
        <x:f>Decisiones!B228</x:f>
        <x:v>45792</x:v>
      </x:c>
    </x:row>
    <x:row r="229" ht="1.9500000476837158" customHeight="1">
      <x:c r="A229" s="94" t="n">
        <x:f>Decisiones!B208</x:f>
        <x:v>44875</x:v>
      </x:c>
      <x:c r="B229" s="78" t="n">
        <x:f>Decisiones!H208</x:f>
        <x:v>10</x:v>
      </x:c>
      <x:c r="C229" s="78" t="n">
        <x:f>COUNTIFS(Votaciones!$A$2:$A$341,Decisiones!A208,Votaciones!$D$2:$D$341,"Disenso restrictivo")</x:f>
        <x:v>0</x:v>
      </x:c>
      <x:c r="D229" s="78" t="n">
        <x:f>COUNTIFS(Votaciones!$A$2:$A$341,Decisiones!A208,Votaciones!$D$2:$D$341,"Disenso acomodaticio")</x:f>
        <x:v>1</x:v>
      </x:c>
      <x:c r="E229" s="78" t="n">
        <x:f>Decisiones!H208-0.1</x:f>
        <x:v>9.9</x:v>
      </x:c>
      <x:c r="F229" s="78" t="e">
        <x:f>NA()</x:f>
        <x:v>#N/A</x:v>
      </x:c>
      <x:c r="G229" s="78" t="e">
        <x:f ca="1">IF(AND(Decisiones!A208&gt;=IFERROR(INDEX(Participacion_Junta!$A$2:$A$341,_xludf.AGGREGATE(15,6,(ROW(Participacion_Junta!$A$2:$A$341)-1)/(Participacion_Junta!$B$2:$B$341=$X$2),1)),"ZZZ"),Decisiones!A208&lt;=IFERROR(INDEX(Participacion_Junta!$A$2:$A$341,_xludf.AGGREGATE(14,6,(ROW(Participacion_Junta!$A$2:$A$341)-1)/(Participacion_Junta!$B$2:$B$341=$X$2),1)),"")),0.35,NA())</x:f>
        <x:v>#NAME?</x:v>
      </x:c>
      <x:c r="H229" s="78"/>
      <x:c r="I229" s="78"/>
      <x:c r="J229" s="78"/>
      <x:c r="K229" s="78"/>
      <x:c r="L229" s="78"/>
      <x:c r="M229" s="78"/>
      <x:c r="AA229" t="n">
        <x:f>Decisiones!B229</x:f>
        <x:v>45834</x:v>
      </x:c>
    </x:row>
    <x:row r="230" ht="1.9500000476837158" customHeight="1">
      <x:c r="A230" s="94" t="n">
        <x:f>Decisiones!B209</x:f>
        <x:v>44910</x:v>
      </x:c>
      <x:c r="B230" s="78" t="n">
        <x:f>Decisiones!H209</x:f>
        <x:v>10.5</x:v>
      </x:c>
      <x:c r="C230" s="78" t="n">
        <x:f>COUNTIFS(Votaciones!$A$2:$A$341,Decisiones!A209,Votaciones!$D$2:$D$341,"Disenso restrictivo")</x:f>
        <x:v>0</x:v>
      </x:c>
      <x:c r="D230" s="78" t="n">
        <x:f>COUNTIFS(Votaciones!$A$2:$A$341,Decisiones!A209,Votaciones!$D$2:$D$341,"Disenso acomodaticio")</x:f>
        <x:v>1</x:v>
      </x:c>
      <x:c r="E230" s="78" t="n">
        <x:f>Decisiones!H209-0.1</x:f>
        <x:v>10.4</x:v>
      </x:c>
      <x:c r="F230" s="78" t="e">
        <x:f>NA()</x:f>
        <x:v>#N/A</x:v>
      </x:c>
      <x:c r="G230" s="78" t="e">
        <x:f ca="1">IF(AND(Decisiones!A209&gt;=IFERROR(INDEX(Participacion_Junta!$A$2:$A$341,_xludf.AGGREGATE(15,6,(ROW(Participacion_Junta!$A$2:$A$341)-1)/(Participacion_Junta!$B$2:$B$341=$X$2),1)),"ZZZ"),Decisiones!A209&lt;=IFERROR(INDEX(Participacion_Junta!$A$2:$A$341,_xludf.AGGREGATE(14,6,(ROW(Participacion_Junta!$A$2:$A$341)-1)/(Participacion_Junta!$B$2:$B$341=$X$2),1)),"")),0.35,NA())</x:f>
        <x:v>#NAME?</x:v>
      </x:c>
      <x:c r="H230" s="78"/>
      <x:c r="I230" s="78"/>
      <x:c r="J230" s="78"/>
      <x:c r="K230" s="78"/>
      <x:c r="L230" s="78"/>
      <x:c r="M230" s="78"/>
      <x:c r="AA230" t="n">
        <x:f>Decisiones!B230</x:f>
        <x:v>45876</x:v>
      </x:c>
    </x:row>
    <x:row r="231" ht="1.9500000476837158" customHeight="1">
      <x:c r="A231" s="94" t="n">
        <x:f>Decisiones!B210</x:f>
        <x:v>44966</x:v>
      </x:c>
      <x:c r="B231" s="78" t="n">
        <x:f>Decisiones!H210</x:f>
        <x:v>11</x:v>
      </x:c>
      <x:c r="C231" s="78" t="n">
        <x:f>COUNTIFS(Votaciones!$A$2:$A$341,Decisiones!A210,Votaciones!$D$2:$D$341,"Disenso restrictivo")</x:f>
        <x:v>0</x:v>
      </x:c>
      <x:c r="D231" s="78" t="n">
        <x:f>COUNTIFS(Votaciones!$A$2:$A$341,Decisiones!A210,Votaciones!$D$2:$D$341,"Disenso acomodaticio")</x:f>
        <x:v>0</x:v>
      </x:c>
      <x:c r="E231" s="78" t="e">
        <x:f>NA()</x:f>
        <x:v>#N/A</x:v>
      </x:c>
      <x:c r="F231" s="78" t="e">
        <x:f>NA()</x:f>
        <x:v>#N/A</x:v>
      </x:c>
      <x:c r="G231" s="78" t="e">
        <x:f ca="1">IF(AND(Decisiones!A210&gt;=IFERROR(INDEX(Participacion_Junta!$A$2:$A$341,_xludf.AGGREGATE(15,6,(ROW(Participacion_Junta!$A$2:$A$341)-1)/(Participacion_Junta!$B$2:$B$341=$X$2),1)),"ZZZ"),Decisiones!A210&lt;=IFERROR(INDEX(Participacion_Junta!$A$2:$A$341,_xludf.AGGREGATE(14,6,(ROW(Participacion_Junta!$A$2:$A$341)-1)/(Participacion_Junta!$B$2:$B$341=$X$2),1)),"")),0.35,NA())</x:f>
        <x:v>#NAME?</x:v>
      </x:c>
      <x:c r="H231" s="78"/>
      <x:c r="I231" s="78"/>
      <x:c r="J231" s="78"/>
      <x:c r="K231" s="78"/>
      <x:c r="L231" s="78"/>
      <x:c r="M231" s="78"/>
      <x:c r="AA231" t="n">
        <x:f>Decisiones!B231</x:f>
        <x:v>45925</x:v>
      </x:c>
    </x:row>
    <x:row r="232" ht="1.9500000476837158" customHeight="1">
      <x:c r="A232" s="94" t="n">
        <x:f>Decisiones!B211</x:f>
        <x:v>45015</x:v>
      </x:c>
      <x:c r="B232" s="78" t="n">
        <x:f>Decisiones!H211</x:f>
        <x:v>11.25</x:v>
      </x:c>
      <x:c r="C232" s="78" t="n">
        <x:f>COUNTIFS(Votaciones!$A$2:$A$341,Decisiones!A211,Votaciones!$D$2:$D$341,"Disenso restrictivo")</x:f>
        <x:v>0</x:v>
      </x:c>
      <x:c r="D232" s="78" t="n">
        <x:f>COUNTIFS(Votaciones!$A$2:$A$341,Decisiones!A211,Votaciones!$D$2:$D$341,"Disenso acomodaticio")</x:f>
        <x:v>0</x:v>
      </x:c>
      <x:c r="E232" s="78" t="e">
        <x:f>NA()</x:f>
        <x:v>#N/A</x:v>
      </x:c>
      <x:c r="F232" s="78" t="e">
        <x:f>NA()</x:f>
        <x:v>#N/A</x:v>
      </x:c>
      <x:c r="G232" s="78" t="e">
        <x:f ca="1">IF(AND(Decisiones!A211&gt;=IFERROR(INDEX(Participacion_Junta!$A$2:$A$341,_xludf.AGGREGATE(15,6,(ROW(Participacion_Junta!$A$2:$A$341)-1)/(Participacion_Junta!$B$2:$B$341=$X$2),1)),"ZZZ"),Decisiones!A211&lt;=IFERROR(INDEX(Participacion_Junta!$A$2:$A$341,_xludf.AGGREGATE(14,6,(ROW(Participacion_Junta!$A$2:$A$341)-1)/(Participacion_Junta!$B$2:$B$341=$X$2),1)),"")),0.35,NA())</x:f>
        <x:v>#NAME?</x:v>
      </x:c>
      <x:c r="H232" s="78"/>
      <x:c r="I232" s="78"/>
      <x:c r="J232" s="78"/>
      <x:c r="K232" s="78"/>
      <x:c r="L232" s="78"/>
      <x:c r="M232" s="78"/>
      <x:c r="AA232" t="n">
        <x:f>Decisiones!B232</x:f>
        <x:v>45967</x:v>
      </x:c>
    </x:row>
    <x:row r="233" ht="1.9500000476837158" customHeight="1">
      <x:c r="A233" s="94" t="n">
        <x:f>Decisiones!B212</x:f>
        <x:v>45064</x:v>
      </x:c>
      <x:c r="B233" s="78" t="n">
        <x:f>Decisiones!H212</x:f>
        <x:v>11.25</x:v>
      </x:c>
      <x:c r="C233" s="78" t="n">
        <x:f>COUNTIFS(Votaciones!$A$2:$A$341,Decisiones!A212,Votaciones!$D$2:$D$341,"Disenso restrictivo")</x:f>
        <x:v>0</x:v>
      </x:c>
      <x:c r="D233" s="78" t="n">
        <x:f>COUNTIFS(Votaciones!$A$2:$A$341,Decisiones!A212,Votaciones!$D$2:$D$341,"Disenso acomodaticio")</x:f>
        <x:v>0</x:v>
      </x:c>
      <x:c r="E233" s="78" t="e">
        <x:f>NA()</x:f>
        <x:v>#N/A</x:v>
      </x:c>
      <x:c r="F233" s="78" t="e">
        <x:f>NA()</x:f>
        <x:v>#N/A</x:v>
      </x:c>
      <x:c r="G233" s="78" t="e">
        <x:f ca="1">IF(AND(Decisiones!A212&gt;=IFERROR(INDEX(Participacion_Junta!$A$2:$A$341,_xludf.AGGREGATE(15,6,(ROW(Participacion_Junta!$A$2:$A$341)-1)/(Participacion_Junta!$B$2:$B$341=$X$2),1)),"ZZZ"),Decisiones!A212&lt;=IFERROR(INDEX(Participacion_Junta!$A$2:$A$341,_xludf.AGGREGATE(14,6,(ROW(Participacion_Junta!$A$2:$A$341)-1)/(Participacion_Junta!$B$2:$B$341=$X$2),1)),"")),0.35,NA())</x:f>
        <x:v>#NAME?</x:v>
      </x:c>
      <x:c r="H233" s="78"/>
      <x:c r="I233" s="78"/>
      <x:c r="J233" s="78"/>
      <x:c r="K233" s="78"/>
      <x:c r="L233" s="78"/>
      <x:c r="M233" s="78"/>
      <x:c r="AA233" t="n">
        <x:f>Decisiones!B233</x:f>
        <x:v>46009</x:v>
      </x:c>
    </x:row>
    <x:row r="234" ht="1.9500000476837158" customHeight="1">
      <x:c r="A234" s="94" t="n">
        <x:f>Decisiones!B213</x:f>
        <x:v>45099</x:v>
      </x:c>
      <x:c r="B234" s="78" t="n">
        <x:f>Decisiones!H213</x:f>
        <x:v>11.25</x:v>
      </x:c>
      <x:c r="C234" s="78" t="n">
        <x:f>COUNTIFS(Votaciones!$A$2:$A$341,Decisiones!A213,Votaciones!$D$2:$D$341,"Disenso restrictivo")</x:f>
        <x:v>0</x:v>
      </x:c>
      <x:c r="D234" s="78" t="n">
        <x:f>COUNTIFS(Votaciones!$A$2:$A$341,Decisiones!A213,Votaciones!$D$2:$D$341,"Disenso acomodaticio")</x:f>
        <x:v>0</x:v>
      </x:c>
      <x:c r="E234" s="78" t="e">
        <x:f>NA()</x:f>
        <x:v>#N/A</x:v>
      </x:c>
      <x:c r="F234" s="78" t="e">
        <x:f>NA()</x:f>
        <x:v>#N/A</x:v>
      </x:c>
      <x:c r="G234" s="78" t="e">
        <x:f ca="1">IF(AND(Decisiones!A213&gt;=IFERROR(INDEX(Participacion_Junta!$A$2:$A$341,_xludf.AGGREGATE(15,6,(ROW(Participacion_Junta!$A$2:$A$341)-1)/(Participacion_Junta!$B$2:$B$341=$X$2),1)),"ZZZ"),Decisiones!A213&lt;=IFERROR(INDEX(Participacion_Junta!$A$2:$A$341,_xludf.AGGREGATE(14,6,(ROW(Participacion_Junta!$A$2:$A$341)-1)/(Participacion_Junta!$B$2:$B$341=$X$2),1)),"")),0.35,NA())</x:f>
        <x:v>#NAME?</x:v>
      </x:c>
      <x:c r="H234" s="78"/>
      <x:c r="I234" s="78"/>
      <x:c r="J234" s="78"/>
      <x:c r="K234" s="78"/>
      <x:c r="L234" s="78"/>
      <x:c r="M234" s="78"/>
      <x:c r="AA234" t="n">
        <x:f>Decisiones!B234</x:f>
        <x:v>46058</x:v>
      </x:c>
    </x:row>
    <x:row r="235" ht="1.9500000476837158" customHeight="1">
      <x:c r="A235" s="94" t="n">
        <x:f>Decisiones!B214</x:f>
        <x:v>45148</x:v>
      </x:c>
      <x:c r="B235" s="78" t="n">
        <x:f>Decisiones!H214</x:f>
        <x:v>11.25</x:v>
      </x:c>
      <x:c r="C235" s="78" t="n">
        <x:f>COUNTIFS(Votaciones!$A$2:$A$341,Decisiones!A214,Votaciones!$D$2:$D$341,"Disenso restrictivo")</x:f>
        <x:v>0</x:v>
      </x:c>
      <x:c r="D235" s="78" t="n">
        <x:f>COUNTIFS(Votaciones!$A$2:$A$341,Decisiones!A214,Votaciones!$D$2:$D$341,"Disenso acomodaticio")</x:f>
        <x:v>0</x:v>
      </x:c>
      <x:c r="E235" s="78" t="e">
        <x:f>NA()</x:f>
        <x:v>#N/A</x:v>
      </x:c>
      <x:c r="F235" s="78" t="e">
        <x:f>NA()</x:f>
        <x:v>#N/A</x:v>
      </x:c>
      <x:c r="G235" s="78" t="e">
        <x:f ca="1">IF(AND(Decisiones!A214&gt;=IFERROR(INDEX(Participacion_Junta!$A$2:$A$341,_xludf.AGGREGATE(15,6,(ROW(Participacion_Junta!$A$2:$A$341)-1)/(Participacion_Junta!$B$2:$B$341=$X$2),1)),"ZZZ"),Decisiones!A214&lt;=IFERROR(INDEX(Participacion_Junta!$A$2:$A$341,_xludf.AGGREGATE(14,6,(ROW(Participacion_Junta!$A$2:$A$341)-1)/(Participacion_Junta!$B$2:$B$341=$X$2),1)),"")),0.35,NA())</x:f>
        <x:v>#NAME?</x:v>
      </x:c>
      <x:c r="H235" s="78"/>
      <x:c r="I235" s="78"/>
      <x:c r="J235" s="78"/>
      <x:c r="K235" s="78"/>
      <x:c r="L235" s="78"/>
      <x:c r="M235" s="78"/>
      <x:c r="AA235" t="n">
        <x:f>Decisiones!B235</x:f>
        <x:v>46107</x:v>
      </x:c>
    </x:row>
    <x:row r="236" ht="1.9500000476837158" customHeight="1">
      <x:c r="A236" s="94" t="n">
        <x:f>Decisiones!B215</x:f>
        <x:v>45197</x:v>
      </x:c>
      <x:c r="B236" s="78" t="n">
        <x:f>Decisiones!H215</x:f>
        <x:v>11.25</x:v>
      </x:c>
      <x:c r="C236" s="78" t="n">
        <x:f>COUNTIFS(Votaciones!$A$2:$A$341,Decisiones!A215,Votaciones!$D$2:$D$341,"Disenso restrictivo")</x:f>
        <x:v>0</x:v>
      </x:c>
      <x:c r="D236" s="78" t="n">
        <x:f>COUNTIFS(Votaciones!$A$2:$A$341,Decisiones!A215,Votaciones!$D$2:$D$341,"Disenso acomodaticio")</x:f>
        <x:v>0</x:v>
      </x:c>
      <x:c r="E236" s="78" t="e">
        <x:f>NA()</x:f>
        <x:v>#N/A</x:v>
      </x:c>
      <x:c r="F236" s="78" t="e">
        <x:f>NA()</x:f>
        <x:v>#N/A</x:v>
      </x:c>
      <x:c r="G236" s="78" t="e">
        <x:f ca="1">IF(AND(Decisiones!A215&gt;=IFERROR(INDEX(Participacion_Junta!$A$2:$A$341,_xludf.AGGREGATE(15,6,(ROW(Participacion_Junta!$A$2:$A$341)-1)/(Participacion_Junta!$B$2:$B$341=$X$2),1)),"ZZZ"),Decisiones!A215&lt;=IFERROR(INDEX(Participacion_Junta!$A$2:$A$341,_xludf.AGGREGATE(14,6,(ROW(Participacion_Junta!$A$2:$A$341)-1)/(Participacion_Junta!$B$2:$B$341=$X$2),1)),"")),0.35,NA())</x:f>
        <x:v>#NAME?</x:v>
      </x:c>
      <x:c r="H236" s="78"/>
      <x:c r="I236" s="78"/>
      <x:c r="J236" s="78"/>
      <x:c r="K236" s="78"/>
      <x:c r="L236" s="78"/>
      <x:c r="M236" s="78"/>
      <x:c r="AA236" t="n">
        <x:f>Decisiones!B236</x:f>
        <x:v>46149</x:v>
      </x:c>
    </x:row>
    <x:row r="237" ht="1.9500000476837158" customHeight="1">
      <x:c r="A237" s="94" t="n">
        <x:f>Decisiones!B216</x:f>
        <x:v>45239</x:v>
      </x:c>
      <x:c r="B237" s="78" t="n">
        <x:f>Decisiones!H216</x:f>
        <x:v>11.25</x:v>
      </x:c>
      <x:c r="C237" s="78" t="n">
        <x:f>COUNTIFS(Votaciones!$A$2:$A$341,Decisiones!A216,Votaciones!$D$2:$D$341,"Disenso restrictivo")</x:f>
        <x:v>0</x:v>
      </x:c>
      <x:c r="D237" s="78" t="n">
        <x:f>COUNTIFS(Votaciones!$A$2:$A$341,Decisiones!A216,Votaciones!$D$2:$D$341,"Disenso acomodaticio")</x:f>
        <x:v>0</x:v>
      </x:c>
      <x:c r="E237" s="78" t="e">
        <x:f>NA()</x:f>
        <x:v>#N/A</x:v>
      </x:c>
      <x:c r="F237" s="78" t="e">
        <x:f>NA()</x:f>
        <x:v>#N/A</x:v>
      </x:c>
      <x:c r="G237" s="78" t="e">
        <x:f ca="1">IF(AND(Decisiones!A216&gt;=IFERROR(INDEX(Participacion_Junta!$A$2:$A$341,_xludf.AGGREGATE(15,6,(ROW(Participacion_Junta!$A$2:$A$341)-1)/(Participacion_Junta!$B$2:$B$341=$X$2),1)),"ZZZ"),Decisiones!A216&lt;=IFERROR(INDEX(Participacion_Junta!$A$2:$A$341,_xludf.AGGREGATE(14,6,(ROW(Participacion_Junta!$A$2:$A$341)-1)/(Participacion_Junta!$B$2:$B$341=$X$2),1)),"")),0.35,NA())</x:f>
        <x:v>#NAME?</x:v>
      </x:c>
      <x:c r="H237" s="78"/>
      <x:c r="I237" s="78"/>
      <x:c r="J237" s="78"/>
      <x:c r="K237" s="78"/>
      <x:c r="L237" s="78"/>
      <x:c r="M237" s="78"/>
      <x:c r="AA237" t="n">
        <x:f>Decisiones!B237</x:f>
        <x:v>46198</x:v>
      </x:c>
    </x:row>
    <x:row r="238" ht="1.9500000476837158" customHeight="1">
      <x:c r="A238" s="94" t="n">
        <x:f>Decisiones!B217</x:f>
        <x:v>45274</x:v>
      </x:c>
      <x:c r="B238" s="78" t="n">
        <x:f>Decisiones!H217</x:f>
        <x:v>11.25</x:v>
      </x:c>
      <x:c r="C238" s="78" t="n">
        <x:f>COUNTIFS(Votaciones!$A$2:$A$341,Decisiones!A217,Votaciones!$D$2:$D$341,"Disenso restrictivo")</x:f>
        <x:v>0</x:v>
      </x:c>
      <x:c r="D238" s="78" t="n">
        <x:f>COUNTIFS(Votaciones!$A$2:$A$341,Decisiones!A217,Votaciones!$D$2:$D$341,"Disenso acomodaticio")</x:f>
        <x:v>0</x:v>
      </x:c>
      <x:c r="E238" s="78" t="e">
        <x:f>NA()</x:f>
        <x:v>#N/A</x:v>
      </x:c>
      <x:c r="F238" s="78" t="e">
        <x:f>NA()</x:f>
        <x:v>#N/A</x:v>
      </x:c>
      <x:c r="G238" s="78" t="e">
        <x:f ca="1">IF(AND(Decisiones!A217&gt;=IFERROR(INDEX(Participacion_Junta!$A$2:$A$341,_xludf.AGGREGATE(15,6,(ROW(Participacion_Junta!$A$2:$A$341)-1)/(Participacion_Junta!$B$2:$B$341=$X$2),1)),"ZZZ"),Decisiones!A217&lt;=IFERROR(INDEX(Participacion_Junta!$A$2:$A$341,_xludf.AGGREGATE(14,6,(ROW(Participacion_Junta!$A$2:$A$341)-1)/(Participacion_Junta!$B$2:$B$341=$X$2),1)),"")),0.35,NA())</x:f>
        <x:v>#NAME?</x:v>
      </x:c>
      <x:c r="H238" s="78"/>
      <x:c r="I238" s="78"/>
      <x:c r="J238" s="78"/>
      <x:c r="K238" s="78"/>
      <x:c r="L238" s="78"/>
      <x:c r="M238" s="78"/>
    </x:row>
    <x:row r="239" ht="1.9500000476837158" customHeight="1">
      <x:c r="A239" s="94" t="n">
        <x:f>Decisiones!B218</x:f>
        <x:v>45330</x:v>
      </x:c>
      <x:c r="B239" s="78" t="n">
        <x:f>Decisiones!H218</x:f>
        <x:v>11.25</x:v>
      </x:c>
      <x:c r="C239" s="78" t="n">
        <x:f>COUNTIFS(Votaciones!$A$2:$A$341,Decisiones!A218,Votaciones!$D$2:$D$341,"Disenso restrictivo")</x:f>
        <x:v>0</x:v>
      </x:c>
      <x:c r="D239" s="78" t="n">
        <x:f>COUNTIFS(Votaciones!$A$2:$A$341,Decisiones!A218,Votaciones!$D$2:$D$341,"Disenso acomodaticio")</x:f>
        <x:v>0</x:v>
      </x:c>
      <x:c r="E239" s="78" t="e">
        <x:f>NA()</x:f>
        <x:v>#N/A</x:v>
      </x:c>
      <x:c r="F239" s="78" t="e">
        <x:f>NA()</x:f>
        <x:v>#N/A</x:v>
      </x:c>
      <x:c r="G239" s="78" t="e">
        <x:f ca="1">IF(AND(Decisiones!A218&gt;=IFERROR(INDEX(Participacion_Junta!$A$2:$A$341,_xludf.AGGREGATE(15,6,(ROW(Participacion_Junta!$A$2:$A$341)-1)/(Participacion_Junta!$B$2:$B$341=$X$2),1)),"ZZZ"),Decisiones!A218&lt;=IFERROR(INDEX(Participacion_Junta!$A$2:$A$341,_xludf.AGGREGATE(14,6,(ROW(Participacion_Junta!$A$2:$A$341)-1)/(Participacion_Junta!$B$2:$B$341=$X$2),1)),"")),0.35,NA())</x:f>
        <x:v>#NAME?</x:v>
      </x:c>
      <x:c r="H239" s="78"/>
      <x:c r="I239" s="78"/>
      <x:c r="J239" s="78"/>
      <x:c r="K239" s="78"/>
      <x:c r="L239" s="78"/>
      <x:c r="M239" s="78"/>
    </x:row>
    <x:row r="240" ht="1.9500000476837158" customHeight="1">
      <x:c r="A240" s="94" t="n">
        <x:f>Decisiones!B219</x:f>
        <x:v>45372</x:v>
      </x:c>
      <x:c r="B240" s="78" t="n">
        <x:f>Decisiones!H219</x:f>
        <x:v>11</x:v>
      </x:c>
      <x:c r="C240" s="78" t="n">
        <x:f>COUNTIFS(Votaciones!$A$2:$A$341,Decisiones!A219,Votaciones!$D$2:$D$341,"Disenso restrictivo")</x:f>
        <x:v>1</x:v>
      </x:c>
      <x:c r="D240" s="78" t="n">
        <x:f>COUNTIFS(Votaciones!$A$2:$A$341,Decisiones!A219,Votaciones!$D$2:$D$341,"Disenso acomodaticio")</x:f>
        <x:v>0</x:v>
      </x:c>
      <x:c r="E240" s="78" t="e">
        <x:f>NA()</x:f>
        <x:v>#N/A</x:v>
      </x:c>
      <x:c r="F240" s="78" t="e">
        <x:f>NA()</x:f>
        <x:v>#N/A</x:v>
      </x:c>
      <x:c r="G240" s="78" t="e">
        <x:f ca="1">IF(AND(Decisiones!A219&gt;=IFERROR(INDEX(Participacion_Junta!$A$2:$A$341,_xludf.AGGREGATE(15,6,(ROW(Participacion_Junta!$A$2:$A$341)-1)/(Participacion_Junta!$B$2:$B$341=$X$2),1)),"ZZZ"),Decisiones!A219&lt;=IFERROR(INDEX(Participacion_Junta!$A$2:$A$341,_xludf.AGGREGATE(14,6,(ROW(Participacion_Junta!$A$2:$A$341)-1)/(Participacion_Junta!$B$2:$B$341=$X$2),1)),"")),0.35,NA())</x:f>
        <x:v>#NAME?</x:v>
      </x:c>
      <x:c r="H240" s="78"/>
      <x:c r="I240" s="78"/>
      <x:c r="J240" s="78"/>
      <x:c r="K240" s="78"/>
      <x:c r="L240" s="78"/>
      <x:c r="M240" s="78"/>
    </x:row>
    <x:row r="241" ht="1.9500000476837158" customHeight="1">
      <x:c r="A241" s="94" t="n">
        <x:f>Decisiones!B220</x:f>
        <x:v>45421</x:v>
      </x:c>
      <x:c r="B241" s="78" t="n">
        <x:f>Decisiones!H220</x:f>
        <x:v>11</x:v>
      </x:c>
      <x:c r="C241" s="78" t="n">
        <x:f>COUNTIFS(Votaciones!$A$2:$A$341,Decisiones!A220,Votaciones!$D$2:$D$341,"Disenso restrictivo")</x:f>
        <x:v>0</x:v>
      </x:c>
      <x:c r="D241" s="78" t="n">
        <x:f>COUNTIFS(Votaciones!$A$2:$A$341,Decisiones!A220,Votaciones!$D$2:$D$341,"Disenso acomodaticio")</x:f>
        <x:v>0</x:v>
      </x:c>
      <x:c r="E241" s="78" t="e">
        <x:f>NA()</x:f>
        <x:v>#N/A</x:v>
      </x:c>
      <x:c r="F241" s="78" t="e">
        <x:f>NA()</x:f>
        <x:v>#N/A</x:v>
      </x:c>
      <x:c r="G241" s="78" t="e">
        <x:f ca="1">IF(AND(Decisiones!A220&gt;=IFERROR(INDEX(Participacion_Junta!$A$2:$A$341,_xludf.AGGREGATE(15,6,(ROW(Participacion_Junta!$A$2:$A$341)-1)/(Participacion_Junta!$B$2:$B$341=$X$2),1)),"ZZZ"),Decisiones!A220&lt;=IFERROR(INDEX(Participacion_Junta!$A$2:$A$341,_xludf.AGGREGATE(14,6,(ROW(Participacion_Junta!$A$2:$A$341)-1)/(Participacion_Junta!$B$2:$B$341=$X$2),1)),"")),0.35,NA())</x:f>
        <x:v>#NAME?</x:v>
      </x:c>
      <x:c r="H241" s="78"/>
      <x:c r="I241" s="78"/>
      <x:c r="J241" s="78"/>
      <x:c r="K241" s="78"/>
      <x:c r="L241" s="78"/>
      <x:c r="M241" s="78"/>
    </x:row>
    <x:row r="242" ht="1.9500000476837158" customHeight="1">
      <x:c r="A242" s="94" t="n">
        <x:f>Decisiones!B221</x:f>
        <x:v>45470</x:v>
      </x:c>
      <x:c r="B242" s="78" t="n">
        <x:f>Decisiones!H221</x:f>
        <x:v>11</x:v>
      </x:c>
      <x:c r="C242" s="78" t="n">
        <x:f>COUNTIFS(Votaciones!$A$2:$A$341,Decisiones!A221,Votaciones!$D$2:$D$341,"Disenso restrictivo")</x:f>
        <x:v>0</x:v>
      </x:c>
      <x:c r="D242" s="78" t="n">
        <x:f>COUNTIFS(Votaciones!$A$2:$A$341,Decisiones!A221,Votaciones!$D$2:$D$341,"Disenso acomodaticio")</x:f>
        <x:v>1</x:v>
      </x:c>
      <x:c r="E242" s="78" t="n">
        <x:f>Decisiones!H221-0.1</x:f>
        <x:v>10.9</x:v>
      </x:c>
      <x:c r="F242" s="78" t="e">
        <x:f>NA()</x:f>
        <x:v>#N/A</x:v>
      </x:c>
      <x:c r="G242" s="78" t="e">
        <x:f ca="1">IF(AND(Decisiones!A221&gt;=IFERROR(INDEX(Participacion_Junta!$A$2:$A$341,_xludf.AGGREGATE(15,6,(ROW(Participacion_Junta!$A$2:$A$341)-1)/(Participacion_Junta!$B$2:$B$341=$X$2),1)),"ZZZ"),Decisiones!A221&lt;=IFERROR(INDEX(Participacion_Junta!$A$2:$A$341,_xludf.AGGREGATE(14,6,(ROW(Participacion_Junta!$A$2:$A$341)-1)/(Participacion_Junta!$B$2:$B$341=$X$2),1)),"")),0.35,NA())</x:f>
        <x:v>#NAME?</x:v>
      </x:c>
      <x:c r="H242" s="78"/>
      <x:c r="I242" s="78"/>
      <x:c r="J242" s="78"/>
      <x:c r="K242" s="78"/>
      <x:c r="L242" s="78"/>
      <x:c r="M242" s="78"/>
    </x:row>
    <x:row r="243" ht="1.9500000476837158" customHeight="1">
      <x:c r="A243" s="94" t="n">
        <x:f>Decisiones!B222</x:f>
        <x:v>45512</x:v>
      </x:c>
      <x:c r="B243" s="78" t="n">
        <x:f>Decisiones!H222</x:f>
        <x:v>10.75</x:v>
      </x:c>
      <x:c r="C243" s="78" t="n">
        <x:f>COUNTIFS(Votaciones!$A$2:$A$341,Decisiones!A222,Votaciones!$D$2:$D$341,"Disenso restrictivo")</x:f>
        <x:v>2</x:v>
      </x:c>
      <x:c r="D243" s="78" t="n">
        <x:f>COUNTIFS(Votaciones!$A$2:$A$341,Decisiones!A222,Votaciones!$D$2:$D$341,"Disenso acomodaticio")</x:f>
        <x:v>0</x:v>
      </x:c>
      <x:c r="E243" s="78" t="e">
        <x:f>NA()</x:f>
        <x:v>#N/A</x:v>
      </x:c>
      <x:c r="F243" s="78" t="e">
        <x:f>NA()</x:f>
        <x:v>#N/A</x:v>
      </x:c>
      <x:c r="G243" s="78" t="e">
        <x:f ca="1">IF(AND(Decisiones!A222&gt;=IFERROR(INDEX(Participacion_Junta!$A$2:$A$341,_xludf.AGGREGATE(15,6,(ROW(Participacion_Junta!$A$2:$A$341)-1)/(Participacion_Junta!$B$2:$B$341=$X$2),1)),"ZZZ"),Decisiones!A222&lt;=IFERROR(INDEX(Participacion_Junta!$A$2:$A$341,_xludf.AGGREGATE(14,6,(ROW(Participacion_Junta!$A$2:$A$341)-1)/(Participacion_Junta!$B$2:$B$341=$X$2),1)),"")),0.35,NA())</x:f>
        <x:v>#NAME?</x:v>
      </x:c>
      <x:c r="H243" s="78"/>
      <x:c r="I243" s="78"/>
      <x:c r="J243" s="78"/>
      <x:c r="K243" s="78"/>
      <x:c r="L243" s="78"/>
      <x:c r="M243" s="78"/>
    </x:row>
    <x:row r="244" ht="1.9500000476837158" customHeight="1">
      <x:c r="A244" s="94" t="n">
        <x:f>Decisiones!B223</x:f>
        <x:v>45561</x:v>
      </x:c>
      <x:c r="B244" s="78" t="n">
        <x:f>Decisiones!H223</x:f>
        <x:v>10.5</x:v>
      </x:c>
      <x:c r="C244" s="78" t="n">
        <x:f>COUNTIFS(Votaciones!$A$2:$A$341,Decisiones!A223,Votaciones!$D$2:$D$341,"Disenso restrictivo")</x:f>
        <x:v>1</x:v>
      </x:c>
      <x:c r="D244" s="78" t="n">
        <x:f>COUNTIFS(Votaciones!$A$2:$A$341,Decisiones!A223,Votaciones!$D$2:$D$341,"Disenso acomodaticio")</x:f>
        <x:v>0</x:v>
      </x:c>
      <x:c r="E244" s="78" t="e">
        <x:f>NA()</x:f>
        <x:v>#N/A</x:v>
      </x:c>
      <x:c r="F244" s="78" t="e">
        <x:f>NA()</x:f>
        <x:v>#N/A</x:v>
      </x:c>
      <x:c r="G244" s="78" t="e">
        <x:f ca="1">IF(AND(Decisiones!A223&gt;=IFERROR(INDEX(Participacion_Junta!$A$2:$A$341,_xludf.AGGREGATE(15,6,(ROW(Participacion_Junta!$A$2:$A$341)-1)/(Participacion_Junta!$B$2:$B$341=$X$2),1)),"ZZZ"),Decisiones!A223&lt;=IFERROR(INDEX(Participacion_Junta!$A$2:$A$341,_xludf.AGGREGATE(14,6,(ROW(Participacion_Junta!$A$2:$A$341)-1)/(Participacion_Junta!$B$2:$B$341=$X$2),1)),"")),0.35,NA())</x:f>
        <x:v>#NAME?</x:v>
      </x:c>
      <x:c r="H244" s="78"/>
      <x:c r="I244" s="78"/>
      <x:c r="J244" s="78"/>
      <x:c r="K244" s="78"/>
      <x:c r="L244" s="78"/>
      <x:c r="M244" s="78"/>
    </x:row>
    <x:row r="245" ht="1.9500000476837158" customHeight="1">
      <x:c r="A245" s="94" t="n">
        <x:f>Decisiones!B224</x:f>
        <x:v>45610</x:v>
      </x:c>
      <x:c r="B245" s="78" t="n">
        <x:f>Decisiones!H224</x:f>
        <x:v>10.25</x:v>
      </x:c>
      <x:c r="C245" s="78" t="n">
        <x:f>COUNTIFS(Votaciones!$A$2:$A$341,Decisiones!A224,Votaciones!$D$2:$D$341,"Disenso restrictivo")</x:f>
        <x:v>0</x:v>
      </x:c>
      <x:c r="D245" s="78" t="n">
        <x:f>COUNTIFS(Votaciones!$A$2:$A$341,Decisiones!A224,Votaciones!$D$2:$D$341,"Disenso acomodaticio")</x:f>
        <x:v>0</x:v>
      </x:c>
      <x:c r="E245" s="78" t="e">
        <x:f>NA()</x:f>
        <x:v>#N/A</x:v>
      </x:c>
      <x:c r="F245" s="78" t="e">
        <x:f>NA()</x:f>
        <x:v>#N/A</x:v>
      </x:c>
      <x:c r="G245" s="78" t="e">
        <x:f ca="1">IF(AND(Decisiones!A224&gt;=IFERROR(INDEX(Participacion_Junta!$A$2:$A$341,_xludf.AGGREGATE(15,6,(ROW(Participacion_Junta!$A$2:$A$341)-1)/(Participacion_Junta!$B$2:$B$341=$X$2),1)),"ZZZ"),Decisiones!A224&lt;=IFERROR(INDEX(Participacion_Junta!$A$2:$A$341,_xludf.AGGREGATE(14,6,(ROW(Participacion_Junta!$A$2:$A$341)-1)/(Participacion_Junta!$B$2:$B$341=$X$2),1)),"")),0.35,NA())</x:f>
        <x:v>#NAME?</x:v>
      </x:c>
      <x:c r="H245" s="78"/>
      <x:c r="I245" s="78"/>
      <x:c r="J245" s="78"/>
      <x:c r="K245" s="78"/>
      <x:c r="L245" s="78"/>
      <x:c r="M245" s="78"/>
    </x:row>
    <x:row r="246" ht="1.9500000476837158" customHeight="1">
      <x:c r="A246" s="94" t="n">
        <x:f>Decisiones!B225</x:f>
        <x:v>45645</x:v>
      </x:c>
      <x:c r="B246" s="78" t="n">
        <x:f>Decisiones!H225</x:f>
        <x:v>10</x:v>
      </x:c>
      <x:c r="C246" s="78" t="n">
        <x:f>COUNTIFS(Votaciones!$A$2:$A$341,Decisiones!A225,Votaciones!$D$2:$D$341,"Disenso restrictivo")</x:f>
        <x:v>0</x:v>
      </x:c>
      <x:c r="D246" s="78" t="n">
        <x:f>COUNTIFS(Votaciones!$A$2:$A$341,Decisiones!A225,Votaciones!$D$2:$D$341,"Disenso acomodaticio")</x:f>
        <x:v>0</x:v>
      </x:c>
      <x:c r="E246" s="78" t="e">
        <x:f>NA()</x:f>
        <x:v>#N/A</x:v>
      </x:c>
      <x:c r="F246" s="78" t="e">
        <x:f>NA()</x:f>
        <x:v>#N/A</x:v>
      </x:c>
      <x:c r="G246" s="78" t="e">
        <x:f ca="1">IF(AND(Decisiones!A225&gt;=IFERROR(INDEX(Participacion_Junta!$A$2:$A$341,_xludf.AGGREGATE(15,6,(ROW(Participacion_Junta!$A$2:$A$341)-1)/(Participacion_Junta!$B$2:$B$341=$X$2),1)),"ZZZ"),Decisiones!A225&lt;=IFERROR(INDEX(Participacion_Junta!$A$2:$A$341,_xludf.AGGREGATE(14,6,(ROW(Participacion_Junta!$A$2:$A$341)-1)/(Participacion_Junta!$B$2:$B$341=$X$2),1)),"")),0.35,NA())</x:f>
        <x:v>#NAME?</x:v>
      </x:c>
      <x:c r="H246" s="78"/>
      <x:c r="I246" s="78"/>
      <x:c r="J246" s="78"/>
      <x:c r="K246" s="78"/>
      <x:c r="L246" s="78"/>
      <x:c r="M246" s="78"/>
    </x:row>
    <x:row r="247" ht="1.9500000476837158" customHeight="1">
      <x:c r="A247" s="94" t="n">
        <x:f>Decisiones!B226</x:f>
        <x:v>45694</x:v>
      </x:c>
      <x:c r="B247" s="78" t="n">
        <x:f>Decisiones!H226</x:f>
        <x:v>9.5</x:v>
      </x:c>
      <x:c r="C247" s="78" t="n">
        <x:f>COUNTIFS(Votaciones!$A$2:$A$341,Decisiones!A226,Votaciones!$D$2:$D$341,"Disenso restrictivo")</x:f>
        <x:v>1</x:v>
      </x:c>
      <x:c r="D247" s="78" t="n">
        <x:f>COUNTIFS(Votaciones!$A$2:$A$341,Decisiones!A226,Votaciones!$D$2:$D$341,"Disenso acomodaticio")</x:f>
        <x:v>0</x:v>
      </x:c>
      <x:c r="E247" s="78" t="e">
        <x:f>NA()</x:f>
        <x:v>#N/A</x:v>
      </x:c>
      <x:c r="F247" s="78" t="e">
        <x:f>NA()</x:f>
        <x:v>#N/A</x:v>
      </x:c>
      <x:c r="G247" s="78" t="e">
        <x:f ca="1">IF(AND(Decisiones!A226&gt;=IFERROR(INDEX(Participacion_Junta!$A$2:$A$341,_xludf.AGGREGATE(15,6,(ROW(Participacion_Junta!$A$2:$A$341)-1)/(Participacion_Junta!$B$2:$B$341=$X$2),1)),"ZZZ"),Decisiones!A226&lt;=IFERROR(INDEX(Participacion_Junta!$A$2:$A$341,_xludf.AGGREGATE(14,6,(ROW(Participacion_Junta!$A$2:$A$341)-1)/(Participacion_Junta!$B$2:$B$341=$X$2),1)),"")),0.35,NA())</x:f>
        <x:v>#NAME?</x:v>
      </x:c>
      <x:c r="H247" s="78"/>
      <x:c r="I247" s="78"/>
      <x:c r="J247" s="78"/>
      <x:c r="K247" s="78"/>
      <x:c r="L247" s="78"/>
      <x:c r="M247" s="78"/>
    </x:row>
    <x:row r="248" ht="1.9500000476837158" customHeight="1">
      <x:c r="A248" s="94" t="n">
        <x:f>Decisiones!B227</x:f>
        <x:v>45743</x:v>
      </x:c>
      <x:c r="B248" s="78" t="n">
        <x:f>Decisiones!H227</x:f>
        <x:v>9</x:v>
      </x:c>
      <x:c r="C248" s="78" t="n">
        <x:f>COUNTIFS(Votaciones!$A$2:$A$341,Decisiones!A227,Votaciones!$D$2:$D$341,"Disenso restrictivo")</x:f>
        <x:v>0</x:v>
      </x:c>
      <x:c r="D248" s="78" t="n">
        <x:f>COUNTIFS(Votaciones!$A$2:$A$341,Decisiones!A227,Votaciones!$D$2:$D$341,"Disenso acomodaticio")</x:f>
        <x:v>0</x:v>
      </x:c>
      <x:c r="E248" s="78" t="e">
        <x:f>NA()</x:f>
        <x:v>#N/A</x:v>
      </x:c>
      <x:c r="F248" s="78" t="e">
        <x:f>NA()</x:f>
        <x:v>#N/A</x:v>
      </x:c>
      <x:c r="G248" s="78" t="e">
        <x:f ca="1">IF(AND(Decisiones!A227&gt;=IFERROR(INDEX(Participacion_Junta!$A$2:$A$341,_xludf.AGGREGATE(15,6,(ROW(Participacion_Junta!$A$2:$A$341)-1)/(Participacion_Junta!$B$2:$B$341=$X$2),1)),"ZZZ"),Decisiones!A227&lt;=IFERROR(INDEX(Participacion_Junta!$A$2:$A$341,_xludf.AGGREGATE(14,6,(ROW(Participacion_Junta!$A$2:$A$341)-1)/(Participacion_Junta!$B$2:$B$341=$X$2),1)),"")),0.35,NA())</x:f>
        <x:v>#NAME?</x:v>
      </x:c>
      <x:c r="H248" s="78"/>
      <x:c r="I248" s="78"/>
      <x:c r="J248" s="78"/>
      <x:c r="K248" s="78"/>
      <x:c r="L248" s="78"/>
      <x:c r="M248" s="78"/>
    </x:row>
    <x:row r="249" ht="1.9500000476837158" customHeight="1">
      <x:c r="A249" s="94" t="n">
        <x:f>Decisiones!B228</x:f>
        <x:v>45792</x:v>
      </x:c>
      <x:c r="B249" s="78" t="n">
        <x:f>Decisiones!H228</x:f>
        <x:v>8.5</x:v>
      </x:c>
      <x:c r="C249" s="78" t="n">
        <x:f>COUNTIFS(Votaciones!$A$2:$A$341,Decisiones!A228,Votaciones!$D$2:$D$341,"Disenso restrictivo")</x:f>
        <x:v>0</x:v>
      </x:c>
      <x:c r="D249" s="78" t="n">
        <x:f>COUNTIFS(Votaciones!$A$2:$A$341,Decisiones!A228,Votaciones!$D$2:$D$341,"Disenso acomodaticio")</x:f>
        <x:v>0</x:v>
      </x:c>
      <x:c r="E249" s="78" t="e">
        <x:f>NA()</x:f>
        <x:v>#N/A</x:v>
      </x:c>
      <x:c r="F249" s="78" t="e">
        <x:f>NA()</x:f>
        <x:v>#N/A</x:v>
      </x:c>
      <x:c r="G249" s="78" t="e">
        <x:f ca="1">IF(AND(Decisiones!A228&gt;=IFERROR(INDEX(Participacion_Junta!$A$2:$A$341,_xludf.AGGREGATE(15,6,(ROW(Participacion_Junta!$A$2:$A$341)-1)/(Participacion_Junta!$B$2:$B$341=$X$2),1)),"ZZZ"),Decisiones!A228&lt;=IFERROR(INDEX(Participacion_Junta!$A$2:$A$341,_xludf.AGGREGATE(14,6,(ROW(Participacion_Junta!$A$2:$A$341)-1)/(Participacion_Junta!$B$2:$B$341=$X$2),1)),"")),0.35,NA())</x:f>
        <x:v>#NAME?</x:v>
      </x:c>
      <x:c r="H249" s="78"/>
      <x:c r="I249" s="78"/>
      <x:c r="J249" s="78"/>
      <x:c r="K249" s="78"/>
      <x:c r="L249" s="78"/>
      <x:c r="M249" s="78"/>
    </x:row>
    <x:row r="250" ht="1.9500000476837158" customHeight="1">
      <x:c r="A250" s="94" t="n">
        <x:f>Decisiones!B229</x:f>
        <x:v>45834</x:v>
      </x:c>
      <x:c r="B250" s="78" t="n">
        <x:f>Decisiones!H229</x:f>
        <x:v>8</x:v>
      </x:c>
      <x:c r="C250" s="78" t="n">
        <x:f>COUNTIFS(Votaciones!$A$2:$A$341,Decisiones!A229,Votaciones!$D$2:$D$341,"Disenso restrictivo")</x:f>
        <x:v>1</x:v>
      </x:c>
      <x:c r="D250" s="78" t="n">
        <x:f>COUNTIFS(Votaciones!$A$2:$A$341,Decisiones!A229,Votaciones!$D$2:$D$341,"Disenso acomodaticio")</x:f>
        <x:v>0</x:v>
      </x:c>
      <x:c r="E250" s="78" t="e">
        <x:f>NA()</x:f>
        <x:v>#N/A</x:v>
      </x:c>
      <x:c r="F250" s="78" t="e">
        <x:f>NA()</x:f>
        <x:v>#N/A</x:v>
      </x:c>
      <x:c r="G250" s="78" t="e">
        <x:f ca="1">IF(AND(Decisiones!A229&gt;=IFERROR(INDEX(Participacion_Junta!$A$2:$A$341,_xludf.AGGREGATE(15,6,(ROW(Participacion_Junta!$A$2:$A$341)-1)/(Participacion_Junta!$B$2:$B$341=$X$2),1)),"ZZZ"),Decisiones!A229&lt;=IFERROR(INDEX(Participacion_Junta!$A$2:$A$341,_xludf.AGGREGATE(14,6,(ROW(Participacion_Junta!$A$2:$A$341)-1)/(Participacion_Junta!$B$2:$B$341=$X$2),1)),"")),0.35,NA())</x:f>
        <x:v>#NAME?</x:v>
      </x:c>
      <x:c r="H250" s="78"/>
      <x:c r="I250" s="78"/>
      <x:c r="J250" s="78"/>
      <x:c r="K250" s="78"/>
      <x:c r="L250" s="78"/>
      <x:c r="M250" s="78"/>
    </x:row>
    <x:row r="251" ht="1.9500000476837158" customHeight="1">
      <x:c r="A251" s="94" t="n">
        <x:f>Decisiones!B230</x:f>
        <x:v>45876</x:v>
      </x:c>
      <x:c r="B251" s="78" t="n">
        <x:f>Decisiones!H230</x:f>
        <x:v>7.75</x:v>
      </x:c>
      <x:c r="C251" s="78" t="n">
        <x:f>COUNTIFS(Votaciones!$A$2:$A$341,Decisiones!A230,Votaciones!$D$2:$D$341,"Disenso restrictivo")</x:f>
        <x:v>1</x:v>
      </x:c>
      <x:c r="D251" s="78" t="n">
        <x:f>COUNTIFS(Votaciones!$A$2:$A$341,Decisiones!A230,Votaciones!$D$2:$D$341,"Disenso acomodaticio")</x:f>
        <x:v>0</x:v>
      </x:c>
      <x:c r="E251" s="78" t="e">
        <x:f>NA()</x:f>
        <x:v>#N/A</x:v>
      </x:c>
      <x:c r="F251" s="78" t="e">
        <x:f>NA()</x:f>
        <x:v>#N/A</x:v>
      </x:c>
      <x:c r="G251" s="78" t="e">
        <x:f ca="1">IF(AND(Decisiones!A230&gt;=IFERROR(INDEX(Participacion_Junta!$A$2:$A$341,_xludf.AGGREGATE(15,6,(ROW(Participacion_Junta!$A$2:$A$341)-1)/(Participacion_Junta!$B$2:$B$341=$X$2),1)),"ZZZ"),Decisiones!A230&lt;=IFERROR(INDEX(Participacion_Junta!$A$2:$A$341,_xludf.AGGREGATE(14,6,(ROW(Participacion_Junta!$A$2:$A$341)-1)/(Participacion_Junta!$B$2:$B$341=$X$2),1)),"")),0.35,NA())</x:f>
        <x:v>#NAME?</x:v>
      </x:c>
      <x:c r="H251" s="78"/>
      <x:c r="I251" s="78"/>
      <x:c r="J251" s="78"/>
      <x:c r="K251" s="78"/>
      <x:c r="L251" s="78"/>
      <x:c r="M251" s="78"/>
    </x:row>
    <x:row r="252" ht="1.9500000476837158" customHeight="1">
      <x:c r="A252" s="94" t="n">
        <x:f>Decisiones!B231</x:f>
        <x:v>45925</x:v>
      </x:c>
      <x:c r="B252" s="78" t="n">
        <x:f>Decisiones!H231</x:f>
        <x:v>7.5</x:v>
      </x:c>
      <x:c r="C252" s="78" t="n">
        <x:f>COUNTIFS(Votaciones!$A$2:$A$341,Decisiones!A231,Votaciones!$D$2:$D$341,"Disenso restrictivo")</x:f>
        <x:v>1</x:v>
      </x:c>
      <x:c r="D252" s="78" t="n">
        <x:f>COUNTIFS(Votaciones!$A$2:$A$341,Decisiones!A231,Votaciones!$D$2:$D$341,"Disenso acomodaticio")</x:f>
        <x:v>0</x:v>
      </x:c>
      <x:c r="E252" s="78" t="e">
        <x:f>NA()</x:f>
        <x:v>#N/A</x:v>
      </x:c>
      <x:c r="F252" s="78" t="e">
        <x:f>NA()</x:f>
        <x:v>#N/A</x:v>
      </x:c>
      <x:c r="G252" s="78" t="e">
        <x:f ca="1">IF(AND(Decisiones!A231&gt;=IFERROR(INDEX(Participacion_Junta!$A$2:$A$341,_xludf.AGGREGATE(15,6,(ROW(Participacion_Junta!$A$2:$A$341)-1)/(Participacion_Junta!$B$2:$B$341=$X$2),1)),"ZZZ"),Decisiones!A231&lt;=IFERROR(INDEX(Participacion_Junta!$A$2:$A$341,_xludf.AGGREGATE(14,6,(ROW(Participacion_Junta!$A$2:$A$341)-1)/(Participacion_Junta!$B$2:$B$341=$X$2),1)),"")),0.35,NA())</x:f>
        <x:v>#NAME?</x:v>
      </x:c>
      <x:c r="H252" s="78"/>
      <x:c r="I252" s="78"/>
      <x:c r="J252" s="78"/>
      <x:c r="K252" s="78"/>
      <x:c r="L252" s="78"/>
      <x:c r="M252" s="78"/>
    </x:row>
    <x:row r="253" ht="1.9500000476837158" customHeight="1">
      <x:c r="A253" s="94" t="n">
        <x:f>Decisiones!B232</x:f>
        <x:v>45967</x:v>
      </x:c>
      <x:c r="B253" s="78" t="n">
        <x:f>Decisiones!H232</x:f>
        <x:v>7.25</x:v>
      </x:c>
      <x:c r="C253" s="78" t="n">
        <x:f>COUNTIFS(Votaciones!$A$2:$A$341,Decisiones!A232,Votaciones!$D$2:$D$341,"Disenso restrictivo")</x:f>
        <x:v>1</x:v>
      </x:c>
      <x:c r="D253" s="78" t="n">
        <x:f>COUNTIFS(Votaciones!$A$2:$A$341,Decisiones!A232,Votaciones!$D$2:$D$341,"Disenso acomodaticio")</x:f>
        <x:v>0</x:v>
      </x:c>
      <x:c r="E253" s="78" t="e">
        <x:f>NA()</x:f>
        <x:v>#N/A</x:v>
      </x:c>
      <x:c r="F253" s="78" t="e">
        <x:f>NA()</x:f>
        <x:v>#N/A</x:v>
      </x:c>
      <x:c r="G253" s="78" t="e">
        <x:f ca="1">IF(AND(Decisiones!A232&gt;=IFERROR(INDEX(Participacion_Junta!$A$2:$A$341,_xludf.AGGREGATE(15,6,(ROW(Participacion_Junta!$A$2:$A$341)-1)/(Participacion_Junta!$B$2:$B$341=$X$2),1)),"ZZZ"),Decisiones!A232&lt;=IFERROR(INDEX(Participacion_Junta!$A$2:$A$341,_xludf.AGGREGATE(14,6,(ROW(Participacion_Junta!$A$2:$A$341)-1)/(Participacion_Junta!$B$2:$B$341=$X$2),1)),"")),0.35,NA())</x:f>
        <x:v>#NAME?</x:v>
      </x:c>
      <x:c r="H253" s="78"/>
      <x:c r="I253" s="78"/>
      <x:c r="J253" s="78"/>
      <x:c r="K253" s="78"/>
      <x:c r="L253" s="78"/>
      <x:c r="M253" s="78"/>
    </x:row>
    <x:row r="254" ht="1.9500000476837158" customHeight="1">
      <x:c r="A254" s="94" t="n">
        <x:f>Decisiones!B233</x:f>
        <x:v>46009</x:v>
      </x:c>
      <x:c r="B254" s="78" t="n">
        <x:f>Decisiones!H233</x:f>
        <x:v>7</x:v>
      </x:c>
      <x:c r="C254" s="78" t="n">
        <x:f>COUNTIFS(Votaciones!$A$2:$A$341,Decisiones!A233,Votaciones!$D$2:$D$341,"Disenso restrictivo")</x:f>
        <x:v>1</x:v>
      </x:c>
      <x:c r="D254" s="78" t="n">
        <x:f>COUNTIFS(Votaciones!$A$2:$A$341,Decisiones!A233,Votaciones!$D$2:$D$341,"Disenso acomodaticio")</x:f>
        <x:v>0</x:v>
      </x:c>
      <x:c r="E254" s="78" t="e">
        <x:f>NA()</x:f>
        <x:v>#N/A</x:v>
      </x:c>
      <x:c r="F254" s="78" t="e">
        <x:f>NA()</x:f>
        <x:v>#N/A</x:v>
      </x:c>
      <x:c r="G254" s="78" t="e">
        <x:f ca="1">IF(AND(Decisiones!A233&gt;=IFERROR(INDEX(Participacion_Junta!$A$2:$A$341,_xludf.AGGREGATE(15,6,(ROW(Participacion_Junta!$A$2:$A$341)-1)/(Participacion_Junta!$B$2:$B$341=$X$2),1)),"ZZZ"),Decisiones!A233&lt;=IFERROR(INDEX(Participacion_Junta!$A$2:$A$341,_xludf.AGGREGATE(14,6,(ROW(Participacion_Junta!$A$2:$A$341)-1)/(Participacion_Junta!$B$2:$B$341=$X$2),1)),"")),0.35,NA())</x:f>
        <x:v>#NAME?</x:v>
      </x:c>
      <x:c r="H254" s="78"/>
      <x:c r="I254" s="78"/>
      <x:c r="J254" s="78"/>
      <x:c r="K254" s="78"/>
      <x:c r="L254" s="78"/>
      <x:c r="M254" s="78"/>
    </x:row>
    <x:row r="255" ht="1.9500000476837158" customHeight="1">
      <x:c r="A255" s="94" t="n">
        <x:f>Decisiones!B234</x:f>
        <x:v>46058</x:v>
      </x:c>
      <x:c r="B255" s="78" t="n">
        <x:f>Decisiones!H234</x:f>
        <x:v>7</x:v>
      </x:c>
      <x:c r="C255" s="78" t="n">
        <x:f>COUNTIFS(Votaciones!$A$2:$A$341,Decisiones!A234,Votaciones!$D$2:$D$341,"Disenso restrictivo")</x:f>
        <x:v>0</x:v>
      </x:c>
      <x:c r="D255" s="78" t="n">
        <x:f>COUNTIFS(Votaciones!$A$2:$A$341,Decisiones!A234,Votaciones!$D$2:$D$341,"Disenso acomodaticio")</x:f>
        <x:v>0</x:v>
      </x:c>
      <x:c r="E255" s="78" t="e">
        <x:f>NA()</x:f>
        <x:v>#N/A</x:v>
      </x:c>
      <x:c r="F255" s="78" t="e">
        <x:f>NA()</x:f>
        <x:v>#N/A</x:v>
      </x:c>
      <x:c r="G255" s="78" t="e">
        <x:f ca="1">IF(AND(Decisiones!A234&gt;=IFERROR(INDEX(Participacion_Junta!$A$2:$A$341,_xludf.AGGREGATE(15,6,(ROW(Participacion_Junta!$A$2:$A$341)-1)/(Participacion_Junta!$B$2:$B$341=$X$2),1)),"ZZZ"),Decisiones!A234&lt;=IFERROR(INDEX(Participacion_Junta!$A$2:$A$341,_xludf.AGGREGATE(14,6,(ROW(Participacion_Junta!$A$2:$A$341)-1)/(Participacion_Junta!$B$2:$B$341=$X$2),1)),"")),0.35,NA())</x:f>
        <x:v>#NAME?</x:v>
      </x:c>
      <x:c r="H255" s="78"/>
      <x:c r="I255" s="78"/>
      <x:c r="J255" s="78"/>
      <x:c r="K255" s="78"/>
      <x:c r="L255" s="78"/>
      <x:c r="M255" s="78"/>
    </x:row>
    <x:row r="256" ht="1.9500000476837158" customHeight="1">
      <x:c r="A256" s="94" t="n">
        <x:f>Decisiones!B235</x:f>
        <x:v>46107</x:v>
      </x:c>
      <x:c r="B256" s="78" t="n">
        <x:f>Decisiones!H235</x:f>
        <x:v>6.75</x:v>
      </x:c>
      <x:c r="C256" s="78" t="n">
        <x:f>COUNTIFS(Votaciones!$A$2:$A$341,Decisiones!A235,Votaciones!$D$2:$D$341,"Disenso restrictivo")</x:f>
        <x:v>2</x:v>
      </x:c>
      <x:c r="D256" s="78" t="n">
        <x:f>COUNTIFS(Votaciones!$A$2:$A$341,Decisiones!A235,Votaciones!$D$2:$D$341,"Disenso acomodaticio")</x:f>
        <x:v>0</x:v>
      </x:c>
      <x:c r="E256" s="78" t="e">
        <x:f>NA()</x:f>
        <x:v>#N/A</x:v>
      </x:c>
      <x:c r="F256" s="78" t="e">
        <x:f>NA()</x:f>
        <x:v>#N/A</x:v>
      </x:c>
      <x:c r="G256" s="78" t="e">
        <x:f ca="1">IF(AND(Decisiones!A235&gt;=IFERROR(INDEX(Participacion_Junta!$A$2:$A$341,_xludf.AGGREGATE(15,6,(ROW(Participacion_Junta!$A$2:$A$341)-1)/(Participacion_Junta!$B$2:$B$341=$X$2),1)),"ZZZ"),Decisiones!A235&lt;=IFERROR(INDEX(Participacion_Junta!$A$2:$A$341,_xludf.AGGREGATE(14,6,(ROW(Participacion_Junta!$A$2:$A$341)-1)/(Participacion_Junta!$B$2:$B$341=$X$2),1)),"")),0.35,NA())</x:f>
        <x:v>#NAME?</x:v>
      </x:c>
      <x:c r="H256" s="78"/>
      <x:c r="I256" s="78"/>
      <x:c r="J256" s="78"/>
      <x:c r="K256" s="78"/>
      <x:c r="L256" s="78"/>
      <x:c r="M256" s="78"/>
    </x:row>
    <x:row r="257" ht="1.9500000476837158" customHeight="1">
      <x:c r="A257" s="94" t="n">
        <x:f>Decisiones!B236</x:f>
        <x:v>46149</x:v>
      </x:c>
      <x:c r="B257" s="78" t="n">
        <x:f>Decisiones!H236</x:f>
        <x:v>6.5</x:v>
      </x:c>
      <x:c r="C257" s="78" t="n">
        <x:f>COUNTIFS(Votaciones!$A$2:$A$341,Decisiones!A236,Votaciones!$D$2:$D$341,"Disenso restrictivo")</x:f>
        <x:v>2</x:v>
      </x:c>
      <x:c r="D257" s="78" t="n">
        <x:f>COUNTIFS(Votaciones!$A$2:$A$341,Decisiones!A236,Votaciones!$D$2:$D$341,"Disenso acomodaticio")</x:f>
        <x:v>0</x:v>
      </x:c>
      <x:c r="E257" s="78" t="e">
        <x:f>NA()</x:f>
        <x:v>#N/A</x:v>
      </x:c>
      <x:c r="F257" s="78" t="e">
        <x:f>NA()</x:f>
        <x:v>#N/A</x:v>
      </x:c>
      <x:c r="G257" s="78" t="e">
        <x:f ca="1">IF(AND(Decisiones!A236&gt;=IFERROR(INDEX(Participacion_Junta!$A$2:$A$341,_xludf.AGGREGATE(15,6,(ROW(Participacion_Junta!$A$2:$A$341)-1)/(Participacion_Junta!$B$2:$B$341=$X$2),1)),"ZZZ"),Decisiones!A236&lt;=IFERROR(INDEX(Participacion_Junta!$A$2:$A$341,_xludf.AGGREGATE(14,6,(ROW(Participacion_Junta!$A$2:$A$341)-1)/(Participacion_Junta!$B$2:$B$341=$X$2),1)),"")),0.35,NA())</x:f>
        <x:v>#NAME?</x:v>
      </x:c>
      <x:c r="H257" s="78"/>
      <x:c r="I257" s="78"/>
      <x:c r="J257" s="78"/>
      <x:c r="K257" s="78"/>
      <x:c r="L257" s="78"/>
      <x:c r="M257" s="78"/>
    </x:row>
    <x:row r="258" ht="1.9500000476837158" customHeight="1">
      <x:c r="A258" s="94" t="n">
        <x:f>Decisiones!B237</x:f>
        <x:v>46198</x:v>
      </x:c>
      <x:c r="B258" s="78" t="n">
        <x:f>Decisiones!H237</x:f>
        <x:v>6.5</x:v>
      </x:c>
      <x:c r="C258" s="78" t="n">
        <x:f>COUNTIFS(Votaciones!$A$2:$A$341,Decisiones!A237,Votaciones!$D$2:$D$341,"Disenso restrictivo")</x:f>
        <x:v>0</x:v>
      </x:c>
      <x:c r="D258" s="78" t="n">
        <x:f>COUNTIFS(Votaciones!$A$2:$A$341,Decisiones!A237,Votaciones!$D$2:$D$341,"Disenso acomodaticio")</x:f>
        <x:v>0</x:v>
      </x:c>
      <x:c r="E258" s="78" t="e">
        <x:f>NA()</x:f>
        <x:v>#N/A</x:v>
      </x:c>
      <x:c r="F258" s="78" t="e">
        <x:f>NA()</x:f>
        <x:v>#N/A</x:v>
      </x:c>
      <x:c r="G258" s="78" t="e">
        <x:f ca="1">IF(AND(Decisiones!A237&gt;=IFERROR(INDEX(Participacion_Junta!$A$2:$A$341,_xludf.AGGREGATE(15,6,(ROW(Participacion_Junta!$A$2:$A$341)-1)/(Participacion_Junta!$B$2:$B$341=$X$2),1)),"ZZZ"),Decisiones!A237&lt;=IFERROR(INDEX(Participacion_Junta!$A$2:$A$341,_xludf.AGGREGATE(14,6,(ROW(Participacion_Junta!$A$2:$A$341)-1)/(Participacion_Junta!$B$2:$B$341=$X$2),1)),"")),0.35,NA())</x:f>
        <x:v>#NAME?</x:v>
      </x:c>
      <x:c r="H258" s="78"/>
      <x:c r="I258" s="78"/>
      <x:c r="J258" s="78"/>
      <x:c r="K258" s="78"/>
      <x:c r="L258" s="78"/>
      <x:c r="M258" s="78"/>
    </x:row>
    <x:row r="259" ht="1.9500000476837158" customHeight="1">
      <x:c r="A259" s="78"/>
      <x:c r="B259" s="78"/>
      <x:c r="C259" s="78"/>
      <x:c r="D259" s="78"/>
      <x:c r="E259" s="78"/>
      <x:c r="F259" s="78"/>
      <x:c r="G259" s="78"/>
      <x:c r="H259" s="78"/>
      <x:c r="I259" s="78"/>
      <x:c r="J259" s="78"/>
      <x:c r="K259" s="78"/>
      <x:c r="L259" s="78"/>
      <x:c r="M259" s="78"/>
    </x:row>
    <x:row r="260" ht="1.9500000476837158" customHeight="1">
      <x:c r="A260" s="78"/>
      <x:c r="B260" s="78"/>
      <x:c r="C260" s="78"/>
      <x:c r="D260" s="78"/>
      <x:c r="E260" s="78"/>
      <x:c r="F260" s="78"/>
      <x:c r="G260" s="78"/>
      <x:c r="H260" s="78"/>
      <x:c r="I260" s="78"/>
      <x:c r="J260" s="78"/>
      <x:c r="K260" s="78"/>
      <x:c r="L260" s="78"/>
      <x:c r="M260" s="78"/>
    </x:row>
    <x:row r="261" ht="1.9500000476837158" customHeight="1">
      <x:c r="A261" s="78"/>
      <x:c r="B261" s="78"/>
      <x:c r="C261" s="78"/>
      <x:c r="D261" s="78"/>
      <x:c r="E261" s="78"/>
      <x:c r="F261" s="78"/>
      <x:c r="G261" s="78"/>
      <x:c r="H261" s="78"/>
      <x:c r="I261" s="78"/>
      <x:c r="J261" s="78"/>
      <x:c r="K261" s="78"/>
      <x:c r="L261" s="78"/>
      <x:c r="M261" s="78"/>
    </x:row>
    <x:row r="262" ht="1.9500000476837158" customHeight="1">
      <x:c r="A262" s="78"/>
      <x:c r="B262" s="78"/>
      <x:c r="C262" s="78"/>
      <x:c r="D262" s="78"/>
      <x:c r="E262" s="78"/>
      <x:c r="F262" s="78"/>
      <x:c r="G262" s="78"/>
      <x:c r="H262" s="78"/>
      <x:c r="I262" s="78"/>
      <x:c r="J262" s="78"/>
      <x:c r="K262" s="78"/>
      <x:c r="L262" s="78"/>
      <x:c r="M262" s="78"/>
    </x:row>
    <x:row r="263" ht="1.9500000476837158" customHeight="1">
      <x:c r="A263" s="78"/>
      <x:c r="B263" s="78"/>
      <x:c r="C263" s="78"/>
      <x:c r="D263" s="78"/>
      <x:c r="E263" s="78"/>
      <x:c r="F263" s="78"/>
      <x:c r="G263" s="78"/>
      <x:c r="H263" s="78"/>
      <x:c r="I263" s="78"/>
      <x:c r="J263" s="78"/>
      <x:c r="K263" s="78"/>
      <x:c r="L263" s="78"/>
      <x:c r="M263" s="78"/>
    </x:row>
    <x:row r="264" ht="1.9500000476837158" customHeight="1">
      <x:c r="A264" s="78"/>
      <x:c r="B264" s="78"/>
      <x:c r="C264" s="78"/>
      <x:c r="D264" s="78"/>
      <x:c r="E264" s="78"/>
      <x:c r="F264" s="78"/>
      <x:c r="G264" s="78"/>
      <x:c r="H264" s="78"/>
      <x:c r="I264" s="78"/>
      <x:c r="J264" s="78"/>
      <x:c r="K264" s="78"/>
      <x:c r="L264" s="78"/>
      <x:c r="M264" s="78"/>
    </x:row>
    <x:row r="265" ht="1.9500000476837158" customHeight="1">
      <x:c r="A265" s="78"/>
      <x:c r="B265" s="78"/>
      <x:c r="C265" s="78"/>
      <x:c r="D265" s="78"/>
      <x:c r="E265" s="78"/>
      <x:c r="F265" s="78"/>
      <x:c r="G265" s="78"/>
      <x:c r="H265" s="78"/>
      <x:c r="I265" s="78"/>
      <x:c r="J265" s="78"/>
      <x:c r="K265" s="78"/>
      <x:c r="L265" s="78"/>
      <x:c r="M265" s="78"/>
    </x:row>
    <x:row r="266" ht="1.9500000476837158" customHeight="1">
      <x:c r="A266" s="78"/>
      <x:c r="B266" s="78"/>
      <x:c r="C266" s="78"/>
      <x:c r="D266" s="78"/>
      <x:c r="E266" s="78"/>
      <x:c r="F266" s="78"/>
      <x:c r="G266" s="78"/>
      <x:c r="H266" s="78"/>
      <x:c r="I266" s="78"/>
      <x:c r="J266" s="78"/>
      <x:c r="K266" s="78"/>
      <x:c r="L266" s="78"/>
      <x:c r="M266" s="78"/>
    </x:row>
    <x:row r="267" ht="1.9500000476837158" customHeight="1">
      <x:c r="A267" s="78"/>
      <x:c r="B267" s="78"/>
      <x:c r="C267" s="78"/>
      <x:c r="D267" s="78"/>
      <x:c r="E267" s="78"/>
      <x:c r="F267" s="78"/>
      <x:c r="G267" s="78"/>
      <x:c r="H267" s="78"/>
      <x:c r="I267" s="78"/>
      <x:c r="J267" s="78"/>
      <x:c r="K267" s="78"/>
      <x:c r="L267" s="78"/>
      <x:c r="M267" s="78"/>
    </x:row>
    <x:row r="268" ht="1.9500000476837158" customHeight="1">
      <x:c r="A268" s="78"/>
      <x:c r="B268" s="78"/>
      <x:c r="C268" s="78"/>
      <x:c r="D268" s="78"/>
      <x:c r="E268" s="78"/>
      <x:c r="F268" s="78"/>
      <x:c r="G268" s="78"/>
      <x:c r="H268" s="78"/>
      <x:c r="I268" s="78"/>
      <x:c r="J268" s="78"/>
      <x:c r="K268" s="78"/>
      <x:c r="L268" s="78"/>
      <x:c r="M268" s="78"/>
    </x:row>
    <x:row r="269" ht="1.9500000476837158" customHeight="1">
      <x:c r="A269" s="78"/>
      <x:c r="B269" s="78"/>
      <x:c r="C269" s="78"/>
      <x:c r="D269" s="78"/>
      <x:c r="E269" s="78"/>
      <x:c r="F269" s="78"/>
      <x:c r="G269" s="78"/>
      <x:c r="H269" s="78"/>
      <x:c r="I269" s="78"/>
      <x:c r="J269" s="78"/>
      <x:c r="K269" s="78"/>
      <x:c r="L269" s="78"/>
      <x:c r="M269" s="78"/>
    </x:row>
    <x:row r="270" ht="1.9500000476837158" customHeight="1">
      <x:c r="A270" s="78"/>
      <x:c r="B270" s="78"/>
      <x:c r="C270" s="78"/>
      <x:c r="D270" s="78"/>
      <x:c r="E270" s="78"/>
      <x:c r="F270" s="78"/>
      <x:c r="G270" s="78"/>
      <x:c r="H270" s="78"/>
      <x:c r="I270" s="78"/>
      <x:c r="J270" s="78"/>
      <x:c r="K270" s="78"/>
      <x:c r="L270" s="78"/>
      <x:c r="M270" s="78"/>
    </x:row>
    <x:row r="271" ht="1.9500000476837158" customHeight="1">
      <x:c r="A271" s="78"/>
      <x:c r="B271" s="78"/>
      <x:c r="C271" s="78"/>
      <x:c r="D271" s="78"/>
      <x:c r="E271" s="78"/>
      <x:c r="F271" s="78"/>
      <x:c r="G271" s="78"/>
      <x:c r="H271" s="78"/>
      <x:c r="I271" s="78"/>
      <x:c r="J271" s="78"/>
      <x:c r="K271" s="78"/>
      <x:c r="L271" s="78"/>
      <x:c r="M271" s="78"/>
    </x:row>
    <x:row r="272" ht="1.9500000476837158" customHeight="1">
      <x:c r="A272" s="78"/>
      <x:c r="B272" s="78"/>
      <x:c r="C272" s="78"/>
      <x:c r="D272" s="78"/>
      <x:c r="E272" s="78"/>
      <x:c r="F272" s="78"/>
      <x:c r="G272" s="78"/>
      <x:c r="H272" s="78"/>
      <x:c r="I272" s="78"/>
      <x:c r="J272" s="78"/>
      <x:c r="K272" s="78"/>
      <x:c r="L272" s="78"/>
      <x:c r="M272" s="78"/>
    </x:row>
    <x:row r="273" ht="1.9500000476837158" customHeight="1">
      <x:c r="A273" s="78"/>
      <x:c r="B273" s="78"/>
      <x:c r="C273" s="78"/>
      <x:c r="D273" s="78"/>
      <x:c r="E273" s="78"/>
      <x:c r="F273" s="78"/>
      <x:c r="G273" s="78"/>
      <x:c r="H273" s="78"/>
      <x:c r="I273" s="78"/>
      <x:c r="J273" s="78"/>
      <x:c r="K273" s="78"/>
      <x:c r="L273" s="78"/>
      <x:c r="M273" s="78"/>
    </x:row>
    <x:row r="274" ht="1.9500000476837158" customHeight="1">
      <x:c r="A274" s="78"/>
      <x:c r="B274" s="78"/>
      <x:c r="C274" s="78"/>
      <x:c r="D274" s="78"/>
      <x:c r="E274" s="78"/>
      <x:c r="F274" s="78"/>
      <x:c r="G274" s="78"/>
      <x:c r="H274" s="78"/>
      <x:c r="I274" s="78"/>
      <x:c r="J274" s="78"/>
      <x:c r="K274" s="78"/>
      <x:c r="L274" s="78"/>
      <x:c r="M274" s="78"/>
    </x:row>
    <x:row r="275" ht="1.9500000476837158" customHeight="1">
      <x:c r="A275" s="78"/>
      <x:c r="B275" s="78"/>
      <x:c r="C275" s="78"/>
      <x:c r="D275" s="78"/>
      <x:c r="E275" s="78"/>
      <x:c r="F275" s="78"/>
      <x:c r="G275" s="78"/>
      <x:c r="H275" s="78"/>
      <x:c r="I275" s="78"/>
      <x:c r="J275" s="78"/>
      <x:c r="K275" s="78"/>
      <x:c r="L275" s="78"/>
      <x:c r="M275" s="78"/>
    </x:row>
    <x:row r="276" ht="1.9500000476837158" customHeight="1">
      <x:c r="A276" s="78"/>
      <x:c r="B276" s="78"/>
      <x:c r="C276" s="78"/>
      <x:c r="D276" s="78"/>
      <x:c r="E276" s="78"/>
      <x:c r="F276" s="78"/>
      <x:c r="G276" s="78"/>
      <x:c r="H276" s="78"/>
      <x:c r="I276" s="78"/>
      <x:c r="J276" s="78"/>
      <x:c r="K276" s="78"/>
      <x:c r="L276" s="78"/>
      <x:c r="M276" s="78"/>
    </x:row>
    <x:row r="277" ht="1.9500000476837158" customHeight="1">
      <x:c r="A277" s="78"/>
      <x:c r="B277" s="78"/>
      <x:c r="C277" s="78"/>
      <x:c r="D277" s="78"/>
      <x:c r="E277" s="78"/>
      <x:c r="F277" s="78"/>
      <x:c r="G277" s="78"/>
      <x:c r="H277" s="78"/>
      <x:c r="I277" s="78"/>
      <x:c r="J277" s="78"/>
      <x:c r="K277" s="78"/>
      <x:c r="L277" s="78"/>
      <x:c r="M277" s="78"/>
    </x:row>
    <x:row r="278" ht="1.9500000476837158" customHeight="1">
      <x:c r="A278" s="78"/>
      <x:c r="B278" s="78"/>
      <x:c r="C278" s="78"/>
      <x:c r="D278" s="78"/>
      <x:c r="E278" s="78"/>
      <x:c r="F278" s="78"/>
      <x:c r="G278" s="78"/>
      <x:c r="H278" s="78"/>
      <x:c r="I278" s="78"/>
      <x:c r="J278" s="78"/>
      <x:c r="K278" s="78"/>
      <x:c r="L278" s="78"/>
      <x:c r="M278" s="78"/>
    </x:row>
    <x:row r="279" ht="1.9500000476837158" customHeight="1">
      <x:c r="A279" s="78"/>
      <x:c r="B279" s="78"/>
      <x:c r="C279" s="78"/>
      <x:c r="D279" s="78"/>
      <x:c r="E279" s="78"/>
      <x:c r="F279" s="78"/>
      <x:c r="G279" s="78"/>
      <x:c r="H279" s="78"/>
      <x:c r="I279" s="78"/>
      <x:c r="J279" s="78"/>
      <x:c r="K279" s="78"/>
      <x:c r="L279" s="78"/>
      <x:c r="M279" s="78"/>
    </x:row>
    <x:row r="280" ht="1.9500000476837158" customHeight="1">
      <x:c r="A280" s="78"/>
      <x:c r="B280" s="78"/>
      <x:c r="C280" s="78"/>
      <x:c r="D280" s="78"/>
      <x:c r="E280" s="78"/>
      <x:c r="F280" s="78"/>
      <x:c r="G280" s="78"/>
      <x:c r="H280" s="78"/>
      <x:c r="I280" s="78"/>
      <x:c r="J280" s="78"/>
      <x:c r="K280" s="78"/>
      <x:c r="L280" s="78"/>
      <x:c r="M280" s="78"/>
    </x:row>
    <x:row r="281" ht="1.9500000476837158" customHeight="1">
      <x:c r="A281" s="78"/>
      <x:c r="B281" s="78"/>
      <x:c r="C281" s="78"/>
      <x:c r="D281" s="78"/>
      <x:c r="E281" s="78"/>
      <x:c r="F281" s="78"/>
      <x:c r="G281" s="78"/>
      <x:c r="H281" s="78"/>
      <x:c r="I281" s="78"/>
      <x:c r="J281" s="78"/>
      <x:c r="K281" s="78"/>
      <x:c r="L281" s="78"/>
      <x:c r="M281" s="78"/>
    </x:row>
    <x:row r="282" ht="1.9500000476837158" customHeight="1">
      <x:c r="A282" s="78"/>
      <x:c r="B282" s="78"/>
      <x:c r="C282" s="78"/>
      <x:c r="D282" s="78"/>
      <x:c r="E282" s="78"/>
      <x:c r="F282" s="78"/>
      <x:c r="G282" s="78"/>
      <x:c r="H282" s="78"/>
      <x:c r="I282" s="78"/>
      <x:c r="J282" s="78"/>
      <x:c r="K282" s="78"/>
      <x:c r="L282" s="78"/>
      <x:c r="M282" s="78"/>
    </x:row>
    <x:row r="283" ht="1.9500000476837158" customHeight="1">
      <x:c r="A283" s="78"/>
      <x:c r="B283" s="78"/>
      <x:c r="C283" s="78"/>
      <x:c r="D283" s="78"/>
      <x:c r="E283" s="78"/>
      <x:c r="F283" s="78"/>
      <x:c r="G283" s="78"/>
      <x:c r="H283" s="78"/>
      <x:c r="I283" s="78"/>
      <x:c r="J283" s="78"/>
      <x:c r="K283" s="78"/>
      <x:c r="L283" s="78"/>
      <x:c r="M283" s="78"/>
    </x:row>
    <x:row r="284" ht="1.9500000476837158" customHeight="1">
      <x:c r="A284" s="78"/>
      <x:c r="B284" s="78"/>
      <x:c r="C284" s="78"/>
      <x:c r="D284" s="78"/>
      <x:c r="E284" s="78"/>
      <x:c r="F284" s="78"/>
      <x:c r="G284" s="78"/>
      <x:c r="H284" s="78"/>
      <x:c r="I284" s="78"/>
      <x:c r="J284" s="78"/>
      <x:c r="K284" s="78"/>
      <x:c r="L284" s="78"/>
      <x:c r="M284" s="78"/>
    </x:row>
    <x:row r="285" ht="1.9500000476837158" customHeight="1">
      <x:c r="A285" s="78"/>
      <x:c r="B285" s="78"/>
      <x:c r="C285" s="78"/>
      <x:c r="D285" s="78"/>
      <x:c r="E285" s="78"/>
      <x:c r="F285" s="78"/>
      <x:c r="G285" s="78"/>
      <x:c r="H285" s="78"/>
      <x:c r="I285" s="78"/>
      <x:c r="J285" s="78"/>
      <x:c r="K285" s="78"/>
      <x:c r="L285" s="78"/>
      <x:c r="M285" s="78"/>
    </x:row>
    <x:row r="286" ht="1.9500000476837158" customHeight="1">
      <x:c r="A286" s="78"/>
      <x:c r="B286" s="78"/>
      <x:c r="C286" s="78"/>
      <x:c r="D286" s="78"/>
      <x:c r="E286" s="78"/>
      <x:c r="F286" s="78"/>
      <x:c r="G286" s="78"/>
      <x:c r="H286" s="78"/>
      <x:c r="I286" s="78"/>
      <x:c r="J286" s="78"/>
      <x:c r="K286" s="78"/>
      <x:c r="L286" s="78"/>
      <x:c r="M286" s="78"/>
    </x:row>
    <x:row r="287" ht="1.9500000476837158" customHeight="1">
      <x:c r="A287" s="78"/>
      <x:c r="B287" s="78"/>
      <x:c r="C287" s="78"/>
      <x:c r="D287" s="78"/>
      <x:c r="E287" s="78"/>
      <x:c r="F287" s="78"/>
      <x:c r="G287" s="78"/>
      <x:c r="H287" s="78"/>
      <x:c r="I287" s="78"/>
      <x:c r="J287" s="78"/>
      <x:c r="K287" s="78"/>
      <x:c r="L287" s="78"/>
      <x:c r="M287" s="78"/>
    </x:row>
    <x:row r="288" ht="1.9500000476837158" customHeight="1">
      <x:c r="A288" s="78"/>
      <x:c r="B288" s="78"/>
      <x:c r="C288" s="78"/>
      <x:c r="D288" s="78"/>
      <x:c r="E288" s="78"/>
      <x:c r="F288" s="78"/>
      <x:c r="G288" s="78"/>
      <x:c r="H288" s="78"/>
      <x:c r="I288" s="78"/>
      <x:c r="J288" s="78"/>
      <x:c r="K288" s="78"/>
      <x:c r="L288" s="78"/>
      <x:c r="M288" s="78"/>
    </x:row>
    <x:row r="289" ht="1.9500000476837158" customHeight="1">
      <x:c r="A289" s="78"/>
      <x:c r="B289" s="78"/>
      <x:c r="C289" s="78"/>
      <x:c r="D289" s="78"/>
      <x:c r="E289" s="78"/>
      <x:c r="F289" s="78"/>
      <x:c r="G289" s="78"/>
      <x:c r="H289" s="78"/>
      <x:c r="I289" s="78"/>
      <x:c r="J289" s="78"/>
      <x:c r="K289" s="78"/>
      <x:c r="L289" s="78"/>
      <x:c r="M289" s="78"/>
    </x:row>
    <x:row r="290" ht="1.9500000476837158" customHeight="1">
      <x:c r="A290" s="78"/>
      <x:c r="B290" s="78"/>
      <x:c r="C290" s="78"/>
      <x:c r="D290" s="78"/>
      <x:c r="E290" s="78"/>
      <x:c r="F290" s="78"/>
      <x:c r="G290" s="78"/>
      <x:c r="H290" s="78"/>
      <x:c r="I290" s="78"/>
      <x:c r="J290" s="78"/>
      <x:c r="K290" s="78"/>
      <x:c r="L290" s="78"/>
      <x:c r="M290" s="78"/>
    </x:row>
    <x:row r="291" ht="1.9500000476837158" customHeight="1">
      <x:c r="A291" s="78"/>
      <x:c r="B291" s="78"/>
      <x:c r="C291" s="78"/>
      <x:c r="D291" s="78"/>
      <x:c r="E291" s="78"/>
      <x:c r="F291" s="78"/>
      <x:c r="G291" s="78"/>
      <x:c r="H291" s="78"/>
      <x:c r="I291" s="78"/>
      <x:c r="J291" s="78"/>
      <x:c r="K291" s="78"/>
      <x:c r="L291" s="78"/>
      <x:c r="M291" s="78"/>
    </x:row>
    <x:row r="292" ht="1.9500000476837158" customHeight="1">
      <x:c r="A292" s="78"/>
      <x:c r="B292" s="78"/>
      <x:c r="C292" s="78"/>
      <x:c r="D292" s="78"/>
      <x:c r="E292" s="78"/>
      <x:c r="F292" s="78"/>
      <x:c r="G292" s="78"/>
      <x:c r="H292" s="78"/>
      <x:c r="I292" s="78"/>
      <x:c r="J292" s="78"/>
      <x:c r="K292" s="78"/>
      <x:c r="L292" s="78"/>
      <x:c r="M292" s="78"/>
    </x:row>
    <x:row r="293" ht="1.9500000476837158" customHeight="1">
      <x:c r="A293" s="78"/>
      <x:c r="B293" s="78"/>
      <x:c r="C293" s="78"/>
      <x:c r="D293" s="78"/>
      <x:c r="E293" s="78"/>
      <x:c r="F293" s="78"/>
      <x:c r="G293" s="78"/>
      <x:c r="H293" s="78"/>
      <x:c r="I293" s="78"/>
      <x:c r="J293" s="78"/>
      <x:c r="K293" s="78"/>
      <x:c r="L293" s="78"/>
      <x:c r="M293" s="78"/>
    </x:row>
    <x:row r="294" ht="1.9500000476837158" customHeight="1">
      <x:c r="A294" s="78"/>
      <x:c r="B294" s="78"/>
      <x:c r="C294" s="78"/>
      <x:c r="D294" s="78"/>
      <x:c r="E294" s="78"/>
      <x:c r="F294" s="78"/>
      <x:c r="G294" s="78"/>
      <x:c r="H294" s="78"/>
      <x:c r="I294" s="78"/>
      <x:c r="J294" s="78"/>
      <x:c r="K294" s="78"/>
      <x:c r="L294" s="78"/>
      <x:c r="M294" s="78"/>
    </x:row>
    <x:row r="295" ht="1.9500000476837158" customHeight="1">
      <x:c r="A295" s="78"/>
      <x:c r="B295" s="78"/>
      <x:c r="C295" s="78"/>
      <x:c r="D295" s="78"/>
      <x:c r="E295" s="78"/>
      <x:c r="F295" s="78"/>
      <x:c r="G295" s="78"/>
      <x:c r="H295" s="78"/>
      <x:c r="I295" s="78"/>
      <x:c r="J295" s="78"/>
      <x:c r="K295" s="78"/>
      <x:c r="L295" s="78"/>
      <x:c r="M295" s="78"/>
    </x:row>
    <x:row r="296" ht="1.9500000476837158" customHeight="1">
      <x:c r="A296" s="78"/>
      <x:c r="B296" s="78"/>
      <x:c r="C296" s="78"/>
      <x:c r="D296" s="78"/>
      <x:c r="E296" s="78"/>
      <x:c r="F296" s="78"/>
      <x:c r="G296" s="78"/>
      <x:c r="H296" s="78"/>
      <x:c r="I296" s="78"/>
      <x:c r="J296" s="78"/>
      <x:c r="K296" s="78"/>
      <x:c r="L296" s="78"/>
      <x:c r="M296" s="78"/>
    </x:row>
    <x:row r="297" ht="1.9500000476837158" customHeight="1">
      <x:c r="A297" s="78"/>
      <x:c r="B297" s="78"/>
      <x:c r="C297" s="78"/>
      <x:c r="D297" s="78"/>
      <x:c r="E297" s="78"/>
      <x:c r="F297" s="78"/>
      <x:c r="G297" s="78"/>
      <x:c r="H297" s="78"/>
      <x:c r="I297" s="78"/>
      <x:c r="J297" s="78"/>
      <x:c r="K297" s="78"/>
      <x:c r="L297" s="78"/>
      <x:c r="M297" s="78"/>
    </x:row>
    <x:row r="298" ht="1.9500000476837158" customHeight="1">
      <x:c r="A298" s="78"/>
      <x:c r="B298" s="78"/>
      <x:c r="C298" s="78"/>
      <x:c r="D298" s="78"/>
      <x:c r="E298" s="78"/>
      <x:c r="F298" s="78"/>
      <x:c r="G298" s="78"/>
      <x:c r="H298" s="78"/>
      <x:c r="I298" s="78"/>
      <x:c r="J298" s="78"/>
      <x:c r="K298" s="78"/>
      <x:c r="L298" s="78"/>
      <x:c r="M298" s="78"/>
    </x:row>
    <x:row r="299" ht="1.9500000476837158" customHeight="1">
      <x:c r="A299" s="78"/>
      <x:c r="B299" s="78"/>
      <x:c r="C299" s="78"/>
      <x:c r="D299" s="78"/>
      <x:c r="E299" s="78"/>
      <x:c r="F299" s="78"/>
      <x:c r="G299" s="78"/>
      <x:c r="H299" s="78"/>
      <x:c r="I299" s="78"/>
      <x:c r="J299" s="78"/>
      <x:c r="K299" s="78"/>
      <x:c r="L299" s="78"/>
      <x:c r="M299" s="78"/>
    </x:row>
    <x:row r="300" ht="1.9500000476837158" customHeight="1">
      <x:c r="A300" s="78"/>
      <x:c r="B300" s="78"/>
      <x:c r="C300" s="78"/>
      <x:c r="D300" s="78"/>
      <x:c r="E300" s="78"/>
      <x:c r="F300" s="78"/>
      <x:c r="G300" s="78"/>
      <x:c r="H300" s="78"/>
      <x:c r="I300" s="78"/>
      <x:c r="J300" s="78"/>
      <x:c r="K300" s="78"/>
      <x:c r="L300" s="78"/>
      <x:c r="M300" s="78"/>
    </x:row>
    <x:row r="301" ht="1.9500000476837158" customHeight="1">
      <x:c r="A301" s="78"/>
      <x:c r="B301" s="78"/>
      <x:c r="C301" s="78"/>
      <x:c r="D301" s="78"/>
      <x:c r="E301" s="78"/>
      <x:c r="F301" s="78"/>
      <x:c r="G301" s="78"/>
      <x:c r="H301" s="78"/>
      <x:c r="I301" s="78"/>
      <x:c r="J301" s="78"/>
      <x:c r="K301" s="78"/>
      <x:c r="L301" s="78"/>
      <x:c r="M301" s="78"/>
    </x:row>
    <x:row r="302" ht="1.9500000476837158" customHeight="1">
      <x:c r="A302" s="78"/>
      <x:c r="B302" s="78"/>
      <x:c r="C302" s="78"/>
      <x:c r="D302" s="78"/>
      <x:c r="E302" s="78"/>
      <x:c r="F302" s="78"/>
      <x:c r="G302" s="78"/>
      <x:c r="H302" s="78"/>
      <x:c r="I302" s="78"/>
      <x:c r="J302" s="78"/>
      <x:c r="K302" s="78"/>
      <x:c r="L302" s="78"/>
      <x:c r="M302" s="78"/>
    </x:row>
    <x:row r="303" ht="1.9500000476837158" customHeight="1">
      <x:c r="A303" s="78"/>
      <x:c r="B303" s="78"/>
      <x:c r="C303" s="78"/>
      <x:c r="D303" s="78"/>
      <x:c r="E303" s="78"/>
      <x:c r="F303" s="78"/>
      <x:c r="G303" s="78"/>
      <x:c r="H303" s="78"/>
      <x:c r="I303" s="78"/>
      <x:c r="J303" s="78"/>
      <x:c r="K303" s="78"/>
      <x:c r="L303" s="78"/>
      <x:c r="M303" s="78"/>
    </x:row>
    <x:row r="304" ht="1.9500000476837158" customHeight="1">
      <x:c r="A304" s="78"/>
      <x:c r="B304" s="78"/>
      <x:c r="C304" s="78"/>
      <x:c r="D304" s="78"/>
      <x:c r="E304" s="78"/>
      <x:c r="F304" s="78"/>
      <x:c r="G304" s="78"/>
      <x:c r="H304" s="78"/>
      <x:c r="I304" s="78"/>
      <x:c r="J304" s="78"/>
      <x:c r="K304" s="78"/>
      <x:c r="L304" s="78"/>
      <x:c r="M304" s="78"/>
    </x:row>
    <x:row r="305" ht="1.9500000476837158" customHeight="1">
      <x:c r="A305" s="78"/>
      <x:c r="B305" s="78"/>
      <x:c r="C305" s="78"/>
      <x:c r="D305" s="78"/>
      <x:c r="E305" s="78"/>
      <x:c r="F305" s="78"/>
      <x:c r="G305" s="78"/>
      <x:c r="H305" s="78"/>
      <x:c r="I305" s="78"/>
      <x:c r="J305" s="78"/>
      <x:c r="K305" s="78"/>
      <x:c r="L305" s="78"/>
      <x:c r="M305" s="78"/>
    </x:row>
    <x:row r="306" ht="1.9500000476837158" customHeight="1">
      <x:c r="A306" s="78"/>
      <x:c r="B306" s="78"/>
      <x:c r="C306" s="78"/>
      <x:c r="D306" s="78"/>
      <x:c r="E306" s="78"/>
      <x:c r="F306" s="78"/>
      <x:c r="G306" s="78"/>
      <x:c r="H306" s="78"/>
      <x:c r="I306" s="78"/>
      <x:c r="J306" s="78"/>
      <x:c r="K306" s="78"/>
      <x:c r="L306" s="78"/>
      <x:c r="M306" s="78"/>
    </x:row>
    <x:row r="307" ht="1.9500000476837158" customHeight="1">
      <x:c r="A307" s="78"/>
      <x:c r="B307" s="78"/>
      <x:c r="C307" s="78"/>
      <x:c r="D307" s="78"/>
      <x:c r="E307" s="78"/>
      <x:c r="F307" s="78"/>
      <x:c r="G307" s="78"/>
      <x:c r="H307" s="78"/>
      <x:c r="I307" s="78"/>
      <x:c r="J307" s="78"/>
      <x:c r="K307" s="78"/>
      <x:c r="L307" s="78"/>
      <x:c r="M307" s="78"/>
    </x:row>
    <x:row r="308" ht="1.9500000476837158" customHeight="1">
      <x:c r="A308" s="78"/>
      <x:c r="B308" s="78"/>
      <x:c r="C308" s="78"/>
      <x:c r="D308" s="78"/>
      <x:c r="E308" s="78"/>
      <x:c r="F308" s="78"/>
      <x:c r="G308" s="78"/>
      <x:c r="H308" s="78"/>
      <x:c r="I308" s="78"/>
      <x:c r="J308" s="78"/>
      <x:c r="K308" s="78"/>
      <x:c r="L308" s="78"/>
      <x:c r="M308" s="78"/>
    </x:row>
    <x:row r="309" ht="1.9500000476837158" customHeight="1">
      <x:c r="A309" s="78"/>
      <x:c r="B309" s="78"/>
      <x:c r="C309" s="78"/>
      <x:c r="D309" s="78"/>
      <x:c r="E309" s="78"/>
      <x:c r="F309" s="78"/>
      <x:c r="G309" s="78"/>
      <x:c r="H309" s="78"/>
      <x:c r="I309" s="78"/>
      <x:c r="J309" s="78"/>
      <x:c r="K309" s="78"/>
      <x:c r="L309" s="78"/>
      <x:c r="M309" s="78"/>
    </x:row>
    <x:row r="310" ht="1.9500000476837158" customHeight="1">
      <x:c r="A310" s="78"/>
      <x:c r="B310" s="78"/>
      <x:c r="C310" s="78"/>
      <x:c r="D310" s="78"/>
      <x:c r="E310" s="78"/>
      <x:c r="F310" s="78"/>
      <x:c r="G310" s="78"/>
      <x:c r="H310" s="78"/>
      <x:c r="I310" s="78"/>
      <x:c r="J310" s="78"/>
      <x:c r="K310" s="78"/>
      <x:c r="L310" s="78"/>
      <x:c r="M310" s="78"/>
    </x:row>
    <x:row r="311" ht="1.9500000476837158" customHeight="1">
      <x:c r="A311" s="78"/>
      <x:c r="B311" s="78"/>
      <x:c r="C311" s="78"/>
      <x:c r="D311" s="78"/>
      <x:c r="E311" s="78"/>
      <x:c r="F311" s="78"/>
      <x:c r="G311" s="78"/>
      <x:c r="H311" s="78"/>
      <x:c r="I311" s="78"/>
      <x:c r="J311" s="78"/>
      <x:c r="K311" s="78"/>
      <x:c r="L311" s="78"/>
      <x:c r="M311" s="78"/>
    </x:row>
    <x:row r="312" ht="1.9500000476837158" customHeight="1">
      <x:c r="A312" s="78"/>
      <x:c r="B312" s="78"/>
      <x:c r="C312" s="78"/>
      <x:c r="D312" s="78"/>
      <x:c r="E312" s="78"/>
      <x:c r="F312" s="78"/>
      <x:c r="G312" s="78"/>
      <x:c r="H312" s="78"/>
      <x:c r="I312" s="78"/>
      <x:c r="J312" s="78"/>
      <x:c r="K312" s="78"/>
      <x:c r="L312" s="78"/>
      <x:c r="M312" s="78"/>
    </x:row>
    <x:row r="313" ht="1.9500000476837158" customHeight="1">
      <x:c r="A313" s="78"/>
      <x:c r="B313" s="78"/>
      <x:c r="C313" s="78"/>
      <x:c r="D313" s="78"/>
      <x:c r="E313" s="78"/>
      <x:c r="F313" s="78"/>
      <x:c r="G313" s="78"/>
      <x:c r="H313" s="78"/>
      <x:c r="I313" s="78"/>
      <x:c r="J313" s="78"/>
      <x:c r="K313" s="78"/>
      <x:c r="L313" s="78"/>
      <x:c r="M313" s="78"/>
    </x:row>
    <x:row r="314" ht="1.9500000476837158" customHeight="1">
      <x:c r="A314" s="78"/>
      <x:c r="B314" s="78"/>
      <x:c r="C314" s="78"/>
      <x:c r="D314" s="78"/>
      <x:c r="E314" s="78"/>
      <x:c r="F314" s="78"/>
      <x:c r="G314" s="78"/>
      <x:c r="H314" s="78"/>
      <x:c r="I314" s="78"/>
      <x:c r="J314" s="78"/>
      <x:c r="K314" s="78"/>
      <x:c r="L314" s="78"/>
      <x:c r="M314" s="78"/>
    </x:row>
    <x:row r="315" ht="1.9500000476837158" customHeight="1">
      <x:c r="A315" s="78"/>
      <x:c r="B315" s="78"/>
      <x:c r="C315" s="78"/>
      <x:c r="D315" s="78"/>
      <x:c r="E315" s="78"/>
      <x:c r="F315" s="78"/>
      <x:c r="G315" s="78"/>
      <x:c r="H315" s="78"/>
      <x:c r="I315" s="78"/>
      <x:c r="J315" s="78"/>
      <x:c r="K315" s="78"/>
      <x:c r="L315" s="78"/>
      <x:c r="M315" s="78"/>
    </x:row>
    <x:row r="316" ht="1.9500000476837158" customHeight="1">
      <x:c r="A316" s="78"/>
      <x:c r="B316" s="78"/>
      <x:c r="C316" s="78"/>
      <x:c r="D316" s="78"/>
      <x:c r="E316" s="78"/>
      <x:c r="F316" s="78"/>
      <x:c r="G316" s="78"/>
      <x:c r="H316" s="78"/>
      <x:c r="I316" s="78"/>
      <x:c r="J316" s="78"/>
      <x:c r="K316" s="78"/>
      <x:c r="L316" s="78"/>
      <x:c r="M316" s="78"/>
    </x:row>
    <x:row r="317" ht="1.9500000476837158" customHeight="1">
      <x:c r="A317" s="78"/>
      <x:c r="B317" s="78"/>
      <x:c r="C317" s="78"/>
      <x:c r="D317" s="78"/>
      <x:c r="E317" s="78"/>
      <x:c r="F317" s="78"/>
      <x:c r="G317" s="78"/>
      <x:c r="H317" s="78"/>
      <x:c r="I317" s="78"/>
      <x:c r="J317" s="78"/>
      <x:c r="K317" s="78"/>
      <x:c r="L317" s="78"/>
      <x:c r="M317" s="78"/>
    </x:row>
    <x:row r="318" ht="1.9500000476837158" customHeight="1">
      <x:c r="A318" s="78"/>
      <x:c r="B318" s="78"/>
      <x:c r="C318" s="78"/>
      <x:c r="D318" s="78"/>
      <x:c r="E318" s="78"/>
      <x:c r="F318" s="78"/>
      <x:c r="G318" s="78"/>
      <x:c r="H318" s="78"/>
      <x:c r="I318" s="78"/>
      <x:c r="J318" s="78"/>
      <x:c r="K318" s="78"/>
      <x:c r="L318" s="78"/>
      <x:c r="M318" s="78"/>
    </x:row>
    <x:row r="319" ht="1.9500000476837158" customHeight="1">
      <x:c r="A319" s="78"/>
      <x:c r="B319" s="78"/>
      <x:c r="C319" s="78"/>
      <x:c r="D319" s="78"/>
      <x:c r="E319" s="78"/>
      <x:c r="F319" s="78"/>
      <x:c r="G319" s="78"/>
      <x:c r="H319" s="78"/>
      <x:c r="I319" s="78"/>
      <x:c r="J319" s="78"/>
      <x:c r="K319" s="78"/>
      <x:c r="L319" s="78"/>
      <x:c r="M319" s="78"/>
    </x:row>
    <x:row r="320" ht="1.9500000476837158" customHeight="1">
      <x:c r="A320" s="78"/>
      <x:c r="B320" s="78"/>
      <x:c r="C320" s="78"/>
      <x:c r="D320" s="78"/>
      <x:c r="E320" s="78"/>
      <x:c r="F320" s="78"/>
      <x:c r="G320" s="78"/>
      <x:c r="H320" s="78"/>
      <x:c r="I320" s="78"/>
      <x:c r="J320" s="78"/>
      <x:c r="K320" s="78"/>
      <x:c r="L320" s="78"/>
      <x:c r="M320" s="78"/>
    </x:row>
    <x:row r="321" ht="1.9500000476837158" customHeight="1">
      <x:c r="A321" s="78"/>
      <x:c r="B321" s="78"/>
      <x:c r="C321" s="78"/>
      <x:c r="D321" s="78"/>
      <x:c r="E321" s="78"/>
      <x:c r="F321" s="78"/>
      <x:c r="G321" s="78"/>
      <x:c r="H321" s="78"/>
      <x:c r="I321" s="78"/>
      <x:c r="J321" s="78"/>
      <x:c r="K321" s="78"/>
      <x:c r="L321" s="78"/>
      <x:c r="M321" s="78"/>
    </x:row>
    <x:row r="322" ht="1.9500000476837158" customHeight="1">
      <x:c r="A322" s="78"/>
      <x:c r="B322" s="78"/>
      <x:c r="C322" s="78"/>
      <x:c r="D322" s="78"/>
      <x:c r="E322" s="78"/>
      <x:c r="F322" s="78"/>
      <x:c r="G322" s="78"/>
      <x:c r="H322" s="78"/>
      <x:c r="I322" s="78"/>
      <x:c r="J322" s="78"/>
      <x:c r="K322" s="78"/>
      <x:c r="L322" s="78"/>
      <x:c r="M322" s="78"/>
    </x:row>
    <x:row r="323" ht="1.9500000476837158" customHeight="1">
      <x:c r="A323" s="78"/>
      <x:c r="B323" s="78"/>
      <x:c r="C323" s="78"/>
      <x:c r="D323" s="78"/>
      <x:c r="E323" s="78"/>
      <x:c r="F323" s="78"/>
      <x:c r="G323" s="78"/>
      <x:c r="H323" s="78"/>
      <x:c r="I323" s="78"/>
      <x:c r="J323" s="78"/>
      <x:c r="K323" s="78"/>
      <x:c r="L323" s="78"/>
      <x:c r="M323" s="78"/>
    </x:row>
    <x:row r="324" ht="1.9500000476837158" customHeight="1">
      <x:c r="A324" s="78"/>
      <x:c r="B324" s="78"/>
      <x:c r="C324" s="78"/>
      <x:c r="D324" s="78"/>
      <x:c r="E324" s="78"/>
      <x:c r="F324" s="78"/>
      <x:c r="G324" s="78"/>
      <x:c r="H324" s="78"/>
      <x:c r="I324" s="78"/>
      <x:c r="J324" s="78"/>
      <x:c r="K324" s="78"/>
      <x:c r="L324" s="78"/>
      <x:c r="M324" s="78"/>
    </x:row>
    <x:row r="325" ht="1.9500000476837158" customHeight="1">
      <x:c r="A325" s="78"/>
      <x:c r="B325" s="78"/>
      <x:c r="C325" s="78"/>
      <x:c r="D325" s="78"/>
      <x:c r="E325" s="78"/>
      <x:c r="F325" s="78"/>
      <x:c r="G325" s="78"/>
      <x:c r="H325" s="78"/>
      <x:c r="I325" s="78"/>
      <x:c r="J325" s="78"/>
      <x:c r="K325" s="78"/>
      <x:c r="L325" s="78"/>
      <x:c r="M325" s="78"/>
    </x:row>
    <x:row r="326" ht="1.9500000476837158" customHeight="1">
      <x:c r="A326" s="78"/>
      <x:c r="B326" s="78"/>
      <x:c r="C326" s="78"/>
      <x:c r="D326" s="78"/>
      <x:c r="E326" s="78"/>
      <x:c r="F326" s="78"/>
      <x:c r="G326" s="78"/>
      <x:c r="H326" s="78"/>
      <x:c r="I326" s="78"/>
      <x:c r="J326" s="78"/>
      <x:c r="K326" s="78"/>
      <x:c r="L326" s="78"/>
      <x:c r="M326" s="78"/>
    </x:row>
    <x:row r="327" ht="1.9500000476837158" customHeight="1">
      <x:c r="A327" s="78"/>
      <x:c r="B327" s="78"/>
      <x:c r="C327" s="78"/>
      <x:c r="D327" s="78"/>
      <x:c r="E327" s="78"/>
      <x:c r="F327" s="78"/>
      <x:c r="G327" s="78"/>
      <x:c r="H327" s="78"/>
      <x:c r="I327" s="78"/>
      <x:c r="J327" s="78"/>
      <x:c r="K327" s="78"/>
      <x:c r="L327" s="78"/>
      <x:c r="M327" s="78"/>
    </x:row>
    <x:row r="328" ht="1.9500000476837158" customHeight="1">
      <x:c r="A328" s="78"/>
      <x:c r="B328" s="78"/>
      <x:c r="C328" s="78"/>
      <x:c r="D328" s="78"/>
      <x:c r="E328" s="78"/>
      <x:c r="F328" s="78"/>
      <x:c r="G328" s="78"/>
      <x:c r="H328" s="78"/>
      <x:c r="I328" s="78"/>
      <x:c r="J328" s="78"/>
      <x:c r="K328" s="78"/>
      <x:c r="L328" s="78"/>
      <x:c r="M328" s="78"/>
    </x:row>
    <x:row r="329" ht="1.9500000476837158" customHeight="1">
      <x:c r="A329" s="78"/>
      <x:c r="B329" s="78"/>
      <x:c r="C329" s="78"/>
      <x:c r="D329" s="78"/>
      <x:c r="E329" s="78"/>
      <x:c r="F329" s="78"/>
      <x:c r="G329" s="78"/>
      <x:c r="H329" s="78"/>
      <x:c r="I329" s="78"/>
      <x:c r="J329" s="78"/>
      <x:c r="K329" s="78"/>
      <x:c r="L329" s="78"/>
      <x:c r="M329" s="78"/>
    </x:row>
    <x:row r="330" ht="1.9500000476837158" customHeight="1">
      <x:c r="A330" s="78"/>
      <x:c r="B330" s="78"/>
      <x:c r="C330" s="78"/>
      <x:c r="D330" s="78"/>
      <x:c r="E330" s="78"/>
      <x:c r="F330" s="78"/>
      <x:c r="G330" s="78"/>
      <x:c r="H330" s="78"/>
      <x:c r="I330" s="78"/>
      <x:c r="J330" s="78"/>
      <x:c r="K330" s="78"/>
      <x:c r="L330" s="78"/>
      <x:c r="M330" s="78"/>
    </x:row>
    <x:row r="331" ht="1.9500000476837158" customHeight="1">
      <x:c r="A331" s="78"/>
      <x:c r="B331" s="78"/>
      <x:c r="C331" s="78"/>
      <x:c r="D331" s="78"/>
      <x:c r="E331" s="78"/>
      <x:c r="F331" s="78"/>
      <x:c r="G331" s="78"/>
      <x:c r="H331" s="78"/>
      <x:c r="I331" s="78"/>
      <x:c r="J331" s="78"/>
      <x:c r="K331" s="78"/>
      <x:c r="L331" s="78"/>
      <x:c r="M331" s="78"/>
    </x:row>
    <x:row r="332" ht="1.9500000476837158" customHeight="1">
      <x:c r="A332" s="78"/>
      <x:c r="B332" s="78"/>
      <x:c r="C332" s="78"/>
      <x:c r="D332" s="78"/>
      <x:c r="E332" s="78"/>
      <x:c r="F332" s="78"/>
      <x:c r="G332" s="78"/>
      <x:c r="H332" s="78"/>
      <x:c r="I332" s="78"/>
      <x:c r="J332" s="78"/>
      <x:c r="K332" s="78"/>
      <x:c r="L332" s="78"/>
      <x:c r="M332" s="78"/>
    </x:row>
    <x:row r="333" ht="1.9500000476837158" customHeight="1">
      <x:c r="A333" s="78"/>
      <x:c r="B333" s="78"/>
      <x:c r="C333" s="78"/>
      <x:c r="D333" s="78"/>
      <x:c r="E333" s="78"/>
      <x:c r="F333" s="78"/>
      <x:c r="G333" s="78"/>
      <x:c r="H333" s="78"/>
      <x:c r="I333" s="78"/>
      <x:c r="J333" s="78"/>
      <x:c r="K333" s="78"/>
      <x:c r="L333" s="78"/>
      <x:c r="M333" s="78"/>
    </x:row>
    <x:row r="334" ht="1.9500000476837158" customHeight="1">
      <x:c r="A334" s="78"/>
      <x:c r="B334" s="78"/>
      <x:c r="C334" s="78"/>
      <x:c r="D334" s="78"/>
      <x:c r="E334" s="78"/>
      <x:c r="F334" s="78"/>
      <x:c r="G334" s="78"/>
      <x:c r="H334" s="78"/>
      <x:c r="I334" s="78"/>
      <x:c r="J334" s="78"/>
      <x:c r="K334" s="78"/>
      <x:c r="L334" s="78"/>
      <x:c r="M334" s="78"/>
    </x:row>
    <x:row r="335" ht="1.9500000476837158" customHeight="1">
      <x:c r="A335" s="78"/>
      <x:c r="B335" s="78"/>
      <x:c r="C335" s="78"/>
      <x:c r="D335" s="78"/>
      <x:c r="E335" s="78"/>
      <x:c r="F335" s="78"/>
      <x:c r="G335" s="78"/>
      <x:c r="H335" s="78"/>
      <x:c r="I335" s="78"/>
      <x:c r="J335" s="78"/>
      <x:c r="K335" s="78"/>
      <x:c r="L335" s="78"/>
      <x:c r="M335" s="78"/>
    </x:row>
    <x:row r="336" ht="1.9500000476837158" customHeight="1">
      <x:c r="A336" s="78"/>
      <x:c r="B336" s="78"/>
      <x:c r="C336" s="78"/>
      <x:c r="D336" s="78"/>
      <x:c r="E336" s="78"/>
      <x:c r="F336" s="78"/>
      <x:c r="G336" s="78"/>
      <x:c r="H336" s="78"/>
      <x:c r="I336" s="78"/>
      <x:c r="J336" s="78"/>
      <x:c r="K336" s="78"/>
      <x:c r="L336" s="78"/>
      <x:c r="M336" s="78"/>
    </x:row>
    <x:row r="337" ht="1.9500000476837158" customHeight="1">
      <x:c r="A337" s="78"/>
      <x:c r="B337" s="78"/>
      <x:c r="C337" s="78"/>
      <x:c r="D337" s="78"/>
      <x:c r="E337" s="78"/>
      <x:c r="F337" s="78"/>
      <x:c r="G337" s="78"/>
      <x:c r="H337" s="78"/>
      <x:c r="I337" s="78"/>
      <x:c r="J337" s="78"/>
      <x:c r="K337" s="78"/>
      <x:c r="L337" s="78"/>
      <x:c r="M337" s="78"/>
    </x:row>
    <x:row r="338" ht="1.9500000476837158" customHeight="1">
      <x:c r="A338" s="78"/>
      <x:c r="B338" s="78"/>
      <x:c r="C338" s="78"/>
      <x:c r="D338" s="78"/>
      <x:c r="E338" s="78"/>
      <x:c r="F338" s="78"/>
      <x:c r="G338" s="78"/>
      <x:c r="H338" s="78"/>
      <x:c r="I338" s="78"/>
      <x:c r="J338" s="78"/>
      <x:c r="K338" s="78"/>
      <x:c r="L338" s="78"/>
      <x:c r="M338" s="78"/>
    </x:row>
    <x:row r="339" ht="1.9500000476837158" customHeight="1">
      <x:c r="A339" s="78"/>
      <x:c r="B339" s="78"/>
      <x:c r="C339" s="78"/>
      <x:c r="D339" s="78"/>
      <x:c r="E339" s="78"/>
      <x:c r="F339" s="78"/>
      <x:c r="G339" s="78"/>
      <x:c r="H339" s="78"/>
      <x:c r="I339" s="78"/>
      <x:c r="J339" s="78"/>
      <x:c r="K339" s="78"/>
      <x:c r="L339" s="78"/>
      <x:c r="M339" s="78"/>
    </x:row>
    <x:row r="340" ht="1.9500000476837158" customHeight="1">
      <x:c r="A340" s="78"/>
      <x:c r="B340" s="78"/>
      <x:c r="C340" s="78"/>
      <x:c r="D340" s="78"/>
      <x:c r="E340" s="78"/>
      <x:c r="F340" s="78"/>
      <x:c r="G340" s="78"/>
      <x:c r="H340" s="78"/>
      <x:c r="I340" s="78"/>
      <x:c r="J340" s="78"/>
      <x:c r="K340" s="78"/>
      <x:c r="L340" s="78"/>
      <x:c r="M340" s="78"/>
    </x:row>
    <x:row r="341" ht="1.9500000476837158" customHeight="1">
      <x:c r="A341" s="78"/>
      <x:c r="B341" s="78"/>
      <x:c r="C341" s="78"/>
      <x:c r="D341" s="78"/>
      <x:c r="E341" s="78"/>
      <x:c r="F341" s="78"/>
      <x:c r="G341" s="78"/>
      <x:c r="H341" s="78"/>
      <x:c r="I341" s="78"/>
      <x:c r="J341" s="78"/>
      <x:c r="K341" s="78"/>
      <x:c r="L341" s="78"/>
      <x:c r="M341" s="78"/>
    </x:row>
    <x:row r="342" ht="1.9500000476837158" customHeight="1">
      <x:c r="A342" s="78"/>
      <x:c r="B342" s="78"/>
      <x:c r="C342" s="78"/>
      <x:c r="D342" s="78"/>
      <x:c r="E342" s="78"/>
      <x:c r="F342" s="78"/>
      <x:c r="G342" s="78"/>
      <x:c r="H342" s="78"/>
      <x:c r="I342" s="78"/>
      <x:c r="J342" s="78"/>
      <x:c r="K342" s="78"/>
      <x:c r="L342" s="78"/>
      <x:c r="M342" s="78"/>
    </x:row>
    <x:row r="343" ht="1.9500000476837158" customHeight="1">
      <x:c r="A343" s="78"/>
      <x:c r="B343" s="78"/>
      <x:c r="C343" s="78"/>
      <x:c r="D343" s="78"/>
      <x:c r="E343" s="78"/>
      <x:c r="F343" s="78"/>
      <x:c r="G343" s="78"/>
      <x:c r="H343" s="78"/>
      <x:c r="I343" s="78"/>
      <x:c r="J343" s="78"/>
      <x:c r="K343" s="78"/>
      <x:c r="L343" s="78"/>
      <x:c r="M343" s="78"/>
    </x:row>
    <x:row r="344" ht="1.9500000476837158" customHeight="1">
      <x:c r="A344" s="78"/>
      <x:c r="B344" s="78"/>
      <x:c r="C344" s="78"/>
      <x:c r="D344" s="78"/>
      <x:c r="E344" s="78"/>
      <x:c r="F344" s="78"/>
      <x:c r="G344" s="78"/>
      <x:c r="H344" s="78"/>
      <x:c r="I344" s="78"/>
      <x:c r="J344" s="78"/>
      <x:c r="K344" s="78"/>
      <x:c r="L344" s="78"/>
      <x:c r="M344" s="78"/>
    </x:row>
    <x:row r="345" ht="1.9500000476837158" customHeight="1">
      <x:c r="A345" s="78"/>
      <x:c r="B345" s="78"/>
      <x:c r="C345" s="78"/>
      <x:c r="D345" s="78"/>
      <x:c r="E345" s="78"/>
      <x:c r="F345" s="78"/>
      <x:c r="G345" s="78"/>
      <x:c r="H345" s="78"/>
      <x:c r="I345" s="78"/>
      <x:c r="J345" s="78"/>
      <x:c r="K345" s="78"/>
      <x:c r="L345" s="78"/>
      <x:c r="M345" s="78"/>
    </x:row>
    <x:row r="346" ht="1.9500000476837158" customHeight="1">
      <x:c r="A346" s="78"/>
      <x:c r="B346" s="78"/>
      <x:c r="C346" s="78"/>
      <x:c r="D346" s="78"/>
      <x:c r="E346" s="78"/>
      <x:c r="F346" s="78"/>
      <x:c r="G346" s="78"/>
      <x:c r="H346" s="78"/>
      <x:c r="I346" s="78"/>
      <x:c r="J346" s="78"/>
      <x:c r="K346" s="78"/>
      <x:c r="L346" s="78"/>
      <x:c r="M346" s="78"/>
    </x:row>
    <x:row r="347" ht="1.9500000476837158" customHeight="1">
      <x:c r="A347" s="78"/>
      <x:c r="B347" s="78"/>
      <x:c r="C347" s="78"/>
      <x:c r="D347" s="78"/>
      <x:c r="E347" s="78"/>
      <x:c r="F347" s="78"/>
      <x:c r="G347" s="78"/>
      <x:c r="H347" s="78"/>
      <x:c r="I347" s="78"/>
      <x:c r="J347" s="78"/>
      <x:c r="K347" s="78"/>
      <x:c r="L347" s="78"/>
      <x:c r="M347" s="78"/>
    </x:row>
    <x:row r="348" ht="1.9500000476837158" customHeight="1">
      <x:c r="A348" s="78"/>
      <x:c r="B348" s="78"/>
      <x:c r="C348" s="78"/>
      <x:c r="D348" s="78"/>
      <x:c r="E348" s="78"/>
      <x:c r="F348" s="78"/>
      <x:c r="G348" s="78"/>
      <x:c r="H348" s="78"/>
      <x:c r="I348" s="78"/>
      <x:c r="J348" s="78"/>
      <x:c r="K348" s="78"/>
      <x:c r="L348" s="78"/>
      <x:c r="M348" s="78"/>
    </x:row>
    <x:row r="349" ht="1.9500000476837158" customHeight="1">
      <x:c r="A349" s="78"/>
      <x:c r="B349" s="78"/>
      <x:c r="C349" s="78"/>
      <x:c r="D349" s="78"/>
      <x:c r="E349" s="78"/>
      <x:c r="F349" s="78"/>
      <x:c r="G349" s="78"/>
      <x:c r="H349" s="78"/>
      <x:c r="I349" s="78"/>
      <x:c r="J349" s="78"/>
      <x:c r="K349" s="78"/>
      <x:c r="L349" s="78"/>
      <x:c r="M349" s="78"/>
    </x:row>
    <x:row r="350" ht="1.9500000476837158" customHeight="1">
      <x:c r="A350" s="78"/>
      <x:c r="B350" s="78"/>
      <x:c r="C350" s="78"/>
      <x:c r="D350" s="78"/>
      <x:c r="E350" s="78"/>
      <x:c r="F350" s="78"/>
      <x:c r="G350" s="78"/>
      <x:c r="H350" s="78"/>
      <x:c r="I350" s="78"/>
      <x:c r="J350" s="78"/>
      <x:c r="K350" s="78"/>
      <x:c r="L350" s="78"/>
      <x:c r="M350" s="78"/>
    </x:row>
    <x:row r="351" ht="1.9500000476837158" customHeight="1">
      <x:c r="A351" s="78"/>
      <x:c r="B351" s="78"/>
      <x:c r="C351" s="78"/>
      <x:c r="D351" s="78"/>
      <x:c r="E351" s="78"/>
      <x:c r="F351" s="78"/>
      <x:c r="G351" s="78"/>
      <x:c r="H351" s="78"/>
      <x:c r="I351" s="78"/>
      <x:c r="J351" s="78"/>
      <x:c r="K351" s="78"/>
      <x:c r="L351" s="78"/>
      <x:c r="M351" s="78"/>
    </x:row>
    <x:row r="352" ht="1.9500000476837158" customHeight="1">
      <x:c r="A352" s="78"/>
      <x:c r="B352" s="78"/>
      <x:c r="C352" s="78"/>
      <x:c r="D352" s="78"/>
      <x:c r="E352" s="78"/>
      <x:c r="F352" s="78"/>
      <x:c r="G352" s="78"/>
      <x:c r="H352" s="78"/>
      <x:c r="I352" s="78"/>
      <x:c r="J352" s="78"/>
      <x:c r="K352" s="78"/>
      <x:c r="L352" s="78"/>
      <x:c r="M352" s="78"/>
    </x:row>
    <x:row r="353" ht="1.9500000476837158" customHeight="1">
      <x:c r="A353" s="78"/>
      <x:c r="B353" s="78"/>
      <x:c r="C353" s="78"/>
      <x:c r="D353" s="78"/>
      <x:c r="E353" s="78"/>
      <x:c r="F353" s="78"/>
      <x:c r="G353" s="78"/>
      <x:c r="H353" s="78"/>
      <x:c r="I353" s="78"/>
      <x:c r="J353" s="78"/>
      <x:c r="K353" s="78"/>
      <x:c r="L353" s="78"/>
      <x:c r="M353" s="78"/>
    </x:row>
    <x:row r="354" ht="1.9500000476837158" customHeight="1">
      <x:c r="A354" s="78"/>
      <x:c r="B354" s="78"/>
      <x:c r="C354" s="78"/>
      <x:c r="D354" s="78"/>
      <x:c r="E354" s="78"/>
      <x:c r="F354" s="78"/>
      <x:c r="G354" s="78"/>
      <x:c r="H354" s="78"/>
      <x:c r="I354" s="78"/>
      <x:c r="J354" s="78"/>
      <x:c r="K354" s="78"/>
      <x:c r="L354" s="78"/>
      <x:c r="M354" s="78"/>
    </x:row>
    <x:row r="355" ht="1.9500000476837158" customHeight="1">
      <x:c r="A355" s="78"/>
      <x:c r="B355" s="78"/>
      <x:c r="C355" s="78"/>
      <x:c r="D355" s="78"/>
      <x:c r="E355" s="78"/>
      <x:c r="F355" s="78"/>
      <x:c r="G355" s="78"/>
      <x:c r="H355" s="78"/>
      <x:c r="I355" s="78"/>
      <x:c r="J355" s="78"/>
      <x:c r="K355" s="78"/>
      <x:c r="L355" s="78"/>
      <x:c r="M355" s="78"/>
    </x:row>
    <x:row r="356" ht="1.9500000476837158" customHeight="1">
      <x:c r="A356" s="78"/>
      <x:c r="B356" s="78"/>
      <x:c r="C356" s="78"/>
      <x:c r="D356" s="78"/>
      <x:c r="E356" s="78"/>
      <x:c r="F356" s="78"/>
      <x:c r="G356" s="78"/>
      <x:c r="H356" s="78"/>
      <x:c r="I356" s="78"/>
      <x:c r="J356" s="78"/>
      <x:c r="K356" s="78"/>
      <x:c r="L356" s="78"/>
      <x:c r="M356" s="78"/>
    </x:row>
    <x:row r="357" ht="1.9500000476837158" customHeight="1">
      <x:c r="A357" s="78"/>
      <x:c r="B357" s="78"/>
      <x:c r="C357" s="78"/>
      <x:c r="D357" s="78"/>
      <x:c r="E357" s="78"/>
      <x:c r="F357" s="78"/>
      <x:c r="G357" s="78"/>
      <x:c r="H357" s="78"/>
      <x:c r="I357" s="78"/>
      <x:c r="J357" s="78"/>
      <x:c r="K357" s="78"/>
      <x:c r="L357" s="78"/>
      <x:c r="M357" s="78"/>
    </x:row>
    <x:row r="358" ht="1.9500000476837158" customHeight="1">
      <x:c r="A358" s="78"/>
      <x:c r="B358" s="78"/>
      <x:c r="C358" s="78"/>
      <x:c r="D358" s="78"/>
      <x:c r="E358" s="78"/>
      <x:c r="F358" s="78"/>
      <x:c r="G358" s="78"/>
      <x:c r="H358" s="78"/>
      <x:c r="I358" s="78"/>
      <x:c r="J358" s="78"/>
      <x:c r="K358" s="78"/>
      <x:c r="L358" s="78"/>
      <x:c r="M358" s="78"/>
    </x:row>
    <x:row r="359" ht="1.9500000476837158" customHeight="1">
      <x:c r="A359" s="78"/>
      <x:c r="B359" s="78"/>
      <x:c r="C359" s="78"/>
      <x:c r="D359" s="78"/>
      <x:c r="E359" s="78"/>
      <x:c r="F359" s="78"/>
      <x:c r="G359" s="78"/>
      <x:c r="H359" s="78"/>
      <x:c r="I359" s="78"/>
      <x:c r="J359" s="78"/>
      <x:c r="K359" s="78"/>
      <x:c r="L359" s="78"/>
      <x:c r="M359" s="78"/>
    </x:row>
    <x:row r="360" ht="1.9500000476837158" customHeight="1">
      <x:c r="A360" s="78"/>
      <x:c r="B360" s="78"/>
      <x:c r="C360" s="78"/>
      <x:c r="D360" s="78"/>
      <x:c r="E360" s="78"/>
      <x:c r="F360" s="78"/>
      <x:c r="G360" s="78"/>
      <x:c r="H360" s="78"/>
      <x:c r="I360" s="78"/>
      <x:c r="J360" s="78"/>
      <x:c r="K360" s="78"/>
      <x:c r="L360" s="78"/>
      <x:c r="M360" s="78"/>
    </x:row>
    <x:row r="361" ht="1.9500000476837158" customHeight="1">
      <x:c r="A361" s="78"/>
      <x:c r="B361" s="78"/>
      <x:c r="C361" s="78"/>
      <x:c r="D361" s="78"/>
      <x:c r="E361" s="78"/>
      <x:c r="F361" s="78"/>
      <x:c r="G361" s="78"/>
      <x:c r="H361" s="78"/>
      <x:c r="I361" s="78"/>
      <x:c r="J361" s="78"/>
      <x:c r="K361" s="78"/>
      <x:c r="L361" s="78"/>
      <x:c r="M361" s="78"/>
    </x:row>
    <x:row r="362" ht="1.9500000476837158" customHeight="1">
      <x:c r="A362" s="78"/>
      <x:c r="B362" s="78"/>
      <x:c r="C362" s="78"/>
      <x:c r="D362" s="78"/>
      <x:c r="E362" s="78"/>
      <x:c r="F362" s="78"/>
      <x:c r="G362" s="78"/>
      <x:c r="H362" s="78"/>
      <x:c r="I362" s="78"/>
      <x:c r="J362" s="78"/>
      <x:c r="K362" s="78"/>
      <x:c r="L362" s="78"/>
      <x:c r="M362" s="78"/>
    </x:row>
    <x:row r="363" ht="1.9500000476837158" customHeight="1">
      <x:c r="A363" s="78"/>
      <x:c r="B363" s="78"/>
      <x:c r="C363" s="78"/>
      <x:c r="D363" s="78"/>
      <x:c r="E363" s="78"/>
      <x:c r="F363" s="78"/>
      <x:c r="G363" s="78"/>
      <x:c r="H363" s="78"/>
      <x:c r="I363" s="78"/>
      <x:c r="J363" s="78"/>
      <x:c r="K363" s="78"/>
      <x:c r="L363" s="78"/>
      <x:c r="M363" s="78"/>
    </x:row>
    <x:row r="364" ht="1.9500000476837158" customHeight="1">
      <x:c r="A364" s="78"/>
      <x:c r="B364" s="78"/>
      <x:c r="C364" s="78"/>
      <x:c r="D364" s="78"/>
      <x:c r="E364" s="78"/>
      <x:c r="F364" s="78"/>
      <x:c r="G364" s="78"/>
      <x:c r="H364" s="78"/>
      <x:c r="I364" s="78"/>
      <x:c r="J364" s="78"/>
      <x:c r="K364" s="78"/>
      <x:c r="L364" s="78"/>
      <x:c r="M364" s="78"/>
    </x:row>
    <x:row r="365" ht="1.9500000476837158" customHeight="1">
      <x:c r="A365" s="78"/>
      <x:c r="B365" s="78"/>
      <x:c r="C365" s="78"/>
      <x:c r="D365" s="78"/>
      <x:c r="E365" s="78"/>
      <x:c r="F365" s="78"/>
      <x:c r="G365" s="78"/>
      <x:c r="H365" s="78"/>
      <x:c r="I365" s="78"/>
      <x:c r="J365" s="78"/>
      <x:c r="K365" s="78"/>
      <x:c r="L365" s="78"/>
      <x:c r="M365" s="78"/>
    </x:row>
    <x:row r="366" ht="1.9500000476837158" customHeight="1">
      <x:c r="A366" s="78"/>
      <x:c r="B366" s="78"/>
      <x:c r="C366" s="78"/>
      <x:c r="D366" s="78"/>
      <x:c r="E366" s="78"/>
      <x:c r="F366" s="78"/>
      <x:c r="G366" s="78"/>
      <x:c r="H366" s="78"/>
      <x:c r="I366" s="78"/>
      <x:c r="J366" s="78"/>
      <x:c r="K366" s="78"/>
      <x:c r="L366" s="78"/>
      <x:c r="M366" s="78"/>
    </x:row>
    <x:row r="367" ht="1.9500000476837158" customHeight="1">
      <x:c r="A367" s="78"/>
      <x:c r="B367" s="78"/>
      <x:c r="C367" s="78"/>
      <x:c r="D367" s="78"/>
      <x:c r="E367" s="78"/>
      <x:c r="F367" s="78"/>
      <x:c r="G367" s="78"/>
      <x:c r="H367" s="78"/>
      <x:c r="I367" s="78"/>
      <x:c r="J367" s="78"/>
      <x:c r="K367" s="78"/>
      <x:c r="L367" s="78"/>
      <x:c r="M367" s="78"/>
    </x:row>
    <x:row r="368" ht="1.9500000476837158" customHeight="1">
      <x:c r="A368" s="78"/>
      <x:c r="B368" s="78"/>
      <x:c r="C368" s="78"/>
      <x:c r="D368" s="78"/>
      <x:c r="E368" s="78"/>
      <x:c r="F368" s="78"/>
      <x:c r="G368" s="78"/>
      <x:c r="H368" s="78"/>
      <x:c r="I368" s="78"/>
      <x:c r="J368" s="78"/>
      <x:c r="K368" s="78"/>
      <x:c r="L368" s="78"/>
      <x:c r="M368" s="78"/>
    </x:row>
    <x:row r="369" ht="1.9500000476837158" customHeight="1">
      <x:c r="A369" s="78"/>
      <x:c r="B369" s="78"/>
      <x:c r="C369" s="78"/>
      <x:c r="D369" s="78"/>
      <x:c r="E369" s="78"/>
      <x:c r="F369" s="78"/>
      <x:c r="G369" s="78"/>
      <x:c r="H369" s="78"/>
      <x:c r="I369" s="78"/>
      <x:c r="J369" s="78"/>
      <x:c r="K369" s="78"/>
      <x:c r="L369" s="78"/>
      <x:c r="M369" s="78"/>
    </x:row>
    <x:row r="370" ht="1.9500000476837158" customHeight="1">
      <x:c r="A370" s="78"/>
      <x:c r="B370" s="78"/>
      <x:c r="C370" s="78"/>
      <x:c r="D370" s="78"/>
      <x:c r="E370" s="78"/>
      <x:c r="F370" s="78"/>
      <x:c r="G370" s="78"/>
      <x:c r="H370" s="78"/>
      <x:c r="I370" s="78"/>
      <x:c r="J370" s="78"/>
      <x:c r="K370" s="78"/>
      <x:c r="L370" s="78"/>
      <x:c r="M370" s="78"/>
    </x:row>
    <x:row r="371" ht="1.9500000476837158" customHeight="1">
      <x:c r="A371" s="78"/>
      <x:c r="B371" s="78"/>
      <x:c r="C371" s="78"/>
      <x:c r="D371" s="78"/>
      <x:c r="E371" s="78"/>
      <x:c r="F371" s="78"/>
      <x:c r="G371" s="78"/>
      <x:c r="H371" s="78"/>
      <x:c r="I371" s="78"/>
      <x:c r="J371" s="78"/>
      <x:c r="K371" s="78"/>
      <x:c r="L371" s="78"/>
      <x:c r="M371" s="78"/>
    </x:row>
    <x:row r="372" ht="1.9500000476837158" customHeight="1">
      <x:c r="A372" s="78"/>
      <x:c r="B372" s="78"/>
      <x:c r="C372" s="78"/>
      <x:c r="D372" s="78"/>
      <x:c r="E372" s="78"/>
      <x:c r="F372" s="78"/>
      <x:c r="G372" s="78"/>
      <x:c r="H372" s="78"/>
      <x:c r="I372" s="78"/>
      <x:c r="J372" s="78"/>
      <x:c r="K372" s="78"/>
      <x:c r="L372" s="78"/>
      <x:c r="M372" s="78"/>
    </x:row>
    <x:row r="373" ht="1.9500000476837158" customHeight="1">
      <x:c r="A373" s="78"/>
      <x:c r="B373" s="78"/>
      <x:c r="C373" s="78"/>
      <x:c r="D373" s="78"/>
      <x:c r="E373" s="78"/>
      <x:c r="F373" s="78"/>
      <x:c r="G373" s="78"/>
      <x:c r="H373" s="78"/>
      <x:c r="I373" s="78"/>
      <x:c r="J373" s="78"/>
      <x:c r="K373" s="78"/>
      <x:c r="L373" s="78"/>
      <x:c r="M373" s="78"/>
    </x:row>
    <x:row r="374" ht="1.9500000476837158" customHeight="1">
      <x:c r="A374" s="78"/>
      <x:c r="B374" s="78"/>
      <x:c r="C374" s="78"/>
      <x:c r="D374" s="78"/>
      <x:c r="E374" s="78"/>
      <x:c r="F374" s="78"/>
      <x:c r="G374" s="78"/>
      <x:c r="H374" s="78"/>
      <x:c r="I374" s="78"/>
      <x:c r="J374" s="78"/>
      <x:c r="K374" s="78"/>
      <x:c r="L374" s="78"/>
      <x:c r="M374" s="78"/>
    </x:row>
    <x:row r="375" ht="1.9500000476837158" customHeight="1">
      <x:c r="A375" s="78"/>
      <x:c r="B375" s="78"/>
      <x:c r="C375" s="78"/>
      <x:c r="D375" s="78"/>
      <x:c r="E375" s="78"/>
      <x:c r="F375" s="78"/>
      <x:c r="G375" s="78"/>
      <x:c r="H375" s="78"/>
      <x:c r="I375" s="78"/>
      <x:c r="J375" s="78"/>
      <x:c r="K375" s="78"/>
      <x:c r="L375" s="78"/>
      <x:c r="M375" s="78"/>
    </x:row>
    <x:row r="376" ht="1.9500000476837158" customHeight="1">
      <x:c r="A376" s="78"/>
      <x:c r="B376" s="78"/>
      <x:c r="C376" s="78"/>
      <x:c r="D376" s="78"/>
      <x:c r="E376" s="78"/>
      <x:c r="F376" s="78"/>
      <x:c r="G376" s="78"/>
      <x:c r="H376" s="78"/>
      <x:c r="I376" s="78"/>
      <x:c r="J376" s="78"/>
      <x:c r="K376" s="78"/>
      <x:c r="L376" s="78"/>
      <x:c r="M376" s="78"/>
    </x:row>
    <x:row r="377" ht="1.9500000476837158" customHeight="1">
      <x:c r="A377" s="78"/>
      <x:c r="B377" s="78"/>
      <x:c r="C377" s="78"/>
      <x:c r="D377" s="78"/>
      <x:c r="E377" s="78"/>
      <x:c r="F377" s="78"/>
      <x:c r="G377" s="78"/>
      <x:c r="H377" s="78"/>
      <x:c r="I377" s="78"/>
      <x:c r="J377" s="78"/>
      <x:c r="K377" s="78"/>
      <x:c r="L377" s="78"/>
      <x:c r="M377" s="78"/>
    </x:row>
    <x:row r="378" ht="1.9500000476837158" customHeight="1">
      <x:c r="A378" s="78"/>
      <x:c r="B378" s="78"/>
      <x:c r="C378" s="78"/>
      <x:c r="D378" s="78"/>
      <x:c r="E378" s="78"/>
      <x:c r="F378" s="78"/>
      <x:c r="G378" s="78"/>
      <x:c r="H378" s="78"/>
      <x:c r="I378" s="78"/>
      <x:c r="J378" s="78"/>
      <x:c r="K378" s="78"/>
      <x:c r="L378" s="78"/>
      <x:c r="M378" s="78"/>
    </x:row>
    <x:row r="379" ht="1.9500000476837158" customHeight="1">
      <x:c r="A379" s="78"/>
      <x:c r="B379" s="78"/>
      <x:c r="C379" s="78"/>
      <x:c r="D379" s="78"/>
      <x:c r="E379" s="78"/>
      <x:c r="F379" s="78"/>
      <x:c r="G379" s="78"/>
      <x:c r="H379" s="78"/>
      <x:c r="I379" s="78"/>
      <x:c r="J379" s="78"/>
      <x:c r="K379" s="78"/>
      <x:c r="L379" s="78"/>
      <x:c r="M379" s="78"/>
    </x:row>
    <x:row r="380" ht="1.9500000476837158" customHeight="1">
      <x:c r="A380" s="78"/>
      <x:c r="B380" s="78"/>
      <x:c r="C380" s="78"/>
      <x:c r="D380" s="78"/>
      <x:c r="E380" s="78"/>
      <x:c r="F380" s="78"/>
      <x:c r="G380" s="78"/>
      <x:c r="H380" s="78"/>
      <x:c r="I380" s="78"/>
      <x:c r="J380" s="78"/>
      <x:c r="K380" s="78"/>
      <x:c r="L380" s="78"/>
      <x:c r="M380" s="78"/>
    </x:row>
    <x:row r="381" ht="1.9500000476837158" customHeight="1">
      <x:c r="A381" s="78"/>
      <x:c r="B381" s="78"/>
      <x:c r="C381" s="78"/>
      <x:c r="D381" s="78"/>
      <x:c r="E381" s="78"/>
      <x:c r="F381" s="78"/>
      <x:c r="G381" s="78"/>
      <x:c r="H381" s="78"/>
      <x:c r="I381" s="78"/>
      <x:c r="J381" s="78"/>
      <x:c r="K381" s="78"/>
      <x:c r="L381" s="78"/>
      <x:c r="M381" s="78"/>
    </x:row>
    <x:row r="382" ht="1.9500000476837158" customHeight="1">
      <x:c r="A382" s="78"/>
      <x:c r="B382" s="78"/>
      <x:c r="C382" s="78"/>
      <x:c r="D382" s="78"/>
      <x:c r="E382" s="78"/>
      <x:c r="F382" s="78"/>
      <x:c r="G382" s="78"/>
      <x:c r="H382" s="78"/>
      <x:c r="I382" s="78"/>
      <x:c r="J382" s="78"/>
      <x:c r="K382" s="78"/>
      <x:c r="L382" s="78"/>
      <x:c r="M382" s="78"/>
    </x:row>
    <x:row r="383" ht="1.9500000476837158" customHeight="1">
      <x:c r="A383" s="78"/>
      <x:c r="B383" s="78"/>
      <x:c r="C383" s="78"/>
      <x:c r="D383" s="78"/>
      <x:c r="E383" s="78"/>
      <x:c r="F383" s="78"/>
      <x:c r="G383" s="78"/>
      <x:c r="H383" s="78"/>
      <x:c r="I383" s="78"/>
      <x:c r="J383" s="78"/>
      <x:c r="K383" s="78"/>
      <x:c r="L383" s="78"/>
      <x:c r="M383" s="78"/>
    </x:row>
    <x:row r="384" ht="1.9500000476837158" customHeight="1">
      <x:c r="A384" s="78"/>
      <x:c r="B384" s="78"/>
      <x:c r="C384" s="78"/>
      <x:c r="D384" s="78"/>
      <x:c r="E384" s="78"/>
      <x:c r="F384" s="78"/>
      <x:c r="G384" s="78"/>
      <x:c r="H384" s="78"/>
      <x:c r="I384" s="78"/>
      <x:c r="J384" s="78"/>
      <x:c r="K384" s="78"/>
      <x:c r="L384" s="78"/>
      <x:c r="M384" s="78"/>
    </x:row>
    <x:row r="385" ht="1.9500000476837158" customHeight="1">
      <x:c r="A385" s="78"/>
      <x:c r="B385" s="78"/>
      <x:c r="C385" s="78"/>
      <x:c r="D385" s="78"/>
      <x:c r="E385" s="78"/>
      <x:c r="F385" s="78"/>
      <x:c r="G385" s="78"/>
      <x:c r="H385" s="78"/>
      <x:c r="I385" s="78"/>
      <x:c r="J385" s="78"/>
      <x:c r="K385" s="78"/>
      <x:c r="L385" s="78"/>
      <x:c r="M385" s="78"/>
    </x:row>
    <x:row r="386" ht="1.9500000476837158" customHeight="1">
      <x:c r="A386" s="78"/>
      <x:c r="B386" s="78"/>
      <x:c r="C386" s="78"/>
      <x:c r="D386" s="78"/>
      <x:c r="E386" s="78"/>
      <x:c r="F386" s="78"/>
      <x:c r="G386" s="78"/>
      <x:c r="H386" s="78"/>
      <x:c r="I386" s="78"/>
      <x:c r="J386" s="78"/>
      <x:c r="K386" s="78"/>
      <x:c r="L386" s="78"/>
      <x:c r="M386" s="78"/>
    </x:row>
    <x:row r="387" ht="1.9500000476837158" customHeight="1">
      <x:c r="A387" s="78"/>
      <x:c r="B387" s="78"/>
      <x:c r="C387" s="78"/>
      <x:c r="D387" s="78"/>
      <x:c r="E387" s="78"/>
      <x:c r="F387" s="78"/>
      <x:c r="G387" s="78"/>
      <x:c r="H387" s="78"/>
      <x:c r="I387" s="78"/>
      <x:c r="J387" s="78"/>
      <x:c r="K387" s="78"/>
      <x:c r="L387" s="78"/>
      <x:c r="M387" s="78"/>
    </x:row>
    <x:row r="388" ht="1.9500000476837158" customHeight="1">
      <x:c r="A388" s="78"/>
      <x:c r="B388" s="78"/>
      <x:c r="C388" s="78"/>
      <x:c r="D388" s="78"/>
      <x:c r="E388" s="78"/>
      <x:c r="F388" s="78"/>
      <x:c r="G388" s="78"/>
      <x:c r="H388" s="78"/>
      <x:c r="I388" s="78"/>
      <x:c r="J388" s="78"/>
      <x:c r="K388" s="78"/>
      <x:c r="L388" s="78"/>
      <x:c r="M388" s="78"/>
    </x:row>
    <x:row r="389" ht="1.9500000476837158" customHeight="1">
      <x:c r="A389" s="78"/>
      <x:c r="B389" s="78"/>
      <x:c r="C389" s="78"/>
      <x:c r="D389" s="78"/>
      <x:c r="E389" s="78"/>
      <x:c r="F389" s="78"/>
      <x:c r="G389" s="78"/>
      <x:c r="H389" s="78"/>
      <x:c r="I389" s="78"/>
      <x:c r="J389" s="78"/>
      <x:c r="K389" s="78"/>
      <x:c r="L389" s="78"/>
      <x:c r="M389" s="78"/>
    </x:row>
    <x:row r="390" ht="1.9500000476837158" customHeight="1">
      <x:c r="A390" s="78"/>
      <x:c r="B390" s="78"/>
      <x:c r="C390" s="78"/>
      <x:c r="D390" s="78"/>
      <x:c r="E390" s="78"/>
      <x:c r="F390" s="78"/>
      <x:c r="G390" s="78"/>
      <x:c r="H390" s="78"/>
      <x:c r="I390" s="78"/>
      <x:c r="J390" s="78"/>
      <x:c r="K390" s="78"/>
      <x:c r="L390" s="78"/>
      <x:c r="M390" s="78"/>
    </x:row>
    <x:row r="391" ht="1.9500000476837158" customHeight="1">
      <x:c r="A391" s="78"/>
      <x:c r="B391" s="78"/>
      <x:c r="C391" s="78"/>
      <x:c r="D391" s="78"/>
      <x:c r="E391" s="78"/>
      <x:c r="F391" s="78"/>
      <x:c r="G391" s="78"/>
      <x:c r="H391" s="78"/>
      <x:c r="I391" s="78"/>
      <x:c r="J391" s="78"/>
      <x:c r="K391" s="78"/>
      <x:c r="L391" s="78"/>
      <x:c r="M391" s="78"/>
    </x:row>
    <x:row r="392" ht="1.9500000476837158" customHeight="1">
      <x:c r="A392" s="78"/>
      <x:c r="B392" s="78"/>
      <x:c r="C392" s="78"/>
      <x:c r="D392" s="78"/>
      <x:c r="E392" s="78"/>
      <x:c r="F392" s="78"/>
      <x:c r="G392" s="78"/>
      <x:c r="H392" s="78"/>
      <x:c r="I392" s="78"/>
      <x:c r="J392" s="78"/>
      <x:c r="K392" s="78"/>
      <x:c r="L392" s="78"/>
      <x:c r="M392" s="78"/>
    </x:row>
    <x:row r="393" ht="1.9500000476837158" customHeight="1">
      <x:c r="A393" s="78"/>
      <x:c r="B393" s="78"/>
      <x:c r="C393" s="78"/>
      <x:c r="D393" s="78"/>
      <x:c r="E393" s="78"/>
      <x:c r="F393" s="78"/>
      <x:c r="G393" s="78"/>
      <x:c r="H393" s="78"/>
      <x:c r="I393" s="78"/>
      <x:c r="J393" s="78"/>
      <x:c r="K393" s="78"/>
      <x:c r="L393" s="78"/>
      <x:c r="M393" s="78"/>
    </x:row>
    <x:row r="394" ht="1.9500000476837158" customHeight="1">
      <x:c r="A394" s="78"/>
      <x:c r="B394" s="78"/>
      <x:c r="C394" s="78"/>
      <x:c r="D394" s="78"/>
      <x:c r="E394" s="78"/>
      <x:c r="F394" s="78"/>
      <x:c r="G394" s="78"/>
      <x:c r="H394" s="78"/>
      <x:c r="I394" s="78"/>
      <x:c r="J394" s="78"/>
      <x:c r="K394" s="78"/>
      <x:c r="L394" s="78"/>
      <x:c r="M394" s="78"/>
    </x:row>
    <x:row r="395" ht="1.9500000476837158" customHeight="1">
      <x:c r="A395" s="78"/>
      <x:c r="B395" s="78"/>
      <x:c r="C395" s="78"/>
      <x:c r="D395" s="78"/>
      <x:c r="E395" s="78"/>
      <x:c r="F395" s="78"/>
      <x:c r="G395" s="78"/>
      <x:c r="H395" s="78"/>
      <x:c r="I395" s="78"/>
      <x:c r="J395" s="78"/>
      <x:c r="K395" s="78"/>
      <x:c r="L395" s="78"/>
      <x:c r="M395" s="78"/>
    </x:row>
    <x:row r="396" ht="1.9500000476837158" customHeight="1">
      <x:c r="A396" s="78"/>
      <x:c r="B396" s="78"/>
      <x:c r="C396" s="78"/>
      <x:c r="D396" s="78"/>
      <x:c r="E396" s="78"/>
      <x:c r="F396" s="78"/>
      <x:c r="G396" s="78"/>
      <x:c r="H396" s="78"/>
      <x:c r="I396" s="78"/>
      <x:c r="J396" s="78"/>
      <x:c r="K396" s="78"/>
      <x:c r="L396" s="78"/>
      <x:c r="M396" s="78"/>
    </x:row>
    <x:row r="397" ht="1.9500000476837158" customHeight="1">
      <x:c r="A397" s="78"/>
      <x:c r="B397" s="78"/>
      <x:c r="C397" s="78"/>
      <x:c r="D397" s="78"/>
      <x:c r="E397" s="78"/>
      <x:c r="F397" s="78"/>
      <x:c r="G397" s="78"/>
      <x:c r="H397" s="78"/>
      <x:c r="I397" s="78"/>
      <x:c r="J397" s="78"/>
      <x:c r="K397" s="78"/>
      <x:c r="L397" s="78"/>
      <x:c r="M397" s="78"/>
    </x:row>
    <x:row r="398" ht="1.9500000476837158" customHeight="1">
      <x:c r="A398" s="78"/>
      <x:c r="B398" s="78"/>
      <x:c r="C398" s="78"/>
      <x:c r="D398" s="78"/>
      <x:c r="E398" s="78"/>
      <x:c r="F398" s="78"/>
      <x:c r="G398" s="78"/>
      <x:c r="H398" s="78"/>
      <x:c r="I398" s="78"/>
      <x:c r="J398" s="78"/>
      <x:c r="K398" s="78"/>
      <x:c r="L398" s="78"/>
      <x:c r="M398" s="78"/>
    </x:row>
    <x:row r="399" ht="1.9500000476837158" customHeight="1">
      <x:c r="A399" s="78"/>
      <x:c r="B399" s="78"/>
      <x:c r="C399" s="78"/>
      <x:c r="D399" s="78"/>
      <x:c r="E399" s="78"/>
      <x:c r="F399" s="78"/>
      <x:c r="G399" s="78"/>
      <x:c r="H399" s="78"/>
      <x:c r="I399" s="78"/>
      <x:c r="J399" s="78" t="s">
        <x:v>871</x:v>
      </x:c>
      <x:c r="K399" s="78" t="s">
        <x:v>177</x:v>
      </x:c>
      <x:c r="L399" s="78" t="s">
        <x:v>1137</x:v>
      </x:c>
      <x:c r="M399" s="78" t="s">
        <x:v>1138</x:v>
      </x:c>
    </x:row>
    <x:row r="400" ht="1.9500000476837158" customHeight="1">
      <x:c r="A400" s="78"/>
      <x:c r="B400" s="78"/>
      <x:c r="C400" s="78"/>
      <x:c r="D400" s="78"/>
      <x:c r="E400" s="78"/>
      <x:c r="F400" s="78"/>
      <x:c r="G400" s="78"/>
      <x:c r="H400" s="78"/>
      <x:c r="I400" s="78"/>
      <x:c r="J400" s="94" t="e">
        <x:f>IF(COUNTIFS(Votaciones!$A$2:$A$341,Decisiones!A171,Votaciones!$B$2:$B$341,$X$2)&gt;0,Decisiones!B171,NA())</x:f>
        <x:v>#N/A</x:v>
      </x:c>
      <x:c r="K400" s="78" t="e">
        <x:f>IF(COUNTIFS(Votaciones!$A$2:$A$341,Decisiones!A171,Votaciones!$B$2:$B$341,$X$2)&gt;0,Decisiones!H171,NA())</x:f>
        <x:v>#N/A</x:v>
      </x:c>
      <x:c r="L400" s="78" t="n">
        <x:f>IF(COUNTIFS(Votaciones!$A$2:$A$341,Decisiones!A171,Votaciones!$B$2:$B$341,$X$2,Votaciones!$D$2:$D$341,"Disenso restrictivo")&gt;0,1,0)</x:f>
        <x:v>0</x:v>
      </x:c>
      <x:c r="M400" s="78" t="n">
        <x:f>IF(COUNTIFS(Votaciones!$A$2:$A$341,Decisiones!A171,Votaciones!$B$2:$B$341,$X$2,Votaciones!$D$2:$D$341,"Disenso acomodaticio")&gt;0,1,0)</x:f>
        <x:v>0</x:v>
      </x:c>
    </x:row>
    <x:row r="401" ht="1.9500000476837158" customHeight="1">
      <x:c r="A401" s="78"/>
      <x:c r="B401" s="78"/>
      <x:c r="C401" s="78"/>
      <x:c r="D401" s="78"/>
      <x:c r="E401" s="78"/>
      <x:c r="F401" s="78"/>
      <x:c r="G401" s="78"/>
      <x:c r="H401" s="78"/>
      <x:c r="I401" s="78"/>
      <x:c r="J401" s="94" t="e">
        <x:f>IF(COUNTIFS(Votaciones!$A$2:$A$341,Decisiones!A172,Votaciones!$B$2:$B$341,$X$2)&gt;0,Decisiones!B172,NA())</x:f>
        <x:v>#N/A</x:v>
      </x:c>
      <x:c r="K401" s="78" t="e">
        <x:f>IF(COUNTIFS(Votaciones!$A$2:$A$341,Decisiones!A172,Votaciones!$B$2:$B$341,$X$2)&gt;0,Decisiones!H172,NA())</x:f>
        <x:v>#N/A</x:v>
      </x:c>
      <x:c r="L401" s="78" t="n">
        <x:f>IF(COUNTIFS(Votaciones!$A$2:$A$341,Decisiones!A172,Votaciones!$B$2:$B$341,$X$2,Votaciones!$D$2:$D$341,"Disenso restrictivo")&gt;0,1,0)</x:f>
        <x:v>0</x:v>
      </x:c>
      <x:c r="M401" s="78" t="n">
        <x:f>IF(COUNTIFS(Votaciones!$A$2:$A$341,Decisiones!A172,Votaciones!$B$2:$B$341,$X$2,Votaciones!$D$2:$D$341,"Disenso acomodaticio")&gt;0,1,0)</x:f>
        <x:v>0</x:v>
      </x:c>
    </x:row>
    <x:row r="402" ht="1.9500000476837158" customHeight="1">
      <x:c r="A402" s="78"/>
      <x:c r="B402" s="78"/>
      <x:c r="C402" s="78"/>
      <x:c r="D402" s="78"/>
      <x:c r="E402" s="78"/>
      <x:c r="F402" s="78"/>
      <x:c r="G402" s="78"/>
      <x:c r="H402" s="78"/>
      <x:c r="I402" s="78"/>
      <x:c r="J402" s="94" t="e">
        <x:f>IF(COUNTIFS(Votaciones!$A$2:$A$341,Decisiones!A173,Votaciones!$B$2:$B$341,$X$2)&gt;0,Decisiones!B173,NA())</x:f>
        <x:v>#N/A</x:v>
      </x:c>
      <x:c r="K402" s="78" t="e">
        <x:f>IF(COUNTIFS(Votaciones!$A$2:$A$341,Decisiones!A173,Votaciones!$B$2:$B$341,$X$2)&gt;0,Decisiones!H173,NA())</x:f>
        <x:v>#N/A</x:v>
      </x:c>
      <x:c r="L402" s="78" t="n">
        <x:f>IF(COUNTIFS(Votaciones!$A$2:$A$341,Decisiones!A173,Votaciones!$B$2:$B$341,$X$2,Votaciones!$D$2:$D$341,"Disenso restrictivo")&gt;0,1,0)</x:f>
        <x:v>0</x:v>
      </x:c>
      <x:c r="M402" s="78" t="n">
        <x:f>IF(COUNTIFS(Votaciones!$A$2:$A$341,Decisiones!A173,Votaciones!$B$2:$B$341,$X$2,Votaciones!$D$2:$D$341,"Disenso acomodaticio")&gt;0,1,0)</x:f>
        <x:v>0</x:v>
      </x:c>
    </x:row>
    <x:row r="403" ht="1.9500000476837158" customHeight="1">
      <x:c r="A403" s="78"/>
      <x:c r="B403" s="78"/>
      <x:c r="C403" s="78"/>
      <x:c r="D403" s="78"/>
      <x:c r="E403" s="78"/>
      <x:c r="F403" s="78"/>
      <x:c r="G403" s="78"/>
      <x:c r="H403" s="78"/>
      <x:c r="I403" s="78"/>
      <x:c r="J403" s="94" t="e">
        <x:f>IF(COUNTIFS(Votaciones!$A$2:$A$341,Decisiones!A174,Votaciones!$B$2:$B$341,$X$2)&gt;0,Decisiones!B174,NA())</x:f>
        <x:v>#N/A</x:v>
      </x:c>
      <x:c r="K403" s="78" t="e">
        <x:f>IF(COUNTIFS(Votaciones!$A$2:$A$341,Decisiones!A174,Votaciones!$B$2:$B$341,$X$2)&gt;0,Decisiones!H174,NA())</x:f>
        <x:v>#N/A</x:v>
      </x:c>
      <x:c r="L403" s="78" t="n">
        <x:f>IF(COUNTIFS(Votaciones!$A$2:$A$341,Decisiones!A174,Votaciones!$B$2:$B$341,$X$2,Votaciones!$D$2:$D$341,"Disenso restrictivo")&gt;0,1,0)</x:f>
        <x:v>0</x:v>
      </x:c>
      <x:c r="M403" s="78" t="n">
        <x:f>IF(COUNTIFS(Votaciones!$A$2:$A$341,Decisiones!A174,Votaciones!$B$2:$B$341,$X$2,Votaciones!$D$2:$D$341,"Disenso acomodaticio")&gt;0,1,0)</x:f>
        <x:v>0</x:v>
      </x:c>
    </x:row>
    <x:row r="404" ht="1.9500000476837158" customHeight="1">
      <x:c r="A404" s="78"/>
      <x:c r="B404" s="78"/>
      <x:c r="C404" s="78"/>
      <x:c r="D404" s="78"/>
      <x:c r="E404" s="78"/>
      <x:c r="F404" s="78"/>
      <x:c r="G404" s="78"/>
      <x:c r="H404" s="78"/>
      <x:c r="I404" s="78"/>
      <x:c r="J404" s="94" t="e">
        <x:f>IF(COUNTIFS(Votaciones!$A$2:$A$341,Decisiones!A175,Votaciones!$B$2:$B$341,$X$2)&gt;0,Decisiones!B175,NA())</x:f>
        <x:v>#N/A</x:v>
      </x:c>
      <x:c r="K404" s="78" t="e">
        <x:f>IF(COUNTIFS(Votaciones!$A$2:$A$341,Decisiones!A175,Votaciones!$B$2:$B$341,$X$2)&gt;0,Decisiones!H175,NA())</x:f>
        <x:v>#N/A</x:v>
      </x:c>
      <x:c r="L404" s="78" t="n">
        <x:f>IF(COUNTIFS(Votaciones!$A$2:$A$341,Decisiones!A175,Votaciones!$B$2:$B$341,$X$2,Votaciones!$D$2:$D$341,"Disenso restrictivo")&gt;0,1,0)</x:f>
        <x:v>0</x:v>
      </x:c>
      <x:c r="M404" s="78" t="n">
        <x:f>IF(COUNTIFS(Votaciones!$A$2:$A$341,Decisiones!A175,Votaciones!$B$2:$B$341,$X$2,Votaciones!$D$2:$D$341,"Disenso acomodaticio")&gt;0,1,0)</x:f>
        <x:v>0</x:v>
      </x:c>
    </x:row>
    <x:row r="405" ht="1.9500000476837158" customHeight="1">
      <x:c r="A405" s="78"/>
      <x:c r="B405" s="78"/>
      <x:c r="C405" s="78"/>
      <x:c r="D405" s="78"/>
      <x:c r="E405" s="78"/>
      <x:c r="F405" s="78"/>
      <x:c r="G405" s="78"/>
      <x:c r="H405" s="78"/>
      <x:c r="I405" s="78"/>
      <x:c r="J405" s="94" t="e">
        <x:f>IF(COUNTIFS(Votaciones!$A$2:$A$341,Decisiones!A176,Votaciones!$B$2:$B$341,$X$2)&gt;0,Decisiones!B176,NA())</x:f>
        <x:v>#N/A</x:v>
      </x:c>
      <x:c r="K405" s="78" t="e">
        <x:f>IF(COUNTIFS(Votaciones!$A$2:$A$341,Decisiones!A176,Votaciones!$B$2:$B$341,$X$2)&gt;0,Decisiones!H176,NA())</x:f>
        <x:v>#N/A</x:v>
      </x:c>
      <x:c r="L405" s="78" t="n">
        <x:f>IF(COUNTIFS(Votaciones!$A$2:$A$341,Decisiones!A176,Votaciones!$B$2:$B$341,$X$2,Votaciones!$D$2:$D$341,"Disenso restrictivo")&gt;0,1,0)</x:f>
        <x:v>0</x:v>
      </x:c>
      <x:c r="M405" s="78" t="n">
        <x:f>IF(COUNTIFS(Votaciones!$A$2:$A$341,Decisiones!A176,Votaciones!$B$2:$B$341,$X$2,Votaciones!$D$2:$D$341,"Disenso acomodaticio")&gt;0,1,0)</x:f>
        <x:v>0</x:v>
      </x:c>
    </x:row>
    <x:row r="406" ht="1.9500000476837158" customHeight="1">
      <x:c r="A406" s="78"/>
      <x:c r="B406" s="78"/>
      <x:c r="C406" s="78"/>
      <x:c r="D406" s="78"/>
      <x:c r="E406" s="78"/>
      <x:c r="F406" s="78"/>
      <x:c r="G406" s="78"/>
      <x:c r="H406" s="78"/>
      <x:c r="I406" s="78"/>
      <x:c r="J406" s="94" t="n">
        <x:f>IF(COUNTIFS(Votaciones!$A$2:$A$341,Decisiones!A177,Votaciones!$B$2:$B$341,$X$2)&gt;0,Decisiones!B177,NA())</x:f>
        <x:v>43503</x:v>
      </x:c>
      <x:c r="K406" s="78" t="n">
        <x:f>IF(COUNTIFS(Votaciones!$A$2:$A$341,Decisiones!A177,Votaciones!$B$2:$B$341,$X$2)&gt;0,Decisiones!H177,NA())</x:f>
        <x:v>8.25</x:v>
      </x:c>
      <x:c r="L406" s="78" t="n">
        <x:f>IF(COUNTIFS(Votaciones!$A$2:$A$341,Decisiones!A177,Votaciones!$B$2:$B$341,$X$2,Votaciones!$D$2:$D$341,"Disenso restrictivo")&gt;0,1,0)</x:f>
        <x:v>0</x:v>
      </x:c>
      <x:c r="M406" s="78" t="n">
        <x:f>IF(COUNTIFS(Votaciones!$A$2:$A$341,Decisiones!A177,Votaciones!$B$2:$B$341,$X$2,Votaciones!$D$2:$D$341,"Disenso acomodaticio")&gt;0,1,0)</x:f>
        <x:v>0</x:v>
      </x:c>
    </x:row>
    <x:row r="407" ht="1.9500000476837158" customHeight="1">
      <x:c r="A407" s="78"/>
      <x:c r="B407" s="78"/>
      <x:c r="C407" s="78"/>
      <x:c r="D407" s="78"/>
      <x:c r="E407" s="78"/>
      <x:c r="F407" s="78"/>
      <x:c r="G407" s="78"/>
      <x:c r="H407" s="78"/>
      <x:c r="I407" s="78"/>
      <x:c r="J407" s="94" t="n">
        <x:f>IF(COUNTIFS(Votaciones!$A$2:$A$341,Decisiones!A178,Votaciones!$B$2:$B$341,$X$2)&gt;0,Decisiones!B178,NA())</x:f>
        <x:v>43552</x:v>
      </x:c>
      <x:c r="K407" s="78" t="n">
        <x:f>IF(COUNTIFS(Votaciones!$A$2:$A$341,Decisiones!A178,Votaciones!$B$2:$B$341,$X$2)&gt;0,Decisiones!H178,NA())</x:f>
        <x:v>8.25</x:v>
      </x:c>
      <x:c r="L407" s="78" t="n">
        <x:f>IF(COUNTIFS(Votaciones!$A$2:$A$341,Decisiones!A178,Votaciones!$B$2:$B$341,$X$2,Votaciones!$D$2:$D$341,"Disenso restrictivo")&gt;0,1,0)</x:f>
        <x:v>0</x:v>
      </x:c>
      <x:c r="M407" s="78" t="n">
        <x:f>IF(COUNTIFS(Votaciones!$A$2:$A$341,Decisiones!A178,Votaciones!$B$2:$B$341,$X$2,Votaciones!$D$2:$D$341,"Disenso acomodaticio")&gt;0,1,0)</x:f>
        <x:v>0</x:v>
      </x:c>
    </x:row>
    <x:row r="408" ht="1.9500000476837158" customHeight="1">
      <x:c r="A408" s="78"/>
      <x:c r="B408" s="78"/>
      <x:c r="C408" s="78"/>
      <x:c r="D408" s="78"/>
      <x:c r="E408" s="78"/>
      <x:c r="F408" s="78"/>
      <x:c r="G408" s="78"/>
      <x:c r="H408" s="78"/>
      <x:c r="I408" s="78"/>
      <x:c r="J408" s="94" t="n">
        <x:f>IF(COUNTIFS(Votaciones!$A$2:$A$341,Decisiones!A179,Votaciones!$B$2:$B$341,$X$2)&gt;0,Decisiones!B179,NA())</x:f>
        <x:v>43601</x:v>
      </x:c>
      <x:c r="K408" s="78" t="n">
        <x:f>IF(COUNTIFS(Votaciones!$A$2:$A$341,Decisiones!A179,Votaciones!$B$2:$B$341,$X$2)&gt;0,Decisiones!H179,NA())</x:f>
        <x:v>8.25</x:v>
      </x:c>
      <x:c r="L408" s="78" t="n">
        <x:f>IF(COUNTIFS(Votaciones!$A$2:$A$341,Decisiones!A179,Votaciones!$B$2:$B$341,$X$2,Votaciones!$D$2:$D$341,"Disenso restrictivo")&gt;0,1,0)</x:f>
        <x:v>0</x:v>
      </x:c>
      <x:c r="M408" s="78" t="n">
        <x:f>IF(COUNTIFS(Votaciones!$A$2:$A$341,Decisiones!A179,Votaciones!$B$2:$B$341,$X$2,Votaciones!$D$2:$D$341,"Disenso acomodaticio")&gt;0,1,0)</x:f>
        <x:v>0</x:v>
      </x:c>
    </x:row>
    <x:row r="409" ht="1.9500000476837158" customHeight="1">
      <x:c r="A409" s="78"/>
      <x:c r="B409" s="78"/>
      <x:c r="C409" s="78"/>
      <x:c r="D409" s="78"/>
      <x:c r="E409" s="78"/>
      <x:c r="F409" s="78"/>
      <x:c r="G409" s="78"/>
      <x:c r="H409" s="78"/>
      <x:c r="I409" s="78"/>
      <x:c r="J409" s="94" t="n">
        <x:f>IF(COUNTIFS(Votaciones!$A$2:$A$341,Decisiones!A180,Votaciones!$B$2:$B$341,$X$2)&gt;0,Decisiones!B180,NA())</x:f>
        <x:v>43643</x:v>
      </x:c>
      <x:c r="K409" s="78" t="n">
        <x:f>IF(COUNTIFS(Votaciones!$A$2:$A$341,Decisiones!A180,Votaciones!$B$2:$B$341,$X$2)&gt;0,Decisiones!H180,NA())</x:f>
        <x:v>8.25</x:v>
      </x:c>
      <x:c r="L409" s="78" t="n">
        <x:f>IF(COUNTIFS(Votaciones!$A$2:$A$341,Decisiones!A180,Votaciones!$B$2:$B$341,$X$2,Votaciones!$D$2:$D$341,"Disenso restrictivo")&gt;0,1,0)</x:f>
        <x:v>0</x:v>
      </x:c>
      <x:c r="M409" s="78" t="n">
        <x:f>IF(COUNTIFS(Votaciones!$A$2:$A$341,Decisiones!A180,Votaciones!$B$2:$B$341,$X$2,Votaciones!$D$2:$D$341,"Disenso acomodaticio")&gt;0,1,0)</x:f>
        <x:v>0</x:v>
      </x:c>
    </x:row>
    <x:row r="410" ht="1.9500000476837158" customHeight="1">
      <x:c r="A410" s="78"/>
      <x:c r="B410" s="78"/>
      <x:c r="C410" s="78"/>
      <x:c r="D410" s="78"/>
      <x:c r="E410" s="78"/>
      <x:c r="F410" s="78"/>
      <x:c r="G410" s="78"/>
      <x:c r="H410" s="78"/>
      <x:c r="I410" s="78"/>
      <x:c r="J410" s="94" t="n">
        <x:f>IF(COUNTIFS(Votaciones!$A$2:$A$341,Decisiones!A181,Votaciones!$B$2:$B$341,$X$2)&gt;0,Decisiones!B181,NA())</x:f>
        <x:v>43692</x:v>
      </x:c>
      <x:c r="K410" s="78" t="n">
        <x:f>IF(COUNTIFS(Votaciones!$A$2:$A$341,Decisiones!A181,Votaciones!$B$2:$B$341,$X$2)&gt;0,Decisiones!H181,NA())</x:f>
        <x:v>8</x:v>
      </x:c>
      <x:c r="L410" s="78" t="n">
        <x:f>IF(COUNTIFS(Votaciones!$A$2:$A$341,Decisiones!A181,Votaciones!$B$2:$B$341,$X$2,Votaciones!$D$2:$D$341,"Disenso restrictivo")&gt;0,1,0)</x:f>
        <x:v>0</x:v>
      </x:c>
      <x:c r="M410" s="78" t="n">
        <x:f>IF(COUNTIFS(Votaciones!$A$2:$A$341,Decisiones!A181,Votaciones!$B$2:$B$341,$X$2,Votaciones!$D$2:$D$341,"Disenso acomodaticio")&gt;0,1,0)</x:f>
        <x:v>0</x:v>
      </x:c>
    </x:row>
    <x:row r="411" ht="1.9500000476837158" customHeight="1">
      <x:c r="A411" s="78"/>
      <x:c r="B411" s="78"/>
      <x:c r="C411" s="78"/>
      <x:c r="D411" s="78"/>
      <x:c r="E411" s="78"/>
      <x:c r="F411" s="78"/>
      <x:c r="G411" s="78"/>
      <x:c r="H411" s="78"/>
      <x:c r="I411" s="78"/>
      <x:c r="J411" s="94" t="n">
        <x:f>IF(COUNTIFS(Votaciones!$A$2:$A$341,Decisiones!A182,Votaciones!$B$2:$B$341,$X$2)&gt;0,Decisiones!B182,NA())</x:f>
        <x:v>43734</x:v>
      </x:c>
      <x:c r="K411" s="78" t="n">
        <x:f>IF(COUNTIFS(Votaciones!$A$2:$A$341,Decisiones!A182,Votaciones!$B$2:$B$341,$X$2)&gt;0,Decisiones!H182,NA())</x:f>
        <x:v>7.75</x:v>
      </x:c>
      <x:c r="L411" s="78" t="n">
        <x:f>IF(COUNTIFS(Votaciones!$A$2:$A$341,Decisiones!A182,Votaciones!$B$2:$B$341,$X$2,Votaciones!$D$2:$D$341,"Disenso restrictivo")&gt;0,1,0)</x:f>
        <x:v>0</x:v>
      </x:c>
      <x:c r="M411" s="78" t="n">
        <x:f>IF(COUNTIFS(Votaciones!$A$2:$A$341,Decisiones!A182,Votaciones!$B$2:$B$341,$X$2,Votaciones!$D$2:$D$341,"Disenso acomodaticio")&gt;0,1,0)</x:f>
        <x:v>1</x:v>
      </x:c>
    </x:row>
    <x:row r="412" ht="1.9500000476837158" customHeight="1">
      <x:c r="A412" s="78"/>
      <x:c r="B412" s="78"/>
      <x:c r="C412" s="78"/>
      <x:c r="D412" s="78"/>
      <x:c r="E412" s="78"/>
      <x:c r="F412" s="78"/>
      <x:c r="G412" s="78"/>
      <x:c r="H412" s="78"/>
      <x:c r="I412" s="78"/>
      <x:c r="J412" s="94" t="n">
        <x:f>IF(COUNTIFS(Votaciones!$A$2:$A$341,Decisiones!A183,Votaciones!$B$2:$B$341,$X$2)&gt;0,Decisiones!B183,NA())</x:f>
        <x:v>43783</x:v>
      </x:c>
      <x:c r="K412" s="78" t="n">
        <x:f>IF(COUNTIFS(Votaciones!$A$2:$A$341,Decisiones!A183,Votaciones!$B$2:$B$341,$X$2)&gt;0,Decisiones!H183,NA())</x:f>
        <x:v>7.5</x:v>
      </x:c>
      <x:c r="L412" s="78" t="n">
        <x:f>IF(COUNTIFS(Votaciones!$A$2:$A$341,Decisiones!A183,Votaciones!$B$2:$B$341,$X$2,Votaciones!$D$2:$D$341,"Disenso restrictivo")&gt;0,1,0)</x:f>
        <x:v>0</x:v>
      </x:c>
      <x:c r="M412" s="78" t="n">
        <x:f>IF(COUNTIFS(Votaciones!$A$2:$A$341,Decisiones!A183,Votaciones!$B$2:$B$341,$X$2,Votaciones!$D$2:$D$341,"Disenso acomodaticio")&gt;0,1,0)</x:f>
        <x:v>1</x:v>
      </x:c>
    </x:row>
    <x:row r="413" ht="1.9500000476837158" customHeight="1">
      <x:c r="A413" s="78"/>
      <x:c r="B413" s="78"/>
      <x:c r="C413" s="78"/>
      <x:c r="D413" s="78"/>
      <x:c r="E413" s="78"/>
      <x:c r="F413" s="78"/>
      <x:c r="G413" s="78"/>
      <x:c r="H413" s="78"/>
      <x:c r="I413" s="78"/>
      <x:c r="J413" s="94" t="n">
        <x:f>IF(COUNTIFS(Votaciones!$A$2:$A$341,Decisiones!A184,Votaciones!$B$2:$B$341,$X$2)&gt;0,Decisiones!B184,NA())</x:f>
        <x:v>43818</x:v>
      </x:c>
      <x:c r="K413" s="78" t="n">
        <x:f>IF(COUNTIFS(Votaciones!$A$2:$A$341,Decisiones!A184,Votaciones!$B$2:$B$341,$X$2)&gt;0,Decisiones!H184,NA())</x:f>
        <x:v>7.25</x:v>
      </x:c>
      <x:c r="L413" s="78" t="n">
        <x:f>IF(COUNTIFS(Votaciones!$A$2:$A$341,Decisiones!A184,Votaciones!$B$2:$B$341,$X$2,Votaciones!$D$2:$D$341,"Disenso restrictivo")&gt;0,1,0)</x:f>
        <x:v>0</x:v>
      </x:c>
      <x:c r="M413" s="78" t="n">
        <x:f>IF(COUNTIFS(Votaciones!$A$2:$A$341,Decisiones!A184,Votaciones!$B$2:$B$341,$X$2,Votaciones!$D$2:$D$341,"Disenso acomodaticio")&gt;0,1,0)</x:f>
        <x:v>0</x:v>
      </x:c>
    </x:row>
    <x:row r="414" ht="1.9500000476837158" customHeight="1">
      <x:c r="A414" s="78"/>
      <x:c r="B414" s="78"/>
      <x:c r="C414" s="78"/>
      <x:c r="D414" s="78"/>
      <x:c r="E414" s="78"/>
      <x:c r="F414" s="78"/>
      <x:c r="G414" s="78"/>
      <x:c r="H414" s="78"/>
      <x:c r="I414" s="78"/>
      <x:c r="J414" s="94" t="n">
        <x:f>IF(COUNTIFS(Votaciones!$A$2:$A$341,Decisiones!A185,Votaciones!$B$2:$B$341,$X$2)&gt;0,Decisiones!B185,NA())</x:f>
        <x:v>43874</x:v>
      </x:c>
      <x:c r="K414" s="78" t="n">
        <x:f>IF(COUNTIFS(Votaciones!$A$2:$A$341,Decisiones!A185,Votaciones!$B$2:$B$341,$X$2)&gt;0,Decisiones!H185,NA())</x:f>
        <x:v>7</x:v>
      </x:c>
      <x:c r="L414" s="78" t="n">
        <x:f>IF(COUNTIFS(Votaciones!$A$2:$A$341,Decisiones!A185,Votaciones!$B$2:$B$341,$X$2,Votaciones!$D$2:$D$341,"Disenso restrictivo")&gt;0,1,0)</x:f>
        <x:v>0</x:v>
      </x:c>
      <x:c r="M414" s="78" t="n">
        <x:f>IF(COUNTIFS(Votaciones!$A$2:$A$341,Decisiones!A185,Votaciones!$B$2:$B$341,$X$2,Votaciones!$D$2:$D$341,"Disenso acomodaticio")&gt;0,1,0)</x:f>
        <x:v>0</x:v>
      </x:c>
    </x:row>
    <x:row r="415" ht="1.9500000476837158" customHeight="1">
      <x:c r="A415" s="78"/>
      <x:c r="B415" s="78"/>
      <x:c r="C415" s="78"/>
      <x:c r="D415" s="78"/>
      <x:c r="E415" s="78"/>
      <x:c r="F415" s="78"/>
      <x:c r="G415" s="78"/>
      <x:c r="H415" s="78"/>
      <x:c r="I415" s="78"/>
      <x:c r="J415" s="94" t="n">
        <x:f>IF(COUNTIFS(Votaciones!$A$2:$A$341,Decisiones!A186,Votaciones!$B$2:$B$341,$X$2)&gt;0,Decisiones!B186,NA())</x:f>
        <x:v>43910</x:v>
      </x:c>
      <x:c r="K415" s="78" t="n">
        <x:f>IF(COUNTIFS(Votaciones!$A$2:$A$341,Decisiones!A186,Votaciones!$B$2:$B$341,$X$2)&gt;0,Decisiones!H186,NA())</x:f>
        <x:v>6.5</x:v>
      </x:c>
      <x:c r="L415" s="78" t="n">
        <x:f>IF(COUNTIFS(Votaciones!$A$2:$A$341,Decisiones!A186,Votaciones!$B$2:$B$341,$X$2,Votaciones!$D$2:$D$341,"Disenso restrictivo")&gt;0,1,0)</x:f>
        <x:v>0</x:v>
      </x:c>
      <x:c r="M415" s="78" t="n">
        <x:f>IF(COUNTIFS(Votaciones!$A$2:$A$341,Decisiones!A186,Votaciones!$B$2:$B$341,$X$2,Votaciones!$D$2:$D$341,"Disenso acomodaticio")&gt;0,1,0)</x:f>
        <x:v>0</x:v>
      </x:c>
    </x:row>
    <x:row r="416" ht="1.9500000476837158" customHeight="1">
      <x:c r="A416" s="78"/>
      <x:c r="B416" s="78"/>
      <x:c r="C416" s="78"/>
      <x:c r="D416" s="78"/>
      <x:c r="E416" s="78"/>
      <x:c r="F416" s="78"/>
      <x:c r="G416" s="78"/>
      <x:c r="H416" s="78"/>
      <x:c r="I416" s="78"/>
      <x:c r="J416" s="94" t="n">
        <x:f>IF(COUNTIFS(Votaciones!$A$2:$A$341,Decisiones!A187,Votaciones!$B$2:$B$341,$X$2)&gt;0,Decisiones!B187,NA())</x:f>
        <x:v>43942</x:v>
      </x:c>
      <x:c r="K416" s="78" t="n">
        <x:f>IF(COUNTIFS(Votaciones!$A$2:$A$341,Decisiones!A187,Votaciones!$B$2:$B$341,$X$2)&gt;0,Decisiones!H187,NA())</x:f>
        <x:v>6</x:v>
      </x:c>
      <x:c r="L416" s="78" t="n">
        <x:f>IF(COUNTIFS(Votaciones!$A$2:$A$341,Decisiones!A187,Votaciones!$B$2:$B$341,$X$2,Votaciones!$D$2:$D$341,"Disenso restrictivo")&gt;0,1,0)</x:f>
        <x:v>0</x:v>
      </x:c>
      <x:c r="M416" s="78" t="n">
        <x:f>IF(COUNTIFS(Votaciones!$A$2:$A$341,Decisiones!A187,Votaciones!$B$2:$B$341,$X$2,Votaciones!$D$2:$D$341,"Disenso acomodaticio")&gt;0,1,0)</x:f>
        <x:v>0</x:v>
      </x:c>
    </x:row>
    <x:row r="417" ht="1.9500000476837158" customHeight="1">
      <x:c r="A417" s="78"/>
      <x:c r="B417" s="78"/>
      <x:c r="C417" s="78"/>
      <x:c r="D417" s="78"/>
      <x:c r="E417" s="78"/>
      <x:c r="F417" s="78"/>
      <x:c r="G417" s="78"/>
      <x:c r="H417" s="78"/>
      <x:c r="I417" s="78"/>
      <x:c r="J417" s="94" t="n">
        <x:f>IF(COUNTIFS(Votaciones!$A$2:$A$341,Decisiones!A188,Votaciones!$B$2:$B$341,$X$2)&gt;0,Decisiones!B188,NA())</x:f>
        <x:v>43965</x:v>
      </x:c>
      <x:c r="K417" s="78" t="n">
        <x:f>IF(COUNTIFS(Votaciones!$A$2:$A$341,Decisiones!A188,Votaciones!$B$2:$B$341,$X$2)&gt;0,Decisiones!H188,NA())</x:f>
        <x:v>5.5</x:v>
      </x:c>
      <x:c r="L417" s="78" t="n">
        <x:f>IF(COUNTIFS(Votaciones!$A$2:$A$341,Decisiones!A188,Votaciones!$B$2:$B$341,$X$2,Votaciones!$D$2:$D$341,"Disenso restrictivo")&gt;0,1,0)</x:f>
        <x:v>0</x:v>
      </x:c>
      <x:c r="M417" s="78" t="n">
        <x:f>IF(COUNTIFS(Votaciones!$A$2:$A$341,Decisiones!A188,Votaciones!$B$2:$B$341,$X$2,Votaciones!$D$2:$D$341,"Disenso acomodaticio")&gt;0,1,0)</x:f>
        <x:v>0</x:v>
      </x:c>
    </x:row>
    <x:row r="418" ht="1.9500000476837158" customHeight="1">
      <x:c r="A418" s="78"/>
      <x:c r="B418" s="78"/>
      <x:c r="C418" s="78"/>
      <x:c r="D418" s="78"/>
      <x:c r="E418" s="78"/>
      <x:c r="F418" s="78"/>
      <x:c r="G418" s="78"/>
      <x:c r="H418" s="78"/>
      <x:c r="I418" s="78"/>
      <x:c r="J418" s="94" t="n">
        <x:f>IF(COUNTIFS(Votaciones!$A$2:$A$341,Decisiones!A189,Votaciones!$B$2:$B$341,$X$2)&gt;0,Decisiones!B189,NA())</x:f>
        <x:v>44007</x:v>
      </x:c>
      <x:c r="K418" s="78" t="n">
        <x:f>IF(COUNTIFS(Votaciones!$A$2:$A$341,Decisiones!A189,Votaciones!$B$2:$B$341,$X$2)&gt;0,Decisiones!H189,NA())</x:f>
        <x:v>5</x:v>
      </x:c>
      <x:c r="L418" s="78" t="n">
        <x:f>IF(COUNTIFS(Votaciones!$A$2:$A$341,Decisiones!A189,Votaciones!$B$2:$B$341,$X$2,Votaciones!$D$2:$D$341,"Disenso restrictivo")&gt;0,1,0)</x:f>
        <x:v>0</x:v>
      </x:c>
      <x:c r="M418" s="78" t="n">
        <x:f>IF(COUNTIFS(Votaciones!$A$2:$A$341,Decisiones!A189,Votaciones!$B$2:$B$341,$X$2,Votaciones!$D$2:$D$341,"Disenso acomodaticio")&gt;0,1,0)</x:f>
        <x:v>0</x:v>
      </x:c>
    </x:row>
    <x:row r="419" ht="1.9500000476837158" customHeight="1">
      <x:c r="A419" s="78"/>
      <x:c r="B419" s="78"/>
      <x:c r="C419" s="78"/>
      <x:c r="D419" s="78"/>
      <x:c r="E419" s="78"/>
      <x:c r="F419" s="78"/>
      <x:c r="G419" s="78"/>
      <x:c r="H419" s="78"/>
      <x:c r="I419" s="78"/>
      <x:c r="J419" s="94" t="n">
        <x:f>IF(COUNTIFS(Votaciones!$A$2:$A$341,Decisiones!A190,Votaciones!$B$2:$B$341,$X$2)&gt;0,Decisiones!B190,NA())</x:f>
        <x:v>44056</x:v>
      </x:c>
      <x:c r="K419" s="78" t="n">
        <x:f>IF(COUNTIFS(Votaciones!$A$2:$A$341,Decisiones!A190,Votaciones!$B$2:$B$341,$X$2)&gt;0,Decisiones!H190,NA())</x:f>
        <x:v>4.5</x:v>
      </x:c>
      <x:c r="L419" s="78" t="n">
        <x:f>IF(COUNTIFS(Votaciones!$A$2:$A$341,Decisiones!A190,Votaciones!$B$2:$B$341,$X$2,Votaciones!$D$2:$D$341,"Disenso restrictivo")&gt;0,1,0)</x:f>
        <x:v>0</x:v>
      </x:c>
      <x:c r="M419" s="78" t="n">
        <x:f>IF(COUNTIFS(Votaciones!$A$2:$A$341,Decisiones!A190,Votaciones!$B$2:$B$341,$X$2,Votaciones!$D$2:$D$341,"Disenso acomodaticio")&gt;0,1,0)</x:f>
        <x:v>0</x:v>
      </x:c>
    </x:row>
    <x:row r="420" ht="1.9500000476837158" customHeight="1">
      <x:c r="A420" s="78"/>
      <x:c r="B420" s="78"/>
      <x:c r="C420" s="78"/>
      <x:c r="D420" s="78"/>
      <x:c r="E420" s="78"/>
      <x:c r="F420" s="78"/>
      <x:c r="G420" s="78"/>
      <x:c r="H420" s="78"/>
      <x:c r="I420" s="78"/>
      <x:c r="J420" s="94" t="n">
        <x:f>IF(COUNTIFS(Votaciones!$A$2:$A$341,Decisiones!A191,Votaciones!$B$2:$B$341,$X$2)&gt;0,Decisiones!B191,NA())</x:f>
        <x:v>44098</x:v>
      </x:c>
      <x:c r="K420" s="78" t="n">
        <x:f>IF(COUNTIFS(Votaciones!$A$2:$A$341,Decisiones!A191,Votaciones!$B$2:$B$341,$X$2)&gt;0,Decisiones!H191,NA())</x:f>
        <x:v>4.25</x:v>
      </x:c>
      <x:c r="L420" s="78" t="n">
        <x:f>IF(COUNTIFS(Votaciones!$A$2:$A$341,Decisiones!A191,Votaciones!$B$2:$B$341,$X$2,Votaciones!$D$2:$D$341,"Disenso restrictivo")&gt;0,1,0)</x:f>
        <x:v>0</x:v>
      </x:c>
      <x:c r="M420" s="78" t="n">
        <x:f>IF(COUNTIFS(Votaciones!$A$2:$A$341,Decisiones!A191,Votaciones!$B$2:$B$341,$X$2,Votaciones!$D$2:$D$341,"Disenso acomodaticio")&gt;0,1,0)</x:f>
        <x:v>0</x:v>
      </x:c>
    </x:row>
    <x:row r="421" ht="1.9500000476837158" customHeight="1">
      <x:c r="A421" s="78"/>
      <x:c r="B421" s="78"/>
      <x:c r="C421" s="78"/>
      <x:c r="D421" s="78"/>
      <x:c r="E421" s="78"/>
      <x:c r="F421" s="78"/>
      <x:c r="G421" s="78"/>
      <x:c r="H421" s="78"/>
      <x:c r="I421" s="78"/>
      <x:c r="J421" s="94" t="n">
        <x:f>IF(COUNTIFS(Votaciones!$A$2:$A$341,Decisiones!A192,Votaciones!$B$2:$B$341,$X$2)&gt;0,Decisiones!B192,NA())</x:f>
        <x:v>44147</x:v>
      </x:c>
      <x:c r="K421" s="78" t="n">
        <x:f>IF(COUNTIFS(Votaciones!$A$2:$A$341,Decisiones!A192,Votaciones!$B$2:$B$341,$X$2)&gt;0,Decisiones!H192,NA())</x:f>
        <x:v>4.25</x:v>
      </x:c>
      <x:c r="L421" s="78" t="n">
        <x:f>IF(COUNTIFS(Votaciones!$A$2:$A$341,Decisiones!A192,Votaciones!$B$2:$B$341,$X$2,Votaciones!$D$2:$D$341,"Disenso restrictivo")&gt;0,1,0)</x:f>
        <x:v>0</x:v>
      </x:c>
      <x:c r="M421" s="78" t="n">
        <x:f>IF(COUNTIFS(Votaciones!$A$2:$A$341,Decisiones!A192,Votaciones!$B$2:$B$341,$X$2,Votaciones!$D$2:$D$341,"Disenso acomodaticio")&gt;0,1,0)</x:f>
        <x:v>1</x:v>
      </x:c>
    </x:row>
    <x:row r="422" ht="1.9500000476837158" customHeight="1">
      <x:c r="A422" s="78"/>
      <x:c r="B422" s="78"/>
      <x:c r="C422" s="78"/>
      <x:c r="D422" s="78"/>
      <x:c r="E422" s="78"/>
      <x:c r="F422" s="78"/>
      <x:c r="G422" s="78"/>
      <x:c r="H422" s="78"/>
      <x:c r="I422" s="78"/>
      <x:c r="J422" s="94" t="n">
        <x:f>IF(COUNTIFS(Votaciones!$A$2:$A$341,Decisiones!A193,Votaciones!$B$2:$B$341,$X$2)&gt;0,Decisiones!B193,NA())</x:f>
        <x:v>44182</x:v>
      </x:c>
      <x:c r="K422" s="78" t="n">
        <x:f>IF(COUNTIFS(Votaciones!$A$2:$A$341,Decisiones!A193,Votaciones!$B$2:$B$341,$X$2)&gt;0,Decisiones!H193,NA())</x:f>
        <x:v>4.25</x:v>
      </x:c>
      <x:c r="L422" s="78" t="n">
        <x:f>IF(COUNTIFS(Votaciones!$A$2:$A$341,Decisiones!A193,Votaciones!$B$2:$B$341,$X$2,Votaciones!$D$2:$D$341,"Disenso restrictivo")&gt;0,1,0)</x:f>
        <x:v>0</x:v>
      </x:c>
      <x:c r="M422" s="78" t="n">
        <x:f>IF(COUNTIFS(Votaciones!$A$2:$A$341,Decisiones!A193,Votaciones!$B$2:$B$341,$X$2,Votaciones!$D$2:$D$341,"Disenso acomodaticio")&gt;0,1,0)</x:f>
        <x:v>1</x:v>
      </x:c>
    </x:row>
    <x:row r="423" ht="1.9500000476837158" customHeight="1">
      <x:c r="A423" s="78"/>
      <x:c r="B423" s="78"/>
      <x:c r="C423" s="78"/>
      <x:c r="D423" s="78"/>
      <x:c r="E423" s="78"/>
      <x:c r="F423" s="78"/>
      <x:c r="G423" s="78"/>
      <x:c r="H423" s="78"/>
      <x:c r="I423" s="78"/>
      <x:c r="J423" s="94" t="n">
        <x:f>IF(COUNTIFS(Votaciones!$A$2:$A$341,Decisiones!A194,Votaciones!$B$2:$B$341,$X$2)&gt;0,Decisiones!B194,NA())</x:f>
        <x:v>44238</x:v>
      </x:c>
      <x:c r="K423" s="78" t="n">
        <x:f>IF(COUNTIFS(Votaciones!$A$2:$A$341,Decisiones!A194,Votaciones!$B$2:$B$341,$X$2)&gt;0,Decisiones!H194,NA())</x:f>
        <x:v>4</x:v>
      </x:c>
      <x:c r="L423" s="78" t="n">
        <x:f>IF(COUNTIFS(Votaciones!$A$2:$A$341,Decisiones!A194,Votaciones!$B$2:$B$341,$X$2,Votaciones!$D$2:$D$341,"Disenso restrictivo")&gt;0,1,0)</x:f>
        <x:v>0</x:v>
      </x:c>
      <x:c r="M423" s="78" t="n">
        <x:f>IF(COUNTIFS(Votaciones!$A$2:$A$341,Decisiones!A194,Votaciones!$B$2:$B$341,$X$2,Votaciones!$D$2:$D$341,"Disenso acomodaticio")&gt;0,1,0)</x:f>
        <x:v>0</x:v>
      </x:c>
    </x:row>
    <x:row r="424" ht="1.9500000476837158" customHeight="1">
      <x:c r="A424" s="78"/>
      <x:c r="B424" s="78"/>
      <x:c r="C424" s="78"/>
      <x:c r="D424" s="78"/>
      <x:c r="E424" s="78"/>
      <x:c r="F424" s="78"/>
      <x:c r="G424" s="78"/>
      <x:c r="H424" s="78"/>
      <x:c r="I424" s="78"/>
      <x:c r="J424" s="94" t="n">
        <x:f>IF(COUNTIFS(Votaciones!$A$2:$A$341,Decisiones!A195,Votaciones!$B$2:$B$341,$X$2)&gt;0,Decisiones!B195,NA())</x:f>
        <x:v>44280</x:v>
      </x:c>
      <x:c r="K424" s="78" t="n">
        <x:f>IF(COUNTIFS(Votaciones!$A$2:$A$341,Decisiones!A195,Votaciones!$B$2:$B$341,$X$2)&gt;0,Decisiones!H195,NA())</x:f>
        <x:v>4</x:v>
      </x:c>
      <x:c r="L424" s="78" t="n">
        <x:f>IF(COUNTIFS(Votaciones!$A$2:$A$341,Decisiones!A195,Votaciones!$B$2:$B$341,$X$2,Votaciones!$D$2:$D$341,"Disenso restrictivo")&gt;0,1,0)</x:f>
        <x:v>0</x:v>
      </x:c>
      <x:c r="M424" s="78" t="n">
        <x:f>IF(COUNTIFS(Votaciones!$A$2:$A$341,Decisiones!A195,Votaciones!$B$2:$B$341,$X$2,Votaciones!$D$2:$D$341,"Disenso acomodaticio")&gt;0,1,0)</x:f>
        <x:v>0</x:v>
      </x:c>
    </x:row>
    <x:row r="425" ht="1.9500000476837158" customHeight="1">
      <x:c r="A425" s="78"/>
      <x:c r="B425" s="78"/>
      <x:c r="C425" s="78"/>
      <x:c r="D425" s="78"/>
      <x:c r="E425" s="78"/>
      <x:c r="F425" s="78"/>
      <x:c r="G425" s="78"/>
      <x:c r="H425" s="78"/>
      <x:c r="I425" s="78"/>
      <x:c r="J425" s="94" t="n">
        <x:f>IF(COUNTIFS(Votaciones!$A$2:$A$341,Decisiones!A196,Votaciones!$B$2:$B$341,$X$2)&gt;0,Decisiones!B196,NA())</x:f>
        <x:v>44329</x:v>
      </x:c>
      <x:c r="K425" s="78" t="n">
        <x:f>IF(COUNTIFS(Votaciones!$A$2:$A$341,Decisiones!A196,Votaciones!$B$2:$B$341,$X$2)&gt;0,Decisiones!H196,NA())</x:f>
        <x:v>4</x:v>
      </x:c>
      <x:c r="L425" s="78" t="n">
        <x:f>IF(COUNTIFS(Votaciones!$A$2:$A$341,Decisiones!A196,Votaciones!$B$2:$B$341,$X$2,Votaciones!$D$2:$D$341,"Disenso restrictivo")&gt;0,1,0)</x:f>
        <x:v>0</x:v>
      </x:c>
      <x:c r="M425" s="78" t="n">
        <x:f>IF(COUNTIFS(Votaciones!$A$2:$A$341,Decisiones!A196,Votaciones!$B$2:$B$341,$X$2,Votaciones!$D$2:$D$341,"Disenso acomodaticio")&gt;0,1,0)</x:f>
        <x:v>0</x:v>
      </x:c>
    </x:row>
    <x:row r="426" ht="1.9500000476837158" customHeight="1">
      <x:c r="A426" s="78"/>
      <x:c r="B426" s="78"/>
      <x:c r="C426" s="78"/>
      <x:c r="D426" s="78"/>
      <x:c r="E426" s="78"/>
      <x:c r="F426" s="78"/>
      <x:c r="G426" s="78"/>
      <x:c r="H426" s="78"/>
      <x:c r="I426" s="78"/>
      <x:c r="J426" s="94" t="n">
        <x:f>IF(COUNTIFS(Votaciones!$A$2:$A$341,Decisiones!A197,Votaciones!$B$2:$B$341,$X$2)&gt;0,Decisiones!B197,NA())</x:f>
        <x:v>44371</x:v>
      </x:c>
      <x:c r="K426" s="78" t="n">
        <x:f>IF(COUNTIFS(Votaciones!$A$2:$A$341,Decisiones!A197,Votaciones!$B$2:$B$341,$X$2)&gt;0,Decisiones!H197,NA())</x:f>
        <x:v>4.25</x:v>
      </x:c>
      <x:c r="L426" s="78" t="n">
        <x:f>IF(COUNTIFS(Votaciones!$A$2:$A$341,Decisiones!A197,Votaciones!$B$2:$B$341,$X$2,Votaciones!$D$2:$D$341,"Disenso restrictivo")&gt;0,1,0)</x:f>
        <x:v>0</x:v>
      </x:c>
      <x:c r="M426" s="78" t="n">
        <x:f>IF(COUNTIFS(Votaciones!$A$2:$A$341,Decisiones!A197,Votaciones!$B$2:$B$341,$X$2,Votaciones!$D$2:$D$341,"Disenso acomodaticio")&gt;0,1,0)</x:f>
        <x:v>0</x:v>
      </x:c>
    </x:row>
    <x:row r="427" ht="1.9500000476837158" customHeight="1">
      <x:c r="A427" s="78"/>
      <x:c r="B427" s="78"/>
      <x:c r="C427" s="78"/>
      <x:c r="D427" s="78"/>
      <x:c r="E427" s="78"/>
      <x:c r="F427" s="78"/>
      <x:c r="G427" s="78"/>
      <x:c r="H427" s="78"/>
      <x:c r="I427" s="78"/>
      <x:c r="J427" s="94" t="n">
        <x:f>IF(COUNTIFS(Votaciones!$A$2:$A$341,Decisiones!A198,Votaciones!$B$2:$B$341,$X$2)&gt;0,Decisiones!B198,NA())</x:f>
        <x:v>44420</x:v>
      </x:c>
      <x:c r="K427" s="78" t="n">
        <x:f>IF(COUNTIFS(Votaciones!$A$2:$A$341,Decisiones!A198,Votaciones!$B$2:$B$341,$X$2)&gt;0,Decisiones!H198,NA())</x:f>
        <x:v>4.5</x:v>
      </x:c>
      <x:c r="L427" s="78" t="n">
        <x:f>IF(COUNTIFS(Votaciones!$A$2:$A$341,Decisiones!A198,Votaciones!$B$2:$B$341,$X$2,Votaciones!$D$2:$D$341,"Disenso restrictivo")&gt;0,1,0)</x:f>
        <x:v>0</x:v>
      </x:c>
      <x:c r="M427" s="78" t="n">
        <x:f>IF(COUNTIFS(Votaciones!$A$2:$A$341,Decisiones!A198,Votaciones!$B$2:$B$341,$X$2,Votaciones!$D$2:$D$341,"Disenso acomodaticio")&gt;0,1,0)</x:f>
        <x:v>0</x:v>
      </x:c>
    </x:row>
    <x:row r="428" ht="1.9500000476837158" customHeight="1">
      <x:c r="A428" s="78"/>
      <x:c r="B428" s="78"/>
      <x:c r="C428" s="78"/>
      <x:c r="D428" s="78"/>
      <x:c r="E428" s="78"/>
      <x:c r="F428" s="78"/>
      <x:c r="G428" s="78"/>
      <x:c r="H428" s="78"/>
      <x:c r="I428" s="78"/>
      <x:c r="J428" s="94" t="n">
        <x:f>IF(COUNTIFS(Votaciones!$A$2:$A$341,Decisiones!A199,Votaciones!$B$2:$B$341,$X$2)&gt;0,Decisiones!B199,NA())</x:f>
        <x:v>44469</x:v>
      </x:c>
      <x:c r="K428" s="78" t="n">
        <x:f>IF(COUNTIFS(Votaciones!$A$2:$A$341,Decisiones!A199,Votaciones!$B$2:$B$341,$X$2)&gt;0,Decisiones!H199,NA())</x:f>
        <x:v>4.75</x:v>
      </x:c>
      <x:c r="L428" s="78" t="n">
        <x:f>IF(COUNTIFS(Votaciones!$A$2:$A$341,Decisiones!A199,Votaciones!$B$2:$B$341,$X$2,Votaciones!$D$2:$D$341,"Disenso restrictivo")&gt;0,1,0)</x:f>
        <x:v>0</x:v>
      </x:c>
      <x:c r="M428" s="78" t="n">
        <x:f>IF(COUNTIFS(Votaciones!$A$2:$A$341,Decisiones!A199,Votaciones!$B$2:$B$341,$X$2,Votaciones!$D$2:$D$341,"Disenso acomodaticio")&gt;0,1,0)</x:f>
        <x:v>0</x:v>
      </x:c>
    </x:row>
    <x:row r="429" ht="1.9500000476837158" customHeight="1">
      <x:c r="A429" s="78"/>
      <x:c r="B429" s="78"/>
      <x:c r="C429" s="78"/>
      <x:c r="D429" s="78"/>
      <x:c r="E429" s="78"/>
      <x:c r="F429" s="78"/>
      <x:c r="G429" s="78"/>
      <x:c r="H429" s="78"/>
      <x:c r="I429" s="78"/>
      <x:c r="J429" s="94" t="n">
        <x:f>IF(COUNTIFS(Votaciones!$A$2:$A$341,Decisiones!A200,Votaciones!$B$2:$B$341,$X$2)&gt;0,Decisiones!B200,NA())</x:f>
        <x:v>44511</x:v>
      </x:c>
      <x:c r="K429" s="78" t="n">
        <x:f>IF(COUNTIFS(Votaciones!$A$2:$A$341,Decisiones!A200,Votaciones!$B$2:$B$341,$X$2)&gt;0,Decisiones!H200,NA())</x:f>
        <x:v>5</x:v>
      </x:c>
      <x:c r="L429" s="78" t="n">
        <x:f>IF(COUNTIFS(Votaciones!$A$2:$A$341,Decisiones!A200,Votaciones!$B$2:$B$341,$X$2,Votaciones!$D$2:$D$341,"Disenso restrictivo")&gt;0,1,0)</x:f>
        <x:v>0</x:v>
      </x:c>
      <x:c r="M429" s="78" t="n">
        <x:f>IF(COUNTIFS(Votaciones!$A$2:$A$341,Decisiones!A200,Votaciones!$B$2:$B$341,$X$2,Votaciones!$D$2:$D$341,"Disenso acomodaticio")&gt;0,1,0)</x:f>
        <x:v>0</x:v>
      </x:c>
    </x:row>
    <x:row r="430" ht="1.9500000476837158" customHeight="1">
      <x:c r="A430" s="78"/>
      <x:c r="B430" s="78"/>
      <x:c r="C430" s="78"/>
      <x:c r="D430" s="78"/>
      <x:c r="E430" s="78"/>
      <x:c r="F430" s="78"/>
      <x:c r="G430" s="78"/>
      <x:c r="H430" s="78"/>
      <x:c r="I430" s="78"/>
      <x:c r="J430" s="94" t="n">
        <x:f>IF(COUNTIFS(Votaciones!$A$2:$A$341,Decisiones!A201,Votaciones!$B$2:$B$341,$X$2)&gt;0,Decisiones!B201,NA())</x:f>
        <x:v>44546</x:v>
      </x:c>
      <x:c r="K430" s="78" t="n">
        <x:f>IF(COUNTIFS(Votaciones!$A$2:$A$341,Decisiones!A201,Votaciones!$B$2:$B$341,$X$2)&gt;0,Decisiones!H201,NA())</x:f>
        <x:v>5.5</x:v>
      </x:c>
      <x:c r="L430" s="78" t="n">
        <x:f>IF(COUNTIFS(Votaciones!$A$2:$A$341,Decisiones!A201,Votaciones!$B$2:$B$341,$X$2,Votaciones!$D$2:$D$341,"Disenso restrictivo")&gt;0,1,0)</x:f>
        <x:v>0</x:v>
      </x:c>
      <x:c r="M430" s="78" t="n">
        <x:f>IF(COUNTIFS(Votaciones!$A$2:$A$341,Decisiones!A201,Votaciones!$B$2:$B$341,$X$2,Votaciones!$D$2:$D$341,"Disenso acomodaticio")&gt;0,1,0)</x:f>
        <x:v>0</x:v>
      </x:c>
    </x:row>
    <x:row r="431" ht="1.9500000476837158" customHeight="1">
      <x:c r="A431" s="78"/>
      <x:c r="B431" s="78"/>
      <x:c r="C431" s="78"/>
      <x:c r="D431" s="78"/>
      <x:c r="E431" s="78"/>
      <x:c r="F431" s="78"/>
      <x:c r="G431" s="78"/>
      <x:c r="H431" s="78"/>
      <x:c r="I431" s="78"/>
      <x:c r="J431" s="94" t="n">
        <x:f>IF(COUNTIFS(Votaciones!$A$2:$A$341,Decisiones!A202,Votaciones!$B$2:$B$341,$X$2)&gt;0,Decisiones!B202,NA())</x:f>
        <x:v>44602</x:v>
      </x:c>
      <x:c r="K431" s="78" t="n">
        <x:f>IF(COUNTIFS(Votaciones!$A$2:$A$341,Decisiones!A202,Votaciones!$B$2:$B$341,$X$2)&gt;0,Decisiones!H202,NA())</x:f>
        <x:v>6</x:v>
      </x:c>
      <x:c r="L431" s="78" t="n">
        <x:f>IF(COUNTIFS(Votaciones!$A$2:$A$341,Decisiones!A202,Votaciones!$B$2:$B$341,$X$2,Votaciones!$D$2:$D$341,"Disenso restrictivo")&gt;0,1,0)</x:f>
        <x:v>0</x:v>
      </x:c>
      <x:c r="M431" s="78" t="n">
        <x:f>IF(COUNTIFS(Votaciones!$A$2:$A$341,Decisiones!A202,Votaciones!$B$2:$B$341,$X$2,Votaciones!$D$2:$D$341,"Disenso acomodaticio")&gt;0,1,0)</x:f>
        <x:v>0</x:v>
      </x:c>
    </x:row>
    <x:row r="432" ht="1.9500000476837158" customHeight="1">
      <x:c r="A432" s="78"/>
      <x:c r="B432" s="78"/>
      <x:c r="C432" s="78"/>
      <x:c r="D432" s="78"/>
      <x:c r="E432" s="78"/>
      <x:c r="F432" s="78"/>
      <x:c r="G432" s="78"/>
      <x:c r="H432" s="78"/>
      <x:c r="I432" s="78"/>
      <x:c r="J432" s="94" t="n">
        <x:f>IF(COUNTIFS(Votaciones!$A$2:$A$341,Decisiones!A203,Votaciones!$B$2:$B$341,$X$2)&gt;0,Decisiones!B203,NA())</x:f>
        <x:v>44644</x:v>
      </x:c>
      <x:c r="K432" s="78" t="n">
        <x:f>IF(COUNTIFS(Votaciones!$A$2:$A$341,Decisiones!A203,Votaciones!$B$2:$B$341,$X$2)&gt;0,Decisiones!H203,NA())</x:f>
        <x:v>6.5</x:v>
      </x:c>
      <x:c r="L432" s="78" t="n">
        <x:f>IF(COUNTIFS(Votaciones!$A$2:$A$341,Decisiones!A203,Votaciones!$B$2:$B$341,$X$2,Votaciones!$D$2:$D$341,"Disenso restrictivo")&gt;0,1,0)</x:f>
        <x:v>0</x:v>
      </x:c>
      <x:c r="M432" s="78" t="n">
        <x:f>IF(COUNTIFS(Votaciones!$A$2:$A$341,Decisiones!A203,Votaciones!$B$2:$B$341,$X$2,Votaciones!$D$2:$D$341,"Disenso acomodaticio")&gt;0,1,0)</x:f>
        <x:v>0</x:v>
      </x:c>
    </x:row>
    <x:row r="433" ht="1.9500000476837158" customHeight="1">
      <x:c r="A433" s="78"/>
      <x:c r="B433" s="78"/>
      <x:c r="C433" s="78"/>
      <x:c r="D433" s="78"/>
      <x:c r="E433" s="78"/>
      <x:c r="F433" s="78"/>
      <x:c r="G433" s="78"/>
      <x:c r="H433" s="78"/>
      <x:c r="I433" s="78"/>
      <x:c r="J433" s="94" t="n">
        <x:f>IF(COUNTIFS(Votaciones!$A$2:$A$341,Decisiones!A204,Votaciones!$B$2:$B$341,$X$2)&gt;0,Decisiones!B204,NA())</x:f>
        <x:v>44693</x:v>
      </x:c>
      <x:c r="K433" s="78" t="n">
        <x:f>IF(COUNTIFS(Votaciones!$A$2:$A$341,Decisiones!A204,Votaciones!$B$2:$B$341,$X$2)&gt;0,Decisiones!H204,NA())</x:f>
        <x:v>7</x:v>
      </x:c>
      <x:c r="L433" s="78" t="n">
        <x:f>IF(COUNTIFS(Votaciones!$A$2:$A$341,Decisiones!A204,Votaciones!$B$2:$B$341,$X$2,Votaciones!$D$2:$D$341,"Disenso restrictivo")&gt;0,1,0)</x:f>
        <x:v>0</x:v>
      </x:c>
      <x:c r="M433" s="78" t="n">
        <x:f>IF(COUNTIFS(Votaciones!$A$2:$A$341,Decisiones!A204,Votaciones!$B$2:$B$341,$X$2,Votaciones!$D$2:$D$341,"Disenso acomodaticio")&gt;0,1,0)</x:f>
        <x:v>0</x:v>
      </x:c>
    </x:row>
    <x:row r="434" ht="1.9500000476837158" customHeight="1">
      <x:c r="A434" s="78"/>
      <x:c r="B434" s="78"/>
      <x:c r="C434" s="78"/>
      <x:c r="D434" s="78"/>
      <x:c r="E434" s="78"/>
      <x:c r="F434" s="78"/>
      <x:c r="G434" s="78"/>
      <x:c r="H434" s="78"/>
      <x:c r="I434" s="78"/>
      <x:c r="J434" s="94" t="n">
        <x:f>IF(COUNTIFS(Votaciones!$A$2:$A$341,Decisiones!A205,Votaciones!$B$2:$B$341,$X$2)&gt;0,Decisiones!B205,NA())</x:f>
        <x:v>44735</x:v>
      </x:c>
      <x:c r="K434" s="78" t="n">
        <x:f>IF(COUNTIFS(Votaciones!$A$2:$A$341,Decisiones!A205,Votaciones!$B$2:$B$341,$X$2)&gt;0,Decisiones!H205,NA())</x:f>
        <x:v>7.75</x:v>
      </x:c>
      <x:c r="L434" s="78" t="n">
        <x:f>IF(COUNTIFS(Votaciones!$A$2:$A$341,Decisiones!A205,Votaciones!$B$2:$B$341,$X$2,Votaciones!$D$2:$D$341,"Disenso restrictivo")&gt;0,1,0)</x:f>
        <x:v>0</x:v>
      </x:c>
      <x:c r="M434" s="78" t="n">
        <x:f>IF(COUNTIFS(Votaciones!$A$2:$A$341,Decisiones!A205,Votaciones!$B$2:$B$341,$X$2,Votaciones!$D$2:$D$341,"Disenso acomodaticio")&gt;0,1,0)</x:f>
        <x:v>0</x:v>
      </x:c>
    </x:row>
    <x:row r="435" ht="1.9500000476837158" customHeight="1">
      <x:c r="A435" s="78"/>
      <x:c r="B435" s="78"/>
      <x:c r="C435" s="78"/>
      <x:c r="D435" s="78"/>
      <x:c r="E435" s="78"/>
      <x:c r="F435" s="78"/>
      <x:c r="G435" s="78"/>
      <x:c r="H435" s="78"/>
      <x:c r="I435" s="78"/>
      <x:c r="J435" s="94" t="n">
        <x:f>IF(COUNTIFS(Votaciones!$A$2:$A$341,Decisiones!A206,Votaciones!$B$2:$B$341,$X$2)&gt;0,Decisiones!B206,NA())</x:f>
        <x:v>44784</x:v>
      </x:c>
      <x:c r="K435" s="78" t="n">
        <x:f>IF(COUNTIFS(Votaciones!$A$2:$A$341,Decisiones!A206,Votaciones!$B$2:$B$341,$X$2)&gt;0,Decisiones!H206,NA())</x:f>
        <x:v>8.5</x:v>
      </x:c>
      <x:c r="L435" s="78" t="n">
        <x:f>IF(COUNTIFS(Votaciones!$A$2:$A$341,Decisiones!A206,Votaciones!$B$2:$B$341,$X$2,Votaciones!$D$2:$D$341,"Disenso restrictivo")&gt;0,1,0)</x:f>
        <x:v>0</x:v>
      </x:c>
      <x:c r="M435" s="78" t="n">
        <x:f>IF(COUNTIFS(Votaciones!$A$2:$A$341,Decisiones!A206,Votaciones!$B$2:$B$341,$X$2,Votaciones!$D$2:$D$341,"Disenso acomodaticio")&gt;0,1,0)</x:f>
        <x:v>0</x:v>
      </x:c>
    </x:row>
    <x:row r="436" ht="1.9500000476837158" customHeight="1">
      <x:c r="A436" s="78"/>
      <x:c r="B436" s="78"/>
      <x:c r="C436" s="78"/>
      <x:c r="D436" s="78"/>
      <x:c r="E436" s="78"/>
      <x:c r="F436" s="78"/>
      <x:c r="G436" s="78"/>
      <x:c r="H436" s="78"/>
      <x:c r="I436" s="78"/>
      <x:c r="J436" s="94" t="n">
        <x:f>IF(COUNTIFS(Votaciones!$A$2:$A$341,Decisiones!A207,Votaciones!$B$2:$B$341,$X$2)&gt;0,Decisiones!B207,NA())</x:f>
        <x:v>44833</x:v>
      </x:c>
      <x:c r="K436" s="78" t="n">
        <x:f>IF(COUNTIFS(Votaciones!$A$2:$A$341,Decisiones!A207,Votaciones!$B$2:$B$341,$X$2)&gt;0,Decisiones!H207,NA())</x:f>
        <x:v>9.25</x:v>
      </x:c>
      <x:c r="L436" s="78" t="n">
        <x:f>IF(COUNTIFS(Votaciones!$A$2:$A$341,Decisiones!A207,Votaciones!$B$2:$B$341,$X$2,Votaciones!$D$2:$D$341,"Disenso restrictivo")&gt;0,1,0)</x:f>
        <x:v>0</x:v>
      </x:c>
      <x:c r="M436" s="78" t="n">
        <x:f>IF(COUNTIFS(Votaciones!$A$2:$A$341,Decisiones!A207,Votaciones!$B$2:$B$341,$X$2,Votaciones!$D$2:$D$341,"Disenso acomodaticio")&gt;0,1,0)</x:f>
        <x:v>0</x:v>
      </x:c>
    </x:row>
    <x:row r="437" ht="1.9500000476837158" customHeight="1">
      <x:c r="A437" s="78"/>
      <x:c r="B437" s="78"/>
      <x:c r="C437" s="78"/>
      <x:c r="D437" s="78"/>
      <x:c r="E437" s="78"/>
      <x:c r="F437" s="78"/>
      <x:c r="G437" s="78"/>
      <x:c r="H437" s="78"/>
      <x:c r="I437" s="78"/>
      <x:c r="J437" s="94" t="n">
        <x:f>IF(COUNTIFS(Votaciones!$A$2:$A$341,Decisiones!A208,Votaciones!$B$2:$B$341,$X$2)&gt;0,Decisiones!B208,NA())</x:f>
        <x:v>44875</x:v>
      </x:c>
      <x:c r="K437" s="78" t="n">
        <x:f>IF(COUNTIFS(Votaciones!$A$2:$A$341,Decisiones!A208,Votaciones!$B$2:$B$341,$X$2)&gt;0,Decisiones!H208,NA())</x:f>
        <x:v>10</x:v>
      </x:c>
      <x:c r="L437" s="78" t="n">
        <x:f>IF(COUNTIFS(Votaciones!$A$2:$A$341,Decisiones!A208,Votaciones!$B$2:$B$341,$X$2,Votaciones!$D$2:$D$341,"Disenso restrictivo")&gt;0,1,0)</x:f>
        <x:v>0</x:v>
      </x:c>
      <x:c r="M437" s="78" t="n">
        <x:f>IF(COUNTIFS(Votaciones!$A$2:$A$341,Decisiones!A208,Votaciones!$B$2:$B$341,$X$2,Votaciones!$D$2:$D$341,"Disenso acomodaticio")&gt;0,1,0)</x:f>
        <x:v>0</x:v>
      </x:c>
    </x:row>
    <x:row r="438" ht="1.9500000476837158" customHeight="1">
      <x:c r="A438" s="78"/>
      <x:c r="B438" s="78"/>
      <x:c r="C438" s="78"/>
      <x:c r="D438" s="78"/>
      <x:c r="E438" s="78"/>
      <x:c r="F438" s="78"/>
      <x:c r="G438" s="78"/>
      <x:c r="H438" s="78"/>
      <x:c r="I438" s="78"/>
      <x:c r="J438" s="94" t="n">
        <x:f>IF(COUNTIFS(Votaciones!$A$2:$A$341,Decisiones!A209,Votaciones!$B$2:$B$341,$X$2)&gt;0,Decisiones!B209,NA())</x:f>
        <x:v>44910</x:v>
      </x:c>
      <x:c r="K438" s="78" t="n">
        <x:f>IF(COUNTIFS(Votaciones!$A$2:$A$341,Decisiones!A209,Votaciones!$B$2:$B$341,$X$2)&gt;0,Decisiones!H209,NA())</x:f>
        <x:v>10.5</x:v>
      </x:c>
      <x:c r="L438" s="78" t="n">
        <x:f>IF(COUNTIFS(Votaciones!$A$2:$A$341,Decisiones!A209,Votaciones!$B$2:$B$341,$X$2,Votaciones!$D$2:$D$341,"Disenso restrictivo")&gt;0,1,0)</x:f>
        <x:v>0</x:v>
      </x:c>
      <x:c r="M438" s="78" t="n">
        <x:f>IF(COUNTIFS(Votaciones!$A$2:$A$341,Decisiones!A209,Votaciones!$B$2:$B$341,$X$2,Votaciones!$D$2:$D$341,"Disenso acomodaticio")&gt;0,1,0)</x:f>
        <x:v>0</x:v>
      </x:c>
    </x:row>
    <x:row r="439" ht="1.9500000476837158" customHeight="1">
      <x:c r="A439" s="78"/>
      <x:c r="B439" s="78"/>
      <x:c r="C439" s="78"/>
      <x:c r="D439" s="78"/>
      <x:c r="E439" s="78"/>
      <x:c r="F439" s="78"/>
      <x:c r="G439" s="78"/>
      <x:c r="H439" s="78"/>
      <x:c r="I439" s="78"/>
      <x:c r="J439" s="94" t="n">
        <x:f>IF(COUNTIFS(Votaciones!$A$2:$A$341,Decisiones!A210,Votaciones!$B$2:$B$341,$X$2)&gt;0,Decisiones!B210,NA())</x:f>
        <x:v>44966</x:v>
      </x:c>
      <x:c r="K439" s="78" t="n">
        <x:f>IF(COUNTIFS(Votaciones!$A$2:$A$341,Decisiones!A210,Votaciones!$B$2:$B$341,$X$2)&gt;0,Decisiones!H210,NA())</x:f>
        <x:v>11</x:v>
      </x:c>
      <x:c r="L439" s="78" t="n">
        <x:f>IF(COUNTIFS(Votaciones!$A$2:$A$341,Decisiones!A210,Votaciones!$B$2:$B$341,$X$2,Votaciones!$D$2:$D$341,"Disenso restrictivo")&gt;0,1,0)</x:f>
        <x:v>0</x:v>
      </x:c>
      <x:c r="M439" s="78" t="n">
        <x:f>IF(COUNTIFS(Votaciones!$A$2:$A$341,Decisiones!A210,Votaciones!$B$2:$B$341,$X$2,Votaciones!$D$2:$D$341,"Disenso acomodaticio")&gt;0,1,0)</x:f>
        <x:v>0</x:v>
      </x:c>
    </x:row>
    <x:row r="440" ht="1.9500000476837158" customHeight="1">
      <x:c r="A440" s="78"/>
      <x:c r="B440" s="78"/>
      <x:c r="C440" s="78"/>
      <x:c r="D440" s="78"/>
      <x:c r="E440" s="78"/>
      <x:c r="F440" s="78"/>
      <x:c r="G440" s="78"/>
      <x:c r="H440" s="78"/>
      <x:c r="I440" s="78"/>
      <x:c r="J440" s="94" t="n">
        <x:f>IF(COUNTIFS(Votaciones!$A$2:$A$341,Decisiones!A211,Votaciones!$B$2:$B$341,$X$2)&gt;0,Decisiones!B211,NA())</x:f>
        <x:v>45015</x:v>
      </x:c>
      <x:c r="K440" s="78" t="n">
        <x:f>IF(COUNTIFS(Votaciones!$A$2:$A$341,Decisiones!A211,Votaciones!$B$2:$B$341,$X$2)&gt;0,Decisiones!H211,NA())</x:f>
        <x:v>11.25</x:v>
      </x:c>
      <x:c r="L440" s="78" t="n">
        <x:f>IF(COUNTIFS(Votaciones!$A$2:$A$341,Decisiones!A211,Votaciones!$B$2:$B$341,$X$2,Votaciones!$D$2:$D$341,"Disenso restrictivo")&gt;0,1,0)</x:f>
        <x:v>0</x:v>
      </x:c>
      <x:c r="M440" s="78" t="n">
        <x:f>IF(COUNTIFS(Votaciones!$A$2:$A$341,Decisiones!A211,Votaciones!$B$2:$B$341,$X$2,Votaciones!$D$2:$D$341,"Disenso acomodaticio")&gt;0,1,0)</x:f>
        <x:v>0</x:v>
      </x:c>
    </x:row>
    <x:row r="441" ht="1.9500000476837158" customHeight="1">
      <x:c r="A441" s="78"/>
      <x:c r="B441" s="78"/>
      <x:c r="C441" s="78"/>
      <x:c r="D441" s="78"/>
      <x:c r="E441" s="78"/>
      <x:c r="F441" s="78"/>
      <x:c r="G441" s="78"/>
      <x:c r="H441" s="78"/>
      <x:c r="I441" s="78"/>
      <x:c r="J441" s="94" t="n">
        <x:f>IF(COUNTIFS(Votaciones!$A$2:$A$341,Decisiones!A212,Votaciones!$B$2:$B$341,$X$2)&gt;0,Decisiones!B212,NA())</x:f>
        <x:v>45064</x:v>
      </x:c>
      <x:c r="K441" s="78" t="n">
        <x:f>IF(COUNTIFS(Votaciones!$A$2:$A$341,Decisiones!A212,Votaciones!$B$2:$B$341,$X$2)&gt;0,Decisiones!H212,NA())</x:f>
        <x:v>11.25</x:v>
      </x:c>
      <x:c r="L441" s="78" t="n">
        <x:f>IF(COUNTIFS(Votaciones!$A$2:$A$341,Decisiones!A212,Votaciones!$B$2:$B$341,$X$2,Votaciones!$D$2:$D$341,"Disenso restrictivo")&gt;0,1,0)</x:f>
        <x:v>0</x:v>
      </x:c>
      <x:c r="M441" s="78" t="n">
        <x:f>IF(COUNTIFS(Votaciones!$A$2:$A$341,Decisiones!A212,Votaciones!$B$2:$B$341,$X$2,Votaciones!$D$2:$D$341,"Disenso acomodaticio")&gt;0,1,0)</x:f>
        <x:v>0</x:v>
      </x:c>
    </x:row>
    <x:row r="442" ht="1.9500000476837158" customHeight="1">
      <x:c r="A442" s="78"/>
      <x:c r="B442" s="78"/>
      <x:c r="C442" s="78"/>
      <x:c r="D442" s="78"/>
      <x:c r="E442" s="78"/>
      <x:c r="F442" s="78"/>
      <x:c r="G442" s="78"/>
      <x:c r="H442" s="78"/>
      <x:c r="I442" s="78"/>
      <x:c r="J442" s="94" t="n">
        <x:f>IF(COUNTIFS(Votaciones!$A$2:$A$341,Decisiones!A213,Votaciones!$B$2:$B$341,$X$2)&gt;0,Decisiones!B213,NA())</x:f>
        <x:v>45099</x:v>
      </x:c>
      <x:c r="K442" s="78" t="n">
        <x:f>IF(COUNTIFS(Votaciones!$A$2:$A$341,Decisiones!A213,Votaciones!$B$2:$B$341,$X$2)&gt;0,Decisiones!H213,NA())</x:f>
        <x:v>11.25</x:v>
      </x:c>
      <x:c r="L442" s="78" t="n">
        <x:f>IF(COUNTIFS(Votaciones!$A$2:$A$341,Decisiones!A213,Votaciones!$B$2:$B$341,$X$2,Votaciones!$D$2:$D$341,"Disenso restrictivo")&gt;0,1,0)</x:f>
        <x:v>0</x:v>
      </x:c>
      <x:c r="M442" s="78" t="n">
        <x:f>IF(COUNTIFS(Votaciones!$A$2:$A$341,Decisiones!A213,Votaciones!$B$2:$B$341,$X$2,Votaciones!$D$2:$D$341,"Disenso acomodaticio")&gt;0,1,0)</x:f>
        <x:v>0</x:v>
      </x:c>
    </x:row>
    <x:row r="443" ht="1.9500000476837158" customHeight="1">
      <x:c r="A443" s="78"/>
      <x:c r="B443" s="78"/>
      <x:c r="C443" s="78"/>
      <x:c r="D443" s="78"/>
      <x:c r="E443" s="78"/>
      <x:c r="F443" s="78"/>
      <x:c r="G443" s="78"/>
      <x:c r="H443" s="78"/>
      <x:c r="I443" s="78"/>
      <x:c r="J443" s="94" t="n">
        <x:f>IF(COUNTIFS(Votaciones!$A$2:$A$341,Decisiones!A214,Votaciones!$B$2:$B$341,$X$2)&gt;0,Decisiones!B214,NA())</x:f>
        <x:v>45148</x:v>
      </x:c>
      <x:c r="K443" s="78" t="n">
        <x:f>IF(COUNTIFS(Votaciones!$A$2:$A$341,Decisiones!A214,Votaciones!$B$2:$B$341,$X$2)&gt;0,Decisiones!H214,NA())</x:f>
        <x:v>11.25</x:v>
      </x:c>
      <x:c r="L443" s="78" t="n">
        <x:f>IF(COUNTIFS(Votaciones!$A$2:$A$341,Decisiones!A214,Votaciones!$B$2:$B$341,$X$2,Votaciones!$D$2:$D$341,"Disenso restrictivo")&gt;0,1,0)</x:f>
        <x:v>0</x:v>
      </x:c>
      <x:c r="M443" s="78" t="n">
        <x:f>IF(COUNTIFS(Votaciones!$A$2:$A$341,Decisiones!A214,Votaciones!$B$2:$B$341,$X$2,Votaciones!$D$2:$D$341,"Disenso acomodaticio")&gt;0,1,0)</x:f>
        <x:v>0</x:v>
      </x:c>
    </x:row>
    <x:row r="444" ht="1.9500000476837158" customHeight="1">
      <x:c r="A444" s="78"/>
      <x:c r="B444" s="78"/>
      <x:c r="C444" s="78"/>
      <x:c r="D444" s="78"/>
      <x:c r="E444" s="78"/>
      <x:c r="F444" s="78"/>
      <x:c r="G444" s="78"/>
      <x:c r="H444" s="78"/>
      <x:c r="I444" s="78"/>
      <x:c r="J444" s="94" t="n">
        <x:f>IF(COUNTIFS(Votaciones!$A$2:$A$341,Decisiones!A215,Votaciones!$B$2:$B$341,$X$2)&gt;0,Decisiones!B215,NA())</x:f>
        <x:v>45197</x:v>
      </x:c>
      <x:c r="K444" s="78" t="n">
        <x:f>IF(COUNTIFS(Votaciones!$A$2:$A$341,Decisiones!A215,Votaciones!$B$2:$B$341,$X$2)&gt;0,Decisiones!H215,NA())</x:f>
        <x:v>11.25</x:v>
      </x:c>
      <x:c r="L444" s="78" t="n">
        <x:f>IF(COUNTIFS(Votaciones!$A$2:$A$341,Decisiones!A215,Votaciones!$B$2:$B$341,$X$2,Votaciones!$D$2:$D$341,"Disenso restrictivo")&gt;0,1,0)</x:f>
        <x:v>0</x:v>
      </x:c>
      <x:c r="M444" s="78" t="n">
        <x:f>IF(COUNTIFS(Votaciones!$A$2:$A$341,Decisiones!A215,Votaciones!$B$2:$B$341,$X$2,Votaciones!$D$2:$D$341,"Disenso acomodaticio")&gt;0,1,0)</x:f>
        <x:v>0</x:v>
      </x:c>
    </x:row>
    <x:row r="445" ht="1.9500000476837158" customHeight="1">
      <x:c r="A445" s="78"/>
      <x:c r="B445" s="78"/>
      <x:c r="C445" s="78"/>
      <x:c r="D445" s="78"/>
      <x:c r="E445" s="78"/>
      <x:c r="F445" s="78"/>
      <x:c r="G445" s="78"/>
      <x:c r="H445" s="78"/>
      <x:c r="I445" s="78"/>
      <x:c r="J445" s="94" t="n">
        <x:f>IF(COUNTIFS(Votaciones!$A$2:$A$341,Decisiones!A216,Votaciones!$B$2:$B$341,$X$2)&gt;0,Decisiones!B216,NA())</x:f>
        <x:v>45239</x:v>
      </x:c>
      <x:c r="K445" s="78" t="n">
        <x:f>IF(COUNTIFS(Votaciones!$A$2:$A$341,Decisiones!A216,Votaciones!$B$2:$B$341,$X$2)&gt;0,Decisiones!H216,NA())</x:f>
        <x:v>11.25</x:v>
      </x:c>
      <x:c r="L445" s="78" t="n">
        <x:f>IF(COUNTIFS(Votaciones!$A$2:$A$341,Decisiones!A216,Votaciones!$B$2:$B$341,$X$2,Votaciones!$D$2:$D$341,"Disenso restrictivo")&gt;0,1,0)</x:f>
        <x:v>0</x:v>
      </x:c>
      <x:c r="M445" s="78" t="n">
        <x:f>IF(COUNTIFS(Votaciones!$A$2:$A$341,Decisiones!A216,Votaciones!$B$2:$B$341,$X$2,Votaciones!$D$2:$D$341,"Disenso acomodaticio")&gt;0,1,0)</x:f>
        <x:v>0</x:v>
      </x:c>
    </x:row>
    <x:row r="446" ht="1.9500000476837158" customHeight="1">
      <x:c r="A446" s="78"/>
      <x:c r="B446" s="78"/>
      <x:c r="C446" s="78"/>
      <x:c r="D446" s="78"/>
      <x:c r="E446" s="78"/>
      <x:c r="F446" s="78"/>
      <x:c r="G446" s="78"/>
      <x:c r="H446" s="78"/>
      <x:c r="I446" s="78"/>
      <x:c r="J446" s="94" t="n">
        <x:f>IF(COUNTIFS(Votaciones!$A$2:$A$341,Decisiones!A217,Votaciones!$B$2:$B$341,$X$2)&gt;0,Decisiones!B217,NA())</x:f>
        <x:v>45274</x:v>
      </x:c>
      <x:c r="K446" s="78" t="n">
        <x:f>IF(COUNTIFS(Votaciones!$A$2:$A$341,Decisiones!A217,Votaciones!$B$2:$B$341,$X$2)&gt;0,Decisiones!H217,NA())</x:f>
        <x:v>11.25</x:v>
      </x:c>
      <x:c r="L446" s="78" t="n">
        <x:f>IF(COUNTIFS(Votaciones!$A$2:$A$341,Decisiones!A217,Votaciones!$B$2:$B$341,$X$2,Votaciones!$D$2:$D$341,"Disenso restrictivo")&gt;0,1,0)</x:f>
        <x:v>0</x:v>
      </x:c>
      <x:c r="M446" s="78" t="n">
        <x:f>IF(COUNTIFS(Votaciones!$A$2:$A$341,Decisiones!A217,Votaciones!$B$2:$B$341,$X$2,Votaciones!$D$2:$D$341,"Disenso acomodaticio")&gt;0,1,0)</x:f>
        <x:v>0</x:v>
      </x:c>
    </x:row>
    <x:row r="447" ht="1.9500000476837158" customHeight="1">
      <x:c r="A447" s="78"/>
      <x:c r="B447" s="78"/>
      <x:c r="C447" s="78"/>
      <x:c r="D447" s="78"/>
      <x:c r="E447" s="78"/>
      <x:c r="F447" s="78"/>
      <x:c r="G447" s="78"/>
      <x:c r="H447" s="78"/>
      <x:c r="I447" s="78"/>
      <x:c r="J447" s="94" t="n">
        <x:f>IF(COUNTIFS(Votaciones!$A$2:$A$341,Decisiones!A218,Votaciones!$B$2:$B$341,$X$2)&gt;0,Decisiones!B218,NA())</x:f>
        <x:v>45330</x:v>
      </x:c>
      <x:c r="K447" s="78" t="n">
        <x:f>IF(COUNTIFS(Votaciones!$A$2:$A$341,Decisiones!A218,Votaciones!$B$2:$B$341,$X$2)&gt;0,Decisiones!H218,NA())</x:f>
        <x:v>11.25</x:v>
      </x:c>
      <x:c r="L447" s="78" t="n">
        <x:f>IF(COUNTIFS(Votaciones!$A$2:$A$341,Decisiones!A218,Votaciones!$B$2:$B$341,$X$2,Votaciones!$D$2:$D$341,"Disenso restrictivo")&gt;0,1,0)</x:f>
        <x:v>0</x:v>
      </x:c>
      <x:c r="M447" s="78" t="n">
        <x:f>IF(COUNTIFS(Votaciones!$A$2:$A$341,Decisiones!A218,Votaciones!$B$2:$B$341,$X$2,Votaciones!$D$2:$D$341,"Disenso acomodaticio")&gt;0,1,0)</x:f>
        <x:v>0</x:v>
      </x:c>
    </x:row>
    <x:row r="448" ht="1.9500000476837158" customHeight="1">
      <x:c r="A448" s="78"/>
      <x:c r="B448" s="78"/>
      <x:c r="C448" s="78"/>
      <x:c r="D448" s="78"/>
      <x:c r="E448" s="78"/>
      <x:c r="F448" s="78"/>
      <x:c r="G448" s="78"/>
      <x:c r="H448" s="78"/>
      <x:c r="I448" s="78"/>
      <x:c r="J448" s="94" t="n">
        <x:f>IF(COUNTIFS(Votaciones!$A$2:$A$341,Decisiones!A219,Votaciones!$B$2:$B$341,$X$2)&gt;0,Decisiones!B219,NA())</x:f>
        <x:v>45372</x:v>
      </x:c>
      <x:c r="K448" s="78" t="n">
        <x:f>IF(COUNTIFS(Votaciones!$A$2:$A$341,Decisiones!A219,Votaciones!$B$2:$B$341,$X$2)&gt;0,Decisiones!H219,NA())</x:f>
        <x:v>11</x:v>
      </x:c>
      <x:c r="L448" s="78" t="n">
        <x:f>IF(COUNTIFS(Votaciones!$A$2:$A$341,Decisiones!A219,Votaciones!$B$2:$B$341,$X$2,Votaciones!$D$2:$D$341,"Disenso restrictivo")&gt;0,1,0)</x:f>
        <x:v>0</x:v>
      </x:c>
      <x:c r="M448" s="78" t="n">
        <x:f>IF(COUNTIFS(Votaciones!$A$2:$A$341,Decisiones!A219,Votaciones!$B$2:$B$341,$X$2,Votaciones!$D$2:$D$341,"Disenso acomodaticio")&gt;0,1,0)</x:f>
        <x:v>0</x:v>
      </x:c>
    </x:row>
    <x:row r="449" ht="1.9500000476837158" customHeight="1">
      <x:c r="A449" s="78"/>
      <x:c r="B449" s="78"/>
      <x:c r="C449" s="78"/>
      <x:c r="D449" s="78"/>
      <x:c r="E449" s="78"/>
      <x:c r="F449" s="78"/>
      <x:c r="G449" s="78"/>
      <x:c r="H449" s="78"/>
      <x:c r="I449" s="78"/>
      <x:c r="J449" s="94" t="n">
        <x:f>IF(COUNTIFS(Votaciones!$A$2:$A$341,Decisiones!A220,Votaciones!$B$2:$B$341,$X$2)&gt;0,Decisiones!B220,NA())</x:f>
        <x:v>45421</x:v>
      </x:c>
      <x:c r="K449" s="78" t="n">
        <x:f>IF(COUNTIFS(Votaciones!$A$2:$A$341,Decisiones!A220,Votaciones!$B$2:$B$341,$X$2)&gt;0,Decisiones!H220,NA())</x:f>
        <x:v>11</x:v>
      </x:c>
      <x:c r="L449" s="78" t="n">
        <x:f>IF(COUNTIFS(Votaciones!$A$2:$A$341,Decisiones!A220,Votaciones!$B$2:$B$341,$X$2,Votaciones!$D$2:$D$341,"Disenso restrictivo")&gt;0,1,0)</x:f>
        <x:v>0</x:v>
      </x:c>
      <x:c r="M449" s="78" t="n">
        <x:f>IF(COUNTIFS(Votaciones!$A$2:$A$341,Decisiones!A220,Votaciones!$B$2:$B$341,$X$2,Votaciones!$D$2:$D$341,"Disenso acomodaticio")&gt;0,1,0)</x:f>
        <x:v>0</x:v>
      </x:c>
    </x:row>
    <x:row r="450" ht="1.9500000476837158" customHeight="1">
      <x:c r="A450" s="78"/>
      <x:c r="B450" s="78"/>
      <x:c r="C450" s="78"/>
      <x:c r="D450" s="78"/>
      <x:c r="E450" s="78"/>
      <x:c r="F450" s="78"/>
      <x:c r="G450" s="78"/>
      <x:c r="H450" s="78"/>
      <x:c r="I450" s="78"/>
      <x:c r="J450" s="94" t="n">
        <x:f>IF(COUNTIFS(Votaciones!$A$2:$A$341,Decisiones!A221,Votaciones!$B$2:$B$341,$X$2)&gt;0,Decisiones!B221,NA())</x:f>
        <x:v>45470</x:v>
      </x:c>
      <x:c r="K450" s="78" t="n">
        <x:f>IF(COUNTIFS(Votaciones!$A$2:$A$341,Decisiones!A221,Votaciones!$B$2:$B$341,$X$2)&gt;0,Decisiones!H221,NA())</x:f>
        <x:v>11</x:v>
      </x:c>
      <x:c r="L450" s="78" t="n">
        <x:f>IF(COUNTIFS(Votaciones!$A$2:$A$341,Decisiones!A221,Votaciones!$B$2:$B$341,$X$2,Votaciones!$D$2:$D$341,"Disenso restrictivo")&gt;0,1,0)</x:f>
        <x:v>0</x:v>
      </x:c>
      <x:c r="M450" s="78" t="n">
        <x:f>IF(COUNTIFS(Votaciones!$A$2:$A$341,Decisiones!A221,Votaciones!$B$2:$B$341,$X$2,Votaciones!$D$2:$D$341,"Disenso acomodaticio")&gt;0,1,0)</x:f>
        <x:v>0</x:v>
      </x:c>
    </x:row>
    <x:row r="451" ht="1.9500000476837158" customHeight="1">
      <x:c r="A451" s="78"/>
      <x:c r="B451" s="78"/>
      <x:c r="C451" s="78"/>
      <x:c r="D451" s="78"/>
      <x:c r="E451" s="78"/>
      <x:c r="F451" s="78"/>
      <x:c r="G451" s="78"/>
      <x:c r="H451" s="78"/>
      <x:c r="I451" s="78"/>
      <x:c r="J451" s="94" t="n">
        <x:f>IF(COUNTIFS(Votaciones!$A$2:$A$341,Decisiones!A222,Votaciones!$B$2:$B$341,$X$2)&gt;0,Decisiones!B222,NA())</x:f>
        <x:v>45512</x:v>
      </x:c>
      <x:c r="K451" s="78" t="n">
        <x:f>IF(COUNTIFS(Votaciones!$A$2:$A$341,Decisiones!A222,Votaciones!$B$2:$B$341,$X$2)&gt;0,Decisiones!H222,NA())</x:f>
        <x:v>10.75</x:v>
      </x:c>
      <x:c r="L451" s="78" t="n">
        <x:f>IF(COUNTIFS(Votaciones!$A$2:$A$341,Decisiones!A222,Votaciones!$B$2:$B$341,$X$2,Votaciones!$D$2:$D$341,"Disenso restrictivo")&gt;0,1,0)</x:f>
        <x:v>1</x:v>
      </x:c>
      <x:c r="M451" s="78" t="n">
        <x:f>IF(COUNTIFS(Votaciones!$A$2:$A$341,Decisiones!A222,Votaciones!$B$2:$B$341,$X$2,Votaciones!$D$2:$D$341,"Disenso acomodaticio")&gt;0,1,0)</x:f>
        <x:v>0</x:v>
      </x:c>
    </x:row>
    <x:row r="452" ht="1.9500000476837158" customHeight="1">
      <x:c r="A452" s="78"/>
      <x:c r="B452" s="78"/>
      <x:c r="C452" s="78"/>
      <x:c r="D452" s="78"/>
      <x:c r="E452" s="78"/>
      <x:c r="F452" s="78"/>
      <x:c r="G452" s="78"/>
      <x:c r="H452" s="78"/>
      <x:c r="I452" s="78"/>
      <x:c r="J452" s="94" t="n">
        <x:f>IF(COUNTIFS(Votaciones!$A$2:$A$341,Decisiones!A223,Votaciones!$B$2:$B$341,$X$2)&gt;0,Decisiones!B223,NA())</x:f>
        <x:v>45561</x:v>
      </x:c>
      <x:c r="K452" s="78" t="n">
        <x:f>IF(COUNTIFS(Votaciones!$A$2:$A$341,Decisiones!A223,Votaciones!$B$2:$B$341,$X$2)&gt;0,Decisiones!H223,NA())</x:f>
        <x:v>10.5</x:v>
      </x:c>
      <x:c r="L452" s="78" t="n">
        <x:f>IF(COUNTIFS(Votaciones!$A$2:$A$341,Decisiones!A223,Votaciones!$B$2:$B$341,$X$2,Votaciones!$D$2:$D$341,"Disenso restrictivo")&gt;0,1,0)</x:f>
        <x:v>1</x:v>
      </x:c>
      <x:c r="M452" s="78" t="n">
        <x:f>IF(COUNTIFS(Votaciones!$A$2:$A$341,Decisiones!A223,Votaciones!$B$2:$B$341,$X$2,Votaciones!$D$2:$D$341,"Disenso acomodaticio")&gt;0,1,0)</x:f>
        <x:v>0</x:v>
      </x:c>
    </x:row>
    <x:row r="453" ht="1.9500000476837158" customHeight="1">
      <x:c r="A453" s="78"/>
      <x:c r="B453" s="78"/>
      <x:c r="C453" s="78"/>
      <x:c r="D453" s="78"/>
      <x:c r="E453" s="78"/>
      <x:c r="F453" s="78"/>
      <x:c r="G453" s="78"/>
      <x:c r="H453" s="78"/>
      <x:c r="I453" s="78"/>
      <x:c r="J453" s="94" t="n">
        <x:f>IF(COUNTIFS(Votaciones!$A$2:$A$341,Decisiones!A224,Votaciones!$B$2:$B$341,$X$2)&gt;0,Decisiones!B224,NA())</x:f>
        <x:v>45610</x:v>
      </x:c>
      <x:c r="K453" s="78" t="n">
        <x:f>IF(COUNTIFS(Votaciones!$A$2:$A$341,Decisiones!A224,Votaciones!$B$2:$B$341,$X$2)&gt;0,Decisiones!H224,NA())</x:f>
        <x:v>10.25</x:v>
      </x:c>
      <x:c r="L453" s="78" t="n">
        <x:f>IF(COUNTIFS(Votaciones!$A$2:$A$341,Decisiones!A224,Votaciones!$B$2:$B$341,$X$2,Votaciones!$D$2:$D$341,"Disenso restrictivo")&gt;0,1,0)</x:f>
        <x:v>0</x:v>
      </x:c>
      <x:c r="M453" s="78" t="n">
        <x:f>IF(COUNTIFS(Votaciones!$A$2:$A$341,Decisiones!A224,Votaciones!$B$2:$B$341,$X$2,Votaciones!$D$2:$D$341,"Disenso acomodaticio")&gt;0,1,0)</x:f>
        <x:v>0</x:v>
      </x:c>
    </x:row>
    <x:row r="454" ht="1.9500000476837158" customHeight="1">
      <x:c r="A454" s="78"/>
      <x:c r="B454" s="78"/>
      <x:c r="C454" s="78"/>
      <x:c r="D454" s="78"/>
      <x:c r="E454" s="78"/>
      <x:c r="F454" s="78"/>
      <x:c r="G454" s="78"/>
      <x:c r="H454" s="78"/>
      <x:c r="I454" s="78"/>
      <x:c r="J454" s="94" t="n">
        <x:f>IF(COUNTIFS(Votaciones!$A$2:$A$341,Decisiones!A225,Votaciones!$B$2:$B$341,$X$2)&gt;0,Decisiones!B225,NA())</x:f>
        <x:v>45645</x:v>
      </x:c>
      <x:c r="K454" s="78" t="n">
        <x:f>IF(COUNTIFS(Votaciones!$A$2:$A$341,Decisiones!A225,Votaciones!$B$2:$B$341,$X$2)&gt;0,Decisiones!H225,NA())</x:f>
        <x:v>10</x:v>
      </x:c>
      <x:c r="L454" s="78" t="n">
        <x:f>IF(COUNTIFS(Votaciones!$A$2:$A$341,Decisiones!A225,Votaciones!$B$2:$B$341,$X$2,Votaciones!$D$2:$D$341,"Disenso restrictivo")&gt;0,1,0)</x:f>
        <x:v>0</x:v>
      </x:c>
      <x:c r="M454" s="78" t="n">
        <x:f>IF(COUNTIFS(Votaciones!$A$2:$A$341,Decisiones!A225,Votaciones!$B$2:$B$341,$X$2,Votaciones!$D$2:$D$341,"Disenso acomodaticio")&gt;0,1,0)</x:f>
        <x:v>0</x:v>
      </x:c>
    </x:row>
    <x:row r="455" ht="1.9500000476837158" customHeight="1">
      <x:c r="A455" s="78"/>
      <x:c r="B455" s="78"/>
      <x:c r="C455" s="78"/>
      <x:c r="D455" s="78"/>
      <x:c r="E455" s="78"/>
      <x:c r="F455" s="78"/>
      <x:c r="G455" s="78"/>
      <x:c r="H455" s="78"/>
      <x:c r="I455" s="78"/>
      <x:c r="J455" s="94" t="n">
        <x:f>IF(COUNTIFS(Votaciones!$A$2:$A$341,Decisiones!A226,Votaciones!$B$2:$B$341,$X$2)&gt;0,Decisiones!B226,NA())</x:f>
        <x:v>45694</x:v>
      </x:c>
      <x:c r="K455" s="78" t="n">
        <x:f>IF(COUNTIFS(Votaciones!$A$2:$A$341,Decisiones!A226,Votaciones!$B$2:$B$341,$X$2)&gt;0,Decisiones!H226,NA())</x:f>
        <x:v>9.5</x:v>
      </x:c>
      <x:c r="L455" s="78" t="n">
        <x:f>IF(COUNTIFS(Votaciones!$A$2:$A$341,Decisiones!A226,Votaciones!$B$2:$B$341,$X$2,Votaciones!$D$2:$D$341,"Disenso restrictivo")&gt;0,1,0)</x:f>
        <x:v>1</x:v>
      </x:c>
      <x:c r="M455" s="78" t="n">
        <x:f>IF(COUNTIFS(Votaciones!$A$2:$A$341,Decisiones!A226,Votaciones!$B$2:$B$341,$X$2,Votaciones!$D$2:$D$341,"Disenso acomodaticio")&gt;0,1,0)</x:f>
        <x:v>0</x:v>
      </x:c>
    </x:row>
    <x:row r="456" ht="1.9500000476837158" customHeight="1">
      <x:c r="A456" s="78"/>
      <x:c r="B456" s="78"/>
      <x:c r="C456" s="78"/>
      <x:c r="D456" s="78"/>
      <x:c r="E456" s="78"/>
      <x:c r="F456" s="78"/>
      <x:c r="G456" s="78"/>
      <x:c r="H456" s="78"/>
      <x:c r="I456" s="78"/>
      <x:c r="J456" s="94" t="n">
        <x:f>IF(COUNTIFS(Votaciones!$A$2:$A$341,Decisiones!A227,Votaciones!$B$2:$B$341,$X$2)&gt;0,Decisiones!B227,NA())</x:f>
        <x:v>45743</x:v>
      </x:c>
      <x:c r="K456" s="78" t="n">
        <x:f>IF(COUNTIFS(Votaciones!$A$2:$A$341,Decisiones!A227,Votaciones!$B$2:$B$341,$X$2)&gt;0,Decisiones!H227,NA())</x:f>
        <x:v>9</x:v>
      </x:c>
      <x:c r="L456" s="78" t="n">
        <x:f>IF(COUNTIFS(Votaciones!$A$2:$A$341,Decisiones!A227,Votaciones!$B$2:$B$341,$X$2,Votaciones!$D$2:$D$341,"Disenso restrictivo")&gt;0,1,0)</x:f>
        <x:v>0</x:v>
      </x:c>
      <x:c r="M456" s="78" t="n">
        <x:f>IF(COUNTIFS(Votaciones!$A$2:$A$341,Decisiones!A227,Votaciones!$B$2:$B$341,$X$2,Votaciones!$D$2:$D$341,"Disenso acomodaticio")&gt;0,1,0)</x:f>
        <x:v>0</x:v>
      </x:c>
    </x:row>
    <x:row r="457" ht="1.9500000476837158" customHeight="1">
      <x:c r="A457" s="78"/>
      <x:c r="B457" s="78"/>
      <x:c r="C457" s="78"/>
      <x:c r="D457" s="78"/>
      <x:c r="E457" s="78"/>
      <x:c r="F457" s="78"/>
      <x:c r="G457" s="78"/>
      <x:c r="H457" s="78"/>
      <x:c r="I457" s="78"/>
      <x:c r="J457" s="94" t="n">
        <x:f>IF(COUNTIFS(Votaciones!$A$2:$A$341,Decisiones!A228,Votaciones!$B$2:$B$341,$X$2)&gt;0,Decisiones!B228,NA())</x:f>
        <x:v>45792</x:v>
      </x:c>
      <x:c r="K457" s="78" t="n">
        <x:f>IF(COUNTIFS(Votaciones!$A$2:$A$341,Decisiones!A228,Votaciones!$B$2:$B$341,$X$2)&gt;0,Decisiones!H228,NA())</x:f>
        <x:v>8.5</x:v>
      </x:c>
      <x:c r="L457" s="78" t="n">
        <x:f>IF(COUNTIFS(Votaciones!$A$2:$A$341,Decisiones!A228,Votaciones!$B$2:$B$341,$X$2,Votaciones!$D$2:$D$341,"Disenso restrictivo")&gt;0,1,0)</x:f>
        <x:v>0</x:v>
      </x:c>
      <x:c r="M457" s="78" t="n">
        <x:f>IF(COUNTIFS(Votaciones!$A$2:$A$341,Decisiones!A228,Votaciones!$B$2:$B$341,$X$2,Votaciones!$D$2:$D$341,"Disenso acomodaticio")&gt;0,1,0)</x:f>
        <x:v>0</x:v>
      </x:c>
    </x:row>
    <x:row r="458" ht="1.9500000476837158" customHeight="1">
      <x:c r="A458" s="78"/>
      <x:c r="B458" s="78"/>
      <x:c r="C458" s="78"/>
      <x:c r="D458" s="78"/>
      <x:c r="E458" s="78"/>
      <x:c r="F458" s="78"/>
      <x:c r="G458" s="78"/>
      <x:c r="H458" s="78"/>
      <x:c r="I458" s="78"/>
      <x:c r="J458" s="94" t="n">
        <x:f>IF(COUNTIFS(Votaciones!$A$2:$A$341,Decisiones!A229,Votaciones!$B$2:$B$341,$X$2)&gt;0,Decisiones!B229,NA())</x:f>
        <x:v>45834</x:v>
      </x:c>
      <x:c r="K458" s="78" t="n">
        <x:f>IF(COUNTIFS(Votaciones!$A$2:$A$341,Decisiones!A229,Votaciones!$B$2:$B$341,$X$2)&gt;0,Decisiones!H229,NA())</x:f>
        <x:v>8</x:v>
      </x:c>
      <x:c r="L458" s="78" t="n">
        <x:f>IF(COUNTIFS(Votaciones!$A$2:$A$341,Decisiones!A229,Votaciones!$B$2:$B$341,$X$2,Votaciones!$D$2:$D$341,"Disenso restrictivo")&gt;0,1,0)</x:f>
        <x:v>1</x:v>
      </x:c>
      <x:c r="M458" s="78" t="n">
        <x:f>IF(COUNTIFS(Votaciones!$A$2:$A$341,Decisiones!A229,Votaciones!$B$2:$B$341,$X$2,Votaciones!$D$2:$D$341,"Disenso acomodaticio")&gt;0,1,0)</x:f>
        <x:v>0</x:v>
      </x:c>
    </x:row>
    <x:row r="459" ht="1.9500000476837158" customHeight="1">
      <x:c r="A459" s="78"/>
      <x:c r="B459" s="78"/>
      <x:c r="C459" s="78"/>
      <x:c r="D459" s="78"/>
      <x:c r="E459" s="78"/>
      <x:c r="F459" s="78"/>
      <x:c r="G459" s="78"/>
      <x:c r="H459" s="78"/>
      <x:c r="I459" s="78"/>
      <x:c r="J459" s="94" t="n">
        <x:f>IF(COUNTIFS(Votaciones!$A$2:$A$341,Decisiones!A230,Votaciones!$B$2:$B$341,$X$2)&gt;0,Decisiones!B230,NA())</x:f>
        <x:v>45876</x:v>
      </x:c>
      <x:c r="K459" s="78" t="n">
        <x:f>IF(COUNTIFS(Votaciones!$A$2:$A$341,Decisiones!A230,Votaciones!$B$2:$B$341,$X$2)&gt;0,Decisiones!H230,NA())</x:f>
        <x:v>7.75</x:v>
      </x:c>
      <x:c r="L459" s="78" t="n">
        <x:f>IF(COUNTIFS(Votaciones!$A$2:$A$341,Decisiones!A230,Votaciones!$B$2:$B$341,$X$2,Votaciones!$D$2:$D$341,"Disenso restrictivo")&gt;0,1,0)</x:f>
        <x:v>1</x:v>
      </x:c>
      <x:c r="M459" s="78" t="n">
        <x:f>IF(COUNTIFS(Votaciones!$A$2:$A$341,Decisiones!A230,Votaciones!$B$2:$B$341,$X$2,Votaciones!$D$2:$D$341,"Disenso acomodaticio")&gt;0,1,0)</x:f>
        <x:v>0</x:v>
      </x:c>
    </x:row>
    <x:row r="460" ht="1.9500000476837158" customHeight="1">
      <x:c r="A460" s="78"/>
      <x:c r="B460" s="78"/>
      <x:c r="C460" s="78"/>
      <x:c r="D460" s="78"/>
      <x:c r="E460" s="78"/>
      <x:c r="F460" s="78"/>
      <x:c r="G460" s="78"/>
      <x:c r="H460" s="78"/>
      <x:c r="I460" s="78"/>
      <x:c r="J460" s="94" t="n">
        <x:f>IF(COUNTIFS(Votaciones!$A$2:$A$341,Decisiones!A231,Votaciones!$B$2:$B$341,$X$2)&gt;0,Decisiones!B231,NA())</x:f>
        <x:v>45925</x:v>
      </x:c>
      <x:c r="K460" s="78" t="n">
        <x:f>IF(COUNTIFS(Votaciones!$A$2:$A$341,Decisiones!A231,Votaciones!$B$2:$B$341,$X$2)&gt;0,Decisiones!H231,NA())</x:f>
        <x:v>7.5</x:v>
      </x:c>
      <x:c r="L460" s="78" t="n">
        <x:f>IF(COUNTIFS(Votaciones!$A$2:$A$341,Decisiones!A231,Votaciones!$B$2:$B$341,$X$2,Votaciones!$D$2:$D$341,"Disenso restrictivo")&gt;0,1,0)</x:f>
        <x:v>1</x:v>
      </x:c>
      <x:c r="M460" s="78" t="n">
        <x:f>IF(COUNTIFS(Votaciones!$A$2:$A$341,Decisiones!A231,Votaciones!$B$2:$B$341,$X$2,Votaciones!$D$2:$D$341,"Disenso acomodaticio")&gt;0,1,0)</x:f>
        <x:v>0</x:v>
      </x:c>
    </x:row>
    <x:row r="461" ht="1.9500000476837158" customHeight="1">
      <x:c r="A461" s="78"/>
      <x:c r="B461" s="78"/>
      <x:c r="C461" s="78"/>
      <x:c r="D461" s="78"/>
      <x:c r="E461" s="78"/>
      <x:c r="F461" s="78"/>
      <x:c r="G461" s="78"/>
      <x:c r="H461" s="78"/>
      <x:c r="I461" s="78"/>
      <x:c r="J461" s="94" t="n">
        <x:f>IF(COUNTIFS(Votaciones!$A$2:$A$341,Decisiones!A232,Votaciones!$B$2:$B$341,$X$2)&gt;0,Decisiones!B232,NA())</x:f>
        <x:v>45967</x:v>
      </x:c>
      <x:c r="K461" s="78" t="n">
        <x:f>IF(COUNTIFS(Votaciones!$A$2:$A$341,Decisiones!A232,Votaciones!$B$2:$B$341,$X$2)&gt;0,Decisiones!H232,NA())</x:f>
        <x:v>7.25</x:v>
      </x:c>
      <x:c r="L461" s="78" t="n">
        <x:f>IF(COUNTIFS(Votaciones!$A$2:$A$341,Decisiones!A232,Votaciones!$B$2:$B$341,$X$2,Votaciones!$D$2:$D$341,"Disenso restrictivo")&gt;0,1,0)</x:f>
        <x:v>1</x:v>
      </x:c>
      <x:c r="M461" s="78" t="n">
        <x:f>IF(COUNTIFS(Votaciones!$A$2:$A$341,Decisiones!A232,Votaciones!$B$2:$B$341,$X$2,Votaciones!$D$2:$D$341,"Disenso acomodaticio")&gt;0,1,0)</x:f>
        <x:v>0</x:v>
      </x:c>
    </x:row>
    <x:row r="462" ht="1.9500000476837158" customHeight="1">
      <x:c r="A462" s="78"/>
      <x:c r="B462" s="78"/>
      <x:c r="C462" s="78"/>
      <x:c r="D462" s="78"/>
      <x:c r="E462" s="78"/>
      <x:c r="F462" s="78"/>
      <x:c r="G462" s="78"/>
      <x:c r="H462" s="78"/>
      <x:c r="I462" s="78"/>
      <x:c r="J462" s="94" t="n">
        <x:f>IF(COUNTIFS(Votaciones!$A$2:$A$341,Decisiones!A233,Votaciones!$B$2:$B$341,$X$2)&gt;0,Decisiones!B233,NA())</x:f>
        <x:v>46009</x:v>
      </x:c>
      <x:c r="K462" s="78" t="n">
        <x:f>IF(COUNTIFS(Votaciones!$A$2:$A$341,Decisiones!A233,Votaciones!$B$2:$B$341,$X$2)&gt;0,Decisiones!H233,NA())</x:f>
        <x:v>7</x:v>
      </x:c>
      <x:c r="L462" s="78" t="n">
        <x:f>IF(COUNTIFS(Votaciones!$A$2:$A$341,Decisiones!A233,Votaciones!$B$2:$B$341,$X$2,Votaciones!$D$2:$D$341,"Disenso restrictivo")&gt;0,1,0)</x:f>
        <x:v>1</x:v>
      </x:c>
      <x:c r="M462" s="78" t="n">
        <x:f>IF(COUNTIFS(Votaciones!$A$2:$A$341,Decisiones!A233,Votaciones!$B$2:$B$341,$X$2,Votaciones!$D$2:$D$341,"Disenso acomodaticio")&gt;0,1,0)</x:f>
        <x:v>0</x:v>
      </x:c>
    </x:row>
    <x:row r="463" ht="1.9500000476837158" customHeight="1">
      <x:c r="A463" s="78"/>
      <x:c r="B463" s="78"/>
      <x:c r="C463" s="78"/>
      <x:c r="D463" s="78"/>
      <x:c r="E463" s="78"/>
      <x:c r="F463" s="78"/>
      <x:c r="G463" s="78"/>
      <x:c r="H463" s="78"/>
      <x:c r="I463" s="78"/>
      <x:c r="J463" s="94" t="n">
        <x:f>IF(COUNTIFS(Votaciones!$A$2:$A$341,Decisiones!A234,Votaciones!$B$2:$B$341,$X$2)&gt;0,Decisiones!B234,NA())</x:f>
        <x:v>46058</x:v>
      </x:c>
      <x:c r="K463" s="78" t="n">
        <x:f>IF(COUNTIFS(Votaciones!$A$2:$A$341,Decisiones!A234,Votaciones!$B$2:$B$341,$X$2)&gt;0,Decisiones!H234,NA())</x:f>
        <x:v>7</x:v>
      </x:c>
      <x:c r="L463" s="78" t="n">
        <x:f>IF(COUNTIFS(Votaciones!$A$2:$A$341,Decisiones!A234,Votaciones!$B$2:$B$341,$X$2,Votaciones!$D$2:$D$341,"Disenso restrictivo")&gt;0,1,0)</x:f>
        <x:v>0</x:v>
      </x:c>
      <x:c r="M463" s="78" t="n">
        <x:f>IF(COUNTIFS(Votaciones!$A$2:$A$341,Decisiones!A234,Votaciones!$B$2:$B$341,$X$2,Votaciones!$D$2:$D$341,"Disenso acomodaticio")&gt;0,1,0)</x:f>
        <x:v>0</x:v>
      </x:c>
    </x:row>
    <x:row r="464" ht="1.9500000476837158" customHeight="1">
      <x:c r="A464" s="78"/>
      <x:c r="B464" s="78"/>
      <x:c r="C464" s="78"/>
      <x:c r="D464" s="78"/>
      <x:c r="E464" s="78"/>
      <x:c r="F464" s="78"/>
      <x:c r="G464" s="78"/>
      <x:c r="H464" s="78"/>
      <x:c r="I464" s="78"/>
      <x:c r="J464" s="94" t="n">
        <x:f>IF(COUNTIFS(Votaciones!$A$2:$A$341,Decisiones!A235,Votaciones!$B$2:$B$341,$X$2)&gt;0,Decisiones!B235,NA())</x:f>
        <x:v>46107</x:v>
      </x:c>
      <x:c r="K464" s="78" t="n">
        <x:f>IF(COUNTIFS(Votaciones!$A$2:$A$341,Decisiones!A235,Votaciones!$B$2:$B$341,$X$2)&gt;0,Decisiones!H235,NA())</x:f>
        <x:v>6.75</x:v>
      </x:c>
      <x:c r="L464" s="78" t="n">
        <x:f>IF(COUNTIFS(Votaciones!$A$2:$A$341,Decisiones!A235,Votaciones!$B$2:$B$341,$X$2,Votaciones!$D$2:$D$341,"Disenso restrictivo")&gt;0,1,0)</x:f>
        <x:v>1</x:v>
      </x:c>
      <x:c r="M464" s="78" t="n">
        <x:f>IF(COUNTIFS(Votaciones!$A$2:$A$341,Decisiones!A235,Votaciones!$B$2:$B$341,$X$2,Votaciones!$D$2:$D$341,"Disenso acomodaticio")&gt;0,1,0)</x:f>
        <x:v>0</x:v>
      </x:c>
    </x:row>
    <x:row r="465" ht="1.9500000476837158" customHeight="1">
      <x:c r="A465" s="78"/>
      <x:c r="B465" s="78"/>
      <x:c r="C465" s="78"/>
      <x:c r="D465" s="78"/>
      <x:c r="E465" s="78"/>
      <x:c r="F465" s="78"/>
      <x:c r="G465" s="78"/>
      <x:c r="H465" s="78"/>
      <x:c r="I465" s="78"/>
      <x:c r="J465" s="94" t="n">
        <x:f>IF(COUNTIFS(Votaciones!$A$2:$A$341,Decisiones!A236,Votaciones!$B$2:$B$341,$X$2)&gt;0,Decisiones!B236,NA())</x:f>
        <x:v>46149</x:v>
      </x:c>
      <x:c r="K465" s="78" t="n">
        <x:f>IF(COUNTIFS(Votaciones!$A$2:$A$341,Decisiones!A236,Votaciones!$B$2:$B$341,$X$2)&gt;0,Decisiones!H236,NA())</x:f>
        <x:v>6.5</x:v>
      </x:c>
      <x:c r="L465" s="78" t="n">
        <x:f>IF(COUNTIFS(Votaciones!$A$2:$A$341,Decisiones!A236,Votaciones!$B$2:$B$341,$X$2,Votaciones!$D$2:$D$341,"Disenso restrictivo")&gt;0,1,0)</x:f>
        <x:v>1</x:v>
      </x:c>
      <x:c r="M465" s="78" t="n">
        <x:f>IF(COUNTIFS(Votaciones!$A$2:$A$341,Decisiones!A236,Votaciones!$B$2:$B$341,$X$2,Votaciones!$D$2:$D$341,"Disenso acomodaticio")&gt;0,1,0)</x:f>
        <x:v>0</x:v>
      </x:c>
    </x:row>
    <x:row r="466" ht="1.9500000476837158" customHeight="1">
      <x:c r="A466" s="78"/>
      <x:c r="B466" s="78"/>
      <x:c r="C466" s="78"/>
      <x:c r="D466" s="78"/>
      <x:c r="E466" s="78"/>
      <x:c r="F466" s="78"/>
      <x:c r="G466" s="78"/>
      <x:c r="H466" s="78"/>
      <x:c r="I466" s="78"/>
      <x:c r="J466" s="94" t="n">
        <x:f>IF(COUNTIFS(Votaciones!$A$2:$A$341,Decisiones!A237,Votaciones!$B$2:$B$341,$X$2)&gt;0,Decisiones!B237,NA())</x:f>
        <x:v>46198</x:v>
      </x:c>
      <x:c r="K466" s="78" t="n">
        <x:f>IF(COUNTIFS(Votaciones!$A$2:$A$341,Decisiones!A237,Votaciones!$B$2:$B$341,$X$2)&gt;0,Decisiones!H237,NA())</x:f>
        <x:v>6.5</x:v>
      </x:c>
      <x:c r="L466" s="78" t="n">
        <x:f>IF(COUNTIFS(Votaciones!$A$2:$A$341,Decisiones!A237,Votaciones!$B$2:$B$341,$X$2,Votaciones!$D$2:$D$341,"Disenso restrictivo")&gt;0,1,0)</x:f>
        <x:v>0</x:v>
      </x:c>
      <x:c r="M466" s="78" t="n">
        <x:f>IF(COUNTIFS(Votaciones!$A$2:$A$341,Decisiones!A237,Votaciones!$B$2:$B$341,$X$2,Votaciones!$D$2:$D$341,"Disenso acomodaticio")&gt;0,1,0)</x:f>
        <x:v>0</x:v>
      </x:c>
    </x:row>
    <x:row r="467" ht="1.9500000476837158" customHeight="1">
      <x:c r="A467" s="78"/>
      <x:c r="B467" s="78"/>
      <x:c r="C467" s="78"/>
      <x:c r="D467" s="78"/>
      <x:c r="E467" s="78"/>
      <x:c r="F467" s="78"/>
      <x:c r="G467" s="78"/>
      <x:c r="H467" s="78"/>
      <x:c r="I467" s="78"/>
      <x:c r="J467" s="78"/>
      <x:c r="K467" s="78"/>
      <x:c r="L467" s="78"/>
      <x:c r="M467" s="78"/>
    </x:row>
    <x:row r="468" ht="1.9500000476837158" customHeight="1">
      <x:c r="A468" s="78"/>
      <x:c r="B468" s="78"/>
      <x:c r="C468" s="78"/>
      <x:c r="D468" s="78"/>
      <x:c r="E468" s="78"/>
      <x:c r="F468" s="78"/>
      <x:c r="G468" s="78"/>
      <x:c r="H468" s="78"/>
      <x:c r="I468" s="78"/>
      <x:c r="J468" s="78"/>
      <x:c r="K468" s="78"/>
      <x:c r="L468" s="78"/>
      <x:c r="M468" s="78"/>
    </x:row>
    <x:row r="469" ht="1.9500000476837158" customHeight="1">
      <x:c r="A469" s="78"/>
      <x:c r="B469" s="78"/>
      <x:c r="C469" s="78"/>
      <x:c r="D469" s="78"/>
      <x:c r="E469" s="78"/>
      <x:c r="F469" s="78"/>
      <x:c r="G469" s="78"/>
      <x:c r="H469" s="78"/>
      <x:c r="I469" s="78"/>
      <x:c r="J469" s="78"/>
      <x:c r="K469" s="78"/>
      <x:c r="L469" s="78"/>
      <x:c r="M469" s="78"/>
    </x:row>
    <x:row r="470" ht="1.9500000476837158" customHeight="1">
      <x:c r="A470" s="78"/>
      <x:c r="B470" s="78"/>
      <x:c r="C470" s="78"/>
      <x:c r="D470" s="78"/>
      <x:c r="E470" s="78"/>
      <x:c r="F470" s="78"/>
      <x:c r="G470" s="78"/>
      <x:c r="H470" s="78"/>
      <x:c r="I470" s="78"/>
      <x:c r="J470" s="78"/>
      <x:c r="K470" s="78"/>
      <x:c r="L470" s="78"/>
      <x:c r="M470" s="78"/>
    </x:row>
    <x:row r="471" ht="1.9500000476837158" customHeight="1">
      <x:c r="A471" s="78"/>
      <x:c r="B471" s="78"/>
      <x:c r="C471" s="78"/>
      <x:c r="D471" s="78"/>
      <x:c r="E471" s="78"/>
      <x:c r="F471" s="78"/>
      <x:c r="G471" s="78"/>
      <x:c r="H471" s="78"/>
      <x:c r="I471" s="78"/>
      <x:c r="J471" s="78"/>
      <x:c r="K471" s="78"/>
      <x:c r="L471" s="78"/>
      <x:c r="M471" s="78"/>
    </x:row>
    <x:row r="472" ht="1.9500000476837158" customHeight="1">
      <x:c r="A472" s="78"/>
      <x:c r="B472" s="78"/>
      <x:c r="C472" s="78"/>
      <x:c r="D472" s="78"/>
      <x:c r="E472" s="78"/>
      <x:c r="F472" s="78"/>
      <x:c r="G472" s="78"/>
      <x:c r="H472" s="78"/>
      <x:c r="I472" s="78"/>
      <x:c r="J472" s="78"/>
      <x:c r="K472" s="78"/>
      <x:c r="L472" s="78"/>
      <x:c r="M472" s="78"/>
    </x:row>
    <x:row r="473" ht="1.9500000476837158" customHeight="1">
      <x:c r="A473" s="78"/>
      <x:c r="B473" s="78"/>
      <x:c r="C473" s="78"/>
      <x:c r="D473" s="78"/>
      <x:c r="E473" s="78"/>
      <x:c r="F473" s="78"/>
      <x:c r="G473" s="78"/>
      <x:c r="H473" s="78"/>
      <x:c r="I473" s="78"/>
      <x:c r="J473" s="78"/>
      <x:c r="K473" s="78"/>
      <x:c r="L473" s="78"/>
      <x:c r="M473" s="78"/>
    </x:row>
    <x:row r="474" ht="1.9500000476837158" customHeight="1">
      <x:c r="A474" s="78"/>
      <x:c r="B474" s="78"/>
      <x:c r="C474" s="78"/>
      <x:c r="D474" s="78"/>
      <x:c r="E474" s="78"/>
      <x:c r="F474" s="78"/>
      <x:c r="G474" s="78"/>
      <x:c r="H474" s="78"/>
      <x:c r="I474" s="78"/>
      <x:c r="J474" s="78"/>
      <x:c r="K474" s="78"/>
      <x:c r="L474" s="78"/>
      <x:c r="M474" s="78"/>
    </x:row>
    <x:row r="475" ht="1.9500000476837158" customHeight="1">
      <x:c r="A475" s="78"/>
      <x:c r="B475" s="78"/>
      <x:c r="C475" s="78"/>
      <x:c r="D475" s="78"/>
      <x:c r="E475" s="78"/>
      <x:c r="F475" s="78"/>
      <x:c r="G475" s="78"/>
      <x:c r="H475" s="78"/>
      <x:c r="I475" s="78"/>
      <x:c r="J475" s="78"/>
      <x:c r="K475" s="78"/>
      <x:c r="L475" s="78"/>
      <x:c r="M475" s="78"/>
    </x:row>
    <x:row r="476" ht="1.9500000476837158" customHeight="1">
      <x:c r="A476" s="78"/>
      <x:c r="B476" s="78"/>
      <x:c r="C476" s="78"/>
      <x:c r="D476" s="78"/>
      <x:c r="E476" s="78"/>
      <x:c r="F476" s="78"/>
      <x:c r="G476" s="78"/>
      <x:c r="H476" s="78"/>
      <x:c r="I476" s="78"/>
      <x:c r="J476" s="78"/>
      <x:c r="K476" s="78"/>
      <x:c r="L476" s="78"/>
      <x:c r="M476" s="78"/>
    </x:row>
    <x:row r="477" ht="1.9500000476837158" customHeight="1">
      <x:c r="A477" s="78"/>
      <x:c r="B477" s="78"/>
      <x:c r="C477" s="78"/>
      <x:c r="D477" s="78"/>
      <x:c r="E477" s="78"/>
      <x:c r="F477" s="78"/>
      <x:c r="G477" s="78"/>
      <x:c r="H477" s="78"/>
      <x:c r="I477" s="78"/>
      <x:c r="J477" s="78"/>
      <x:c r="K477" s="78"/>
      <x:c r="L477" s="78"/>
      <x:c r="M477" s="78"/>
    </x:row>
    <x:row r="478" ht="1.9500000476837158" customHeight="1">
      <x:c r="A478" s="78"/>
      <x:c r="B478" s="78"/>
      <x:c r="C478" s="78"/>
      <x:c r="D478" s="78"/>
      <x:c r="E478" s="78"/>
      <x:c r="F478" s="78"/>
      <x:c r="G478" s="78"/>
      <x:c r="H478" s="78"/>
      <x:c r="I478" s="78"/>
      <x:c r="J478" s="78"/>
      <x:c r="K478" s="78"/>
      <x:c r="L478" s="78"/>
      <x:c r="M478" s="78"/>
    </x:row>
    <x:row r="479" ht="1.9500000476837158" customHeight="1">
      <x:c r="A479" s="78"/>
      <x:c r="B479" s="78"/>
      <x:c r="C479" s="78"/>
      <x:c r="D479" s="78"/>
      <x:c r="E479" s="78"/>
      <x:c r="F479" s="78"/>
      <x:c r="G479" s="78"/>
      <x:c r="H479" s="78"/>
      <x:c r="I479" s="78"/>
      <x:c r="J479" s="78"/>
      <x:c r="K479" s="78"/>
      <x:c r="L479" s="78"/>
      <x:c r="M479" s="78"/>
    </x:row>
    <x:row r="480" ht="1.9500000476837158" customHeight="1">
      <x:c r="A480" s="78"/>
      <x:c r="B480" s="78"/>
      <x:c r="C480" s="78"/>
      <x:c r="D480" s="78"/>
      <x:c r="E480" s="78"/>
      <x:c r="F480" s="78"/>
      <x:c r="G480" s="78"/>
      <x:c r="H480" s="78"/>
      <x:c r="I480" s="78"/>
      <x:c r="J480" s="78"/>
      <x:c r="K480" s="78"/>
      <x:c r="L480" s="78"/>
      <x:c r="M480" s="78"/>
    </x:row>
    <x:row r="481" ht="1.9500000476837158" customHeight="1">
      <x:c r="A481" s="78"/>
      <x:c r="B481" s="78"/>
      <x:c r="C481" s="78"/>
      <x:c r="D481" s="78"/>
      <x:c r="E481" s="78"/>
      <x:c r="F481" s="78"/>
      <x:c r="G481" s="78"/>
      <x:c r="H481" s="78"/>
      <x:c r="I481" s="78"/>
      <x:c r="J481" s="78"/>
      <x:c r="K481" s="78"/>
      <x:c r="L481" s="78"/>
      <x:c r="M481" s="78"/>
    </x:row>
    <x:row r="482" ht="1.9500000476837158" customHeight="1">
      <x:c r="A482" s="78"/>
      <x:c r="B482" s="78"/>
      <x:c r="C482" s="78"/>
      <x:c r="D482" s="78"/>
      <x:c r="E482" s="78"/>
      <x:c r="F482" s="78"/>
      <x:c r="G482" s="78"/>
      <x:c r="H482" s="78"/>
      <x:c r="I482" s="78"/>
      <x:c r="J482" s="78"/>
      <x:c r="K482" s="78"/>
      <x:c r="L482" s="78"/>
      <x:c r="M482" s="78"/>
    </x:row>
    <x:row r="483" ht="1.9500000476837158" customHeight="1">
      <x:c r="A483" s="78"/>
      <x:c r="B483" s="78"/>
      <x:c r="C483" s="78"/>
      <x:c r="D483" s="78"/>
      <x:c r="E483" s="78"/>
      <x:c r="F483" s="78"/>
      <x:c r="G483" s="78"/>
      <x:c r="H483" s="78"/>
      <x:c r="I483" s="78"/>
      <x:c r="J483" s="78"/>
      <x:c r="K483" s="78"/>
      <x:c r="L483" s="78"/>
      <x:c r="M483" s="78"/>
    </x:row>
    <x:row r="484" ht="1.9500000476837158" customHeight="1">
      <x:c r="A484" s="78"/>
      <x:c r="B484" s="78"/>
      <x:c r="C484" s="78"/>
      <x:c r="D484" s="78"/>
      <x:c r="E484" s="78"/>
      <x:c r="F484" s="78"/>
      <x:c r="G484" s="78"/>
      <x:c r="H484" s="78"/>
      <x:c r="I484" s="78"/>
      <x:c r="J484" s="78"/>
      <x:c r="K484" s="78"/>
      <x:c r="L484" s="78"/>
      <x:c r="M484" s="78"/>
    </x:row>
    <x:row r="485" ht="1.9500000476837158" customHeight="1">
      <x:c r="A485" s="78"/>
      <x:c r="B485" s="78"/>
      <x:c r="C485" s="78"/>
      <x:c r="D485" s="78"/>
      <x:c r="E485" s="78"/>
      <x:c r="F485" s="78"/>
      <x:c r="G485" s="78"/>
      <x:c r="H485" s="78"/>
      <x:c r="I485" s="78"/>
      <x:c r="J485" s="78"/>
      <x:c r="K485" s="78"/>
      <x:c r="L485" s="78"/>
      <x:c r="M485" s="78"/>
    </x:row>
    <x:row r="486" ht="1.9500000476837158" customHeight="1">
      <x:c r="A486" s="78"/>
      <x:c r="B486" s="78"/>
      <x:c r="C486" s="78"/>
      <x:c r="D486" s="78"/>
      <x:c r="E486" s="78"/>
      <x:c r="F486" s="78"/>
      <x:c r="G486" s="78"/>
      <x:c r="H486" s="78"/>
      <x:c r="I486" s="78"/>
      <x:c r="J486" s="78"/>
      <x:c r="K486" s="78"/>
      <x:c r="L486" s="78"/>
      <x:c r="M486" s="78"/>
    </x:row>
    <x:row r="487" ht="1.9500000476837158" customHeight="1">
      <x:c r="A487" s="78"/>
      <x:c r="B487" s="78"/>
      <x:c r="C487" s="78"/>
      <x:c r="D487" s="78"/>
      <x:c r="E487" s="78"/>
      <x:c r="F487" s="78"/>
      <x:c r="G487" s="78"/>
      <x:c r="H487" s="78"/>
      <x:c r="I487" s="78"/>
      <x:c r="J487" s="78"/>
      <x:c r="K487" s="78"/>
      <x:c r="L487" s="78"/>
      <x:c r="M487" s="78"/>
    </x:row>
    <x:row r="488" ht="1.9500000476837158" customHeight="1">
      <x:c r="A488" s="78"/>
      <x:c r="B488" s="78"/>
      <x:c r="C488" s="78"/>
      <x:c r="D488" s="78"/>
      <x:c r="E488" s="78"/>
      <x:c r="F488" s="78"/>
      <x:c r="G488" s="78"/>
      <x:c r="H488" s="78"/>
      <x:c r="I488" s="78"/>
      <x:c r="J488" s="78"/>
      <x:c r="K488" s="78"/>
      <x:c r="L488" s="78"/>
      <x:c r="M488" s="78"/>
    </x:row>
    <x:row r="489" ht="1.9500000476837158" customHeight="1">
      <x:c r="A489" s="78"/>
      <x:c r="B489" s="78"/>
      <x:c r="C489" s="78"/>
      <x:c r="D489" s="78"/>
      <x:c r="E489" s="78"/>
      <x:c r="F489" s="78"/>
      <x:c r="G489" s="78"/>
      <x:c r="H489" s="78"/>
      <x:c r="I489" s="78"/>
      <x:c r="J489" s="78"/>
      <x:c r="K489" s="78"/>
      <x:c r="L489" s="78"/>
      <x:c r="M489" s="78"/>
    </x:row>
    <x:row r="490" ht="1.9500000476837158" customHeight="1">
      <x:c r="A490" s="78"/>
      <x:c r="B490" s="78"/>
      <x:c r="C490" s="78"/>
      <x:c r="D490" s="78"/>
      <x:c r="E490" s="78"/>
      <x:c r="F490" s="78"/>
      <x:c r="G490" s="78"/>
      <x:c r="H490" s="78"/>
      <x:c r="I490" s="78"/>
      <x:c r="J490" s="78"/>
      <x:c r="K490" s="78"/>
      <x:c r="L490" s="78"/>
      <x:c r="M490" s="78"/>
    </x:row>
    <x:row r="491" ht="1.9500000476837158" customHeight="1">
      <x:c r="A491" s="78"/>
      <x:c r="B491" s="78"/>
      <x:c r="C491" s="78"/>
      <x:c r="D491" s="78"/>
      <x:c r="E491" s="78"/>
      <x:c r="F491" s="78"/>
      <x:c r="G491" s="78"/>
      <x:c r="H491" s="78"/>
      <x:c r="I491" s="78"/>
      <x:c r="J491" s="78"/>
      <x:c r="K491" s="78"/>
      <x:c r="L491" s="78"/>
      <x:c r="M491" s="78"/>
    </x:row>
    <x:row r="492" ht="1.9500000476837158" customHeight="1">
      <x:c r="A492" s="78"/>
      <x:c r="B492" s="78"/>
      <x:c r="C492" s="78"/>
      <x:c r="D492" s="78"/>
      <x:c r="E492" s="78"/>
      <x:c r="F492" s="78"/>
      <x:c r="G492" s="78"/>
      <x:c r="H492" s="78"/>
      <x:c r="I492" s="78"/>
      <x:c r="J492" s="78"/>
      <x:c r="K492" s="78"/>
      <x:c r="L492" s="78"/>
      <x:c r="M492" s="78"/>
    </x:row>
    <x:row r="493" ht="1.9500000476837158" customHeight="1">
      <x:c r="A493" s="78"/>
      <x:c r="B493" s="78"/>
      <x:c r="C493" s="78"/>
      <x:c r="D493" s="78"/>
      <x:c r="E493" s="78"/>
      <x:c r="F493" s="78"/>
      <x:c r="G493" s="78"/>
      <x:c r="H493" s="78"/>
      <x:c r="I493" s="78"/>
      <x:c r="J493" s="78"/>
      <x:c r="K493" s="78"/>
      <x:c r="L493" s="78"/>
      <x:c r="M493" s="78"/>
    </x:row>
    <x:row r="494" ht="1.9500000476837158" customHeight="1">
      <x:c r="A494" s="78"/>
      <x:c r="B494" s="78"/>
      <x:c r="C494" s="78"/>
      <x:c r="D494" s="78"/>
      <x:c r="E494" s="78"/>
      <x:c r="F494" s="78"/>
      <x:c r="G494" s="78"/>
      <x:c r="H494" s="78"/>
      <x:c r="I494" s="78"/>
      <x:c r="J494" s="78"/>
      <x:c r="K494" s="78"/>
      <x:c r="L494" s="78"/>
      <x:c r="M494" s="78"/>
    </x:row>
    <x:row r="495" ht="1.9500000476837158" customHeight="1">
      <x:c r="A495" s="78"/>
      <x:c r="B495" s="78"/>
      <x:c r="C495" s="78"/>
      <x:c r="D495" s="78"/>
      <x:c r="E495" s="78"/>
      <x:c r="F495" s="78"/>
      <x:c r="G495" s="78"/>
      <x:c r="H495" s="78"/>
      <x:c r="I495" s="78"/>
      <x:c r="J495" s="78"/>
      <x:c r="K495" s="78"/>
      <x:c r="L495" s="78"/>
      <x:c r="M495" s="78"/>
    </x:row>
    <x:row r="496" ht="1.9500000476837158" customHeight="1">
      <x:c r="A496" s="78"/>
      <x:c r="B496" s="78"/>
      <x:c r="C496" s="78"/>
      <x:c r="D496" s="78"/>
      <x:c r="E496" s="78"/>
      <x:c r="F496" s="78"/>
      <x:c r="G496" s="78"/>
      <x:c r="H496" s="78"/>
      <x:c r="I496" s="78"/>
      <x:c r="J496" s="78"/>
      <x:c r="K496" s="78"/>
      <x:c r="L496" s="78"/>
      <x:c r="M496" s="78"/>
    </x:row>
    <x:row r="497" ht="1.9500000476837158" customHeight="1">
      <x:c r="A497" s="78"/>
      <x:c r="B497" s="78"/>
      <x:c r="C497" s="78"/>
      <x:c r="D497" s="78"/>
      <x:c r="E497" s="78"/>
      <x:c r="F497" s="78"/>
      <x:c r="G497" s="78"/>
      <x:c r="H497" s="78"/>
      <x:c r="I497" s="78"/>
      <x:c r="J497" s="78"/>
      <x:c r="K497" s="78"/>
      <x:c r="L497" s="78"/>
      <x:c r="M497" s="78"/>
    </x:row>
    <x:row r="498" ht="1.9500000476837158" customHeight="1">
      <x:c r="A498" s="78"/>
      <x:c r="B498" s="78"/>
      <x:c r="C498" s="78"/>
      <x:c r="D498" s="78"/>
      <x:c r="E498" s="78"/>
      <x:c r="F498" s="78"/>
      <x:c r="G498" s="78"/>
      <x:c r="H498" s="78"/>
      <x:c r="I498" s="78"/>
      <x:c r="J498" s="78"/>
      <x:c r="K498" s="78"/>
      <x:c r="L498" s="78"/>
      <x:c r="M498" s="78"/>
    </x:row>
    <x:row r="499" ht="1.9500000476837158" customHeight="1">
      <x:c r="A499" s="78"/>
      <x:c r="B499" s="78"/>
      <x:c r="C499" s="78"/>
      <x:c r="D499" s="78"/>
      <x:c r="E499" s="78"/>
      <x:c r="F499" s="78"/>
      <x:c r="G499" s="78"/>
      <x:c r="H499" s="78"/>
      <x:c r="I499" s="78"/>
      <x:c r="J499" s="78"/>
      <x:c r="K499" s="78"/>
      <x:c r="L499" s="78"/>
      <x:c r="M499" s="78"/>
    </x:row>
    <x:row r="500" ht="1.9500000476837158" customHeight="1">
      <x:c r="A500" s="78"/>
      <x:c r="B500" s="78"/>
      <x:c r="C500" s="78"/>
      <x:c r="D500" s="78"/>
      <x:c r="E500" s="78"/>
      <x:c r="F500" s="78"/>
      <x:c r="G500" s="78"/>
      <x:c r="H500" s="78"/>
      <x:c r="I500" s="78"/>
      <x:c r="J500" s="78"/>
      <x:c r="K500" s="78"/>
      <x:c r="L500" s="78"/>
      <x:c r="M500" s="78"/>
    </x:row>
    <x:row r="501" ht="1.9500000476837158" customHeight="1">
      <x:c r="A501" s="78"/>
      <x:c r="B501" s="78"/>
      <x:c r="C501" s="78"/>
      <x:c r="D501" s="78"/>
      <x:c r="E501" s="78"/>
      <x:c r="F501" s="78"/>
      <x:c r="G501" s="78"/>
      <x:c r="H501" s="78"/>
      <x:c r="I501" s="78"/>
      <x:c r="J501" s="78"/>
      <x:c r="K501" s="78"/>
      <x:c r="L501" s="78"/>
      <x:c r="M501" s="78"/>
    </x:row>
    <x:row r="502" ht="1.9500000476837158" customHeight="1">
      <x:c r="A502" s="78"/>
      <x:c r="B502" s="78"/>
      <x:c r="C502" s="78"/>
      <x:c r="D502" s="78"/>
      <x:c r="E502" s="78"/>
      <x:c r="F502" s="78"/>
      <x:c r="G502" s="78"/>
      <x:c r="H502" s="78"/>
      <x:c r="I502" s="78"/>
      <x:c r="J502" s="78"/>
      <x:c r="K502" s="78"/>
      <x:c r="L502" s="78"/>
      <x:c r="M502" s="78"/>
    </x:row>
    <x:row r="503" ht="1.9500000476837158" customHeight="1">
      <x:c r="A503" s="78"/>
      <x:c r="B503" s="78"/>
      <x:c r="C503" s="78"/>
      <x:c r="D503" s="78"/>
      <x:c r="E503" s="78"/>
      <x:c r="F503" s="78"/>
      <x:c r="G503" s="78"/>
      <x:c r="H503" s="78"/>
      <x:c r="I503" s="78"/>
      <x:c r="J503" s="78"/>
      <x:c r="K503" s="78"/>
      <x:c r="L503" s="78"/>
      <x:c r="M503" s="78"/>
    </x:row>
    <x:row r="504" ht="1.9500000476837158" customHeight="1">
      <x:c r="A504" s="78"/>
      <x:c r="B504" s="78"/>
      <x:c r="C504" s="78"/>
      <x:c r="D504" s="78"/>
      <x:c r="E504" s="78"/>
      <x:c r="F504" s="78"/>
      <x:c r="G504" s="78"/>
      <x:c r="H504" s="78"/>
      <x:c r="I504" s="78"/>
      <x:c r="J504" s="78"/>
      <x:c r="K504" s="78"/>
      <x:c r="L504" s="78"/>
      <x:c r="M504" s="78"/>
    </x:row>
    <x:row r="505" ht="1.9500000476837158" customHeight="1">
      <x:c r="A505" s="78"/>
      <x:c r="B505" s="78"/>
      <x:c r="C505" s="78"/>
      <x:c r="D505" s="78"/>
      <x:c r="E505" s="78"/>
      <x:c r="F505" s="78"/>
      <x:c r="G505" s="78"/>
      <x:c r="H505" s="78"/>
      <x:c r="I505" s="78"/>
      <x:c r="J505" s="78"/>
      <x:c r="K505" s="78"/>
      <x:c r="L505" s="78"/>
      <x:c r="M505" s="78"/>
    </x:row>
    <x:row r="506" ht="1.9500000476837158" customHeight="1">
      <x:c r="A506" s="78"/>
      <x:c r="B506" s="78"/>
      <x:c r="C506" s="78"/>
      <x:c r="D506" s="78"/>
      <x:c r="E506" s="78"/>
      <x:c r="F506" s="78"/>
      <x:c r="G506" s="78"/>
      <x:c r="H506" s="78"/>
      <x:c r="I506" s="78"/>
      <x:c r="J506" s="78"/>
      <x:c r="K506" s="78"/>
      <x:c r="L506" s="78"/>
      <x:c r="M506" s="78"/>
    </x:row>
    <x:row r="507" ht="1.9500000476837158" customHeight="1">
      <x:c r="A507" s="78"/>
      <x:c r="B507" s="78"/>
      <x:c r="C507" s="78"/>
      <x:c r="D507" s="78"/>
      <x:c r="E507" s="78"/>
      <x:c r="F507" s="78"/>
      <x:c r="G507" s="78"/>
      <x:c r="H507" s="78"/>
      <x:c r="I507" s="78"/>
      <x:c r="J507" s="78"/>
      <x:c r="K507" s="78"/>
      <x:c r="L507" s="78"/>
      <x:c r="M507" s="78"/>
    </x:row>
    <x:row r="508" ht="1.9500000476837158" customHeight="1">
      <x:c r="A508" s="78"/>
      <x:c r="B508" s="78"/>
      <x:c r="C508" s="78"/>
      <x:c r="D508" s="78"/>
      <x:c r="E508" s="78"/>
      <x:c r="F508" s="78"/>
      <x:c r="G508" s="78"/>
      <x:c r="H508" s="78"/>
      <x:c r="I508" s="78"/>
      <x:c r="J508" s="78"/>
      <x:c r="K508" s="78"/>
      <x:c r="L508" s="78"/>
      <x:c r="M508" s="78"/>
    </x:row>
    <x:row r="509" ht="1.9500000476837158" customHeight="1">
      <x:c r="A509" s="78"/>
      <x:c r="B509" s="78"/>
      <x:c r="C509" s="78"/>
      <x:c r="D509" s="78"/>
      <x:c r="E509" s="78"/>
      <x:c r="F509" s="78"/>
      <x:c r="G509" s="78"/>
      <x:c r="H509" s="78"/>
      <x:c r="I509" s="78"/>
      <x:c r="J509" s="78"/>
      <x:c r="K509" s="78"/>
      <x:c r="L509" s="78"/>
      <x:c r="M509" s="78"/>
    </x:row>
    <x:row r="510" ht="1.9500000476837158" customHeight="1">
      <x:c r="A510" s="78"/>
      <x:c r="B510" s="78"/>
      <x:c r="C510" s="78"/>
      <x:c r="D510" s="78"/>
      <x:c r="E510" s="78"/>
      <x:c r="F510" s="78"/>
      <x:c r="G510" s="78"/>
      <x:c r="H510" s="78"/>
      <x:c r="I510" s="78"/>
      <x:c r="J510" s="78"/>
      <x:c r="K510" s="78"/>
      <x:c r="L510" s="78"/>
      <x:c r="M510" s="78"/>
    </x:row>
    <x:row r="511" ht="1.9500000476837158" customHeight="1">
      <x:c r="A511" s="78"/>
      <x:c r="B511" s="78"/>
      <x:c r="C511" s="78"/>
      <x:c r="D511" s="78"/>
      <x:c r="E511" s="78"/>
      <x:c r="F511" s="78"/>
      <x:c r="G511" s="78"/>
      <x:c r="H511" s="78"/>
      <x:c r="I511" s="78"/>
      <x:c r="J511" s="78"/>
      <x:c r="K511" s="78"/>
      <x:c r="L511" s="78"/>
      <x:c r="M511" s="78"/>
    </x:row>
    <x:row r="512" ht="1.9500000476837158" customHeight="1">
      <x:c r="A512" s="78"/>
      <x:c r="B512" s="78"/>
      <x:c r="C512" s="78"/>
      <x:c r="D512" s="78"/>
      <x:c r="E512" s="78"/>
      <x:c r="F512" s="78"/>
      <x:c r="G512" s="78"/>
      <x:c r="H512" s="78"/>
      <x:c r="I512" s="78"/>
      <x:c r="J512" s="78"/>
      <x:c r="K512" s="78"/>
      <x:c r="L512" s="78"/>
      <x:c r="M512" s="78"/>
    </x:row>
    <x:row r="513" ht="1.9500000476837158" customHeight="1">
      <x:c r="A513" s="78"/>
      <x:c r="B513" s="78"/>
      <x:c r="C513" s="78"/>
      <x:c r="D513" s="78"/>
      <x:c r="E513" s="78"/>
      <x:c r="F513" s="78"/>
      <x:c r="G513" s="78"/>
      <x:c r="H513" s="78"/>
      <x:c r="I513" s="78"/>
      <x:c r="J513" s="78"/>
      <x:c r="K513" s="78"/>
      <x:c r="L513" s="78"/>
      <x:c r="M513" s="78"/>
    </x:row>
    <x:row r="514" ht="1.9500000476837158" customHeight="1">
      <x:c r="A514" s="78"/>
      <x:c r="B514" s="78"/>
      <x:c r="C514" s="78"/>
      <x:c r="D514" s="78"/>
      <x:c r="E514" s="78"/>
      <x:c r="F514" s="78"/>
      <x:c r="G514" s="78"/>
      <x:c r="H514" s="78"/>
      <x:c r="I514" s="78"/>
      <x:c r="J514" s="78"/>
      <x:c r="K514" s="78"/>
      <x:c r="L514" s="78"/>
      <x:c r="M514" s="78"/>
    </x:row>
    <x:row r="515" ht="1.9500000476837158" customHeight="1">
      <x:c r="A515" s="78"/>
      <x:c r="B515" s="78"/>
      <x:c r="C515" s="78"/>
      <x:c r="D515" s="78"/>
      <x:c r="E515" s="78"/>
      <x:c r="F515" s="78"/>
      <x:c r="G515" s="78"/>
      <x:c r="H515" s="78"/>
      <x:c r="I515" s="78"/>
      <x:c r="J515" s="78"/>
      <x:c r="K515" s="78"/>
      <x:c r="L515" s="78"/>
      <x:c r="M515" s="78"/>
    </x:row>
    <x:row r="516" ht="1.9500000476837158" customHeight="1">
      <x:c r="A516" s="78"/>
      <x:c r="B516" s="78"/>
      <x:c r="C516" s="78"/>
      <x:c r="D516" s="78"/>
      <x:c r="E516" s="78"/>
      <x:c r="F516" s="78"/>
      <x:c r="G516" s="78"/>
      <x:c r="H516" s="78"/>
      <x:c r="I516" s="78"/>
      <x:c r="J516" s="78"/>
      <x:c r="K516" s="78"/>
      <x:c r="L516" s="78"/>
      <x:c r="M516" s="78"/>
    </x:row>
    <x:row r="517" ht="1.9500000476837158" customHeight="1">
      <x:c r="A517" s="78"/>
      <x:c r="B517" s="78"/>
      <x:c r="C517" s="78"/>
      <x:c r="D517" s="78"/>
      <x:c r="E517" s="78"/>
      <x:c r="F517" s="78"/>
      <x:c r="G517" s="78"/>
      <x:c r="H517" s="78"/>
      <x:c r="I517" s="78"/>
      <x:c r="J517" s="78"/>
      <x:c r="K517" s="78"/>
      <x:c r="L517" s="78"/>
      <x:c r="M517" s="78"/>
    </x:row>
    <x:row r="518" ht="1.9500000476837158" customHeight="1">
      <x:c r="A518" s="78"/>
      <x:c r="B518" s="78"/>
      <x:c r="C518" s="78"/>
      <x:c r="D518" s="78"/>
      <x:c r="E518" s="78"/>
      <x:c r="F518" s="78"/>
      <x:c r="G518" s="78"/>
      <x:c r="H518" s="78"/>
      <x:c r="I518" s="78"/>
      <x:c r="J518" s="78"/>
      <x:c r="K518" s="78"/>
      <x:c r="L518" s="78"/>
      <x:c r="M518" s="78"/>
    </x:row>
    <x:row r="519" ht="1.9500000476837158" customHeight="1">
      <x:c r="A519" s="78"/>
      <x:c r="B519" s="78"/>
      <x:c r="C519" s="78"/>
      <x:c r="D519" s="78"/>
      <x:c r="E519" s="78"/>
      <x:c r="F519" s="78"/>
      <x:c r="G519" s="78"/>
      <x:c r="H519" s="78"/>
      <x:c r="I519" s="78"/>
      <x:c r="J519" s="78"/>
      <x:c r="K519" s="78"/>
      <x:c r="L519" s="78"/>
      <x:c r="M519" s="78"/>
    </x:row>
    <x:row r="520" ht="1.9500000476837158" customHeight="1">
      <x:c r="A520" s="78"/>
      <x:c r="B520" s="78"/>
      <x:c r="C520" s="78"/>
      <x:c r="D520" s="78"/>
      <x:c r="E520" s="78"/>
      <x:c r="F520" s="78"/>
      <x:c r="G520" s="78"/>
      <x:c r="H520" s="78"/>
      <x:c r="I520" s="78"/>
      <x:c r="J520" s="78"/>
      <x:c r="K520" s="78"/>
      <x:c r="L520" s="78"/>
      <x:c r="M520" s="78"/>
    </x:row>
    <x:row r="521" ht="1.9500000476837158" customHeight="1">
      <x:c r="A521" s="78"/>
      <x:c r="B521" s="78"/>
      <x:c r="C521" s="78"/>
      <x:c r="D521" s="78"/>
      <x:c r="E521" s="78"/>
      <x:c r="F521" s="78"/>
      <x:c r="G521" s="78"/>
      <x:c r="H521" s="78"/>
      <x:c r="I521" s="78"/>
      <x:c r="J521" s="78"/>
      <x:c r="K521" s="78"/>
      <x:c r="L521" s="78"/>
      <x:c r="M521" s="78"/>
    </x:row>
    <x:row r="522" ht="1.9500000476837158" customHeight="1">
      <x:c r="A522" s="78"/>
      <x:c r="B522" s="78"/>
      <x:c r="C522" s="78"/>
      <x:c r="D522" s="78"/>
      <x:c r="E522" s="78"/>
      <x:c r="F522" s="78"/>
      <x:c r="G522" s="78"/>
      <x:c r="H522" s="78"/>
      <x:c r="I522" s="78"/>
      <x:c r="J522" s="78"/>
      <x:c r="K522" s="78"/>
      <x:c r="L522" s="78"/>
      <x:c r="M522" s="78"/>
    </x:row>
    <x:row r="523" ht="1.9500000476837158" customHeight="1">
      <x:c r="A523" s="78"/>
      <x:c r="B523" s="78"/>
      <x:c r="C523" s="78"/>
      <x:c r="D523" s="78"/>
      <x:c r="E523" s="78"/>
      <x:c r="F523" s="78"/>
      <x:c r="G523" s="78"/>
      <x:c r="H523" s="78"/>
      <x:c r="I523" s="78"/>
      <x:c r="J523" s="78"/>
      <x:c r="K523" s="78"/>
      <x:c r="L523" s="78"/>
      <x:c r="M523" s="78"/>
    </x:row>
    <x:row r="524" ht="1.9500000476837158" customHeight="1">
      <x:c r="A524" s="78"/>
      <x:c r="B524" s="78"/>
      <x:c r="C524" s="78"/>
      <x:c r="D524" s="78"/>
      <x:c r="E524" s="78"/>
      <x:c r="F524" s="78"/>
      <x:c r="G524" s="78"/>
      <x:c r="H524" s="78"/>
      <x:c r="I524" s="78"/>
      <x:c r="J524" s="78"/>
      <x:c r="K524" s="78"/>
      <x:c r="L524" s="78"/>
      <x:c r="M524" s="78"/>
    </x:row>
    <x:row r="525" ht="1.9500000476837158" customHeight="1">
      <x:c r="A525" s="78"/>
      <x:c r="B525" s="78"/>
      <x:c r="C525" s="78"/>
      <x:c r="D525" s="78"/>
      <x:c r="E525" s="78"/>
      <x:c r="F525" s="78"/>
      <x:c r="G525" s="78"/>
      <x:c r="H525" s="78"/>
      <x:c r="I525" s="78"/>
      <x:c r="J525" s="78"/>
      <x:c r="K525" s="78"/>
      <x:c r="L525" s="78"/>
      <x:c r="M525" s="78"/>
    </x:row>
    <x:row r="526" ht="1.9500000476837158" customHeight="1">
      <x:c r="A526" s="78"/>
      <x:c r="B526" s="78"/>
      <x:c r="C526" s="78"/>
      <x:c r="D526" s="78"/>
      <x:c r="E526" s="78"/>
      <x:c r="F526" s="78"/>
      <x:c r="G526" s="78"/>
      <x:c r="H526" s="78"/>
      <x:c r="I526" s="78"/>
      <x:c r="J526" s="78"/>
      <x:c r="K526" s="78"/>
      <x:c r="L526" s="78"/>
      <x:c r="M526" s="78"/>
    </x:row>
    <x:row r="527" ht="1.9500000476837158" customHeight="1">
      <x:c r="A527" s="78"/>
      <x:c r="B527" s="78"/>
      <x:c r="C527" s="78"/>
      <x:c r="D527" s="78"/>
      <x:c r="E527" s="78"/>
      <x:c r="F527" s="78"/>
      <x:c r="G527" s="78"/>
      <x:c r="H527" s="78"/>
      <x:c r="I527" s="78"/>
      <x:c r="J527" s="78"/>
      <x:c r="K527" s="78"/>
      <x:c r="L527" s="78"/>
      <x:c r="M527" s="78"/>
    </x:row>
    <x:row r="528" ht="1.9500000476837158" customHeight="1">
      <x:c r="A528" s="78"/>
      <x:c r="B528" s="78"/>
      <x:c r="C528" s="78"/>
      <x:c r="D528" s="78"/>
      <x:c r="E528" s="78"/>
      <x:c r="F528" s="78"/>
      <x:c r="G528" s="78"/>
      <x:c r="H528" s="78"/>
      <x:c r="I528" s="78"/>
      <x:c r="J528" s="78"/>
      <x:c r="K528" s="78"/>
      <x:c r="L528" s="78"/>
      <x:c r="M528" s="78"/>
    </x:row>
    <x:row r="529" ht="1.9500000476837158" customHeight="1">
      <x:c r="A529" s="78"/>
      <x:c r="B529" s="78"/>
      <x:c r="C529" s="78"/>
      <x:c r="D529" s="78"/>
      <x:c r="E529" s="78"/>
      <x:c r="F529" s="78"/>
      <x:c r="G529" s="78"/>
      <x:c r="H529" s="78"/>
      <x:c r="I529" s="78"/>
      <x:c r="J529" s="78"/>
      <x:c r="K529" s="78"/>
      <x:c r="L529" s="78"/>
      <x:c r="M529" s="78"/>
    </x:row>
    <x:row r="530" ht="1.9500000476837158" customHeight="1">
      <x:c r="A530" s="78"/>
      <x:c r="B530" s="78"/>
      <x:c r="C530" s="78"/>
      <x:c r="D530" s="78"/>
      <x:c r="E530" s="78"/>
      <x:c r="F530" s="78"/>
      <x:c r="G530" s="78"/>
      <x:c r="H530" s="78"/>
      <x:c r="I530" s="78"/>
      <x:c r="J530" s="78"/>
      <x:c r="K530" s="78"/>
      <x:c r="L530" s="78"/>
      <x:c r="M530" s="78"/>
    </x:row>
    <x:row r="531" ht="1.9500000476837158" customHeight="1">
      <x:c r="A531" s="78"/>
      <x:c r="B531" s="78"/>
      <x:c r="C531" s="78"/>
      <x:c r="D531" s="78"/>
      <x:c r="E531" s="78"/>
      <x:c r="F531" s="78"/>
      <x:c r="G531" s="78"/>
      <x:c r="H531" s="78"/>
      <x:c r="I531" s="78"/>
      <x:c r="J531" s="78"/>
      <x:c r="K531" s="78"/>
      <x:c r="L531" s="78"/>
      <x:c r="M531" s="78"/>
    </x:row>
    <x:row r="532" ht="1.9500000476837158" customHeight="1">
      <x:c r="A532" s="78"/>
      <x:c r="B532" s="78"/>
      <x:c r="C532" s="78"/>
      <x:c r="D532" s="78"/>
      <x:c r="E532" s="78"/>
      <x:c r="F532" s="78"/>
      <x:c r="G532" s="78"/>
      <x:c r="H532" s="78"/>
      <x:c r="I532" s="78"/>
      <x:c r="J532" s="78"/>
      <x:c r="K532" s="78"/>
      <x:c r="L532" s="78"/>
      <x:c r="M532" s="78"/>
    </x:row>
    <x:row r="533" ht="1.9500000476837158" customHeight="1">
      <x:c r="A533" s="78"/>
      <x:c r="B533" s="78"/>
      <x:c r="C533" s="78"/>
      <x:c r="D533" s="78"/>
      <x:c r="E533" s="78"/>
      <x:c r="F533" s="78"/>
      <x:c r="G533" s="78"/>
      <x:c r="H533" s="78"/>
      <x:c r="I533" s="78"/>
      <x:c r="J533" s="78"/>
      <x:c r="K533" s="78"/>
      <x:c r="L533" s="78"/>
      <x:c r="M533" s="78"/>
    </x:row>
    <x:row r="534" ht="1.9500000476837158" customHeight="1">
      <x:c r="A534" s="78"/>
      <x:c r="B534" s="78"/>
      <x:c r="C534" s="78"/>
      <x:c r="D534" s="78"/>
      <x:c r="E534" s="78"/>
      <x:c r="F534" s="78"/>
      <x:c r="G534" s="78"/>
      <x:c r="H534" s="78"/>
      <x:c r="I534" s="78"/>
      <x:c r="J534" s="78"/>
      <x:c r="K534" s="78"/>
      <x:c r="L534" s="78"/>
      <x:c r="M534" s="78"/>
    </x:row>
    <x:row r="535" ht="1.9500000476837158" customHeight="1">
      <x:c r="A535" s="78"/>
      <x:c r="B535" s="78"/>
      <x:c r="C535" s="78"/>
      <x:c r="D535" s="78"/>
      <x:c r="E535" s="78"/>
      <x:c r="F535" s="78"/>
      <x:c r="G535" s="78"/>
      <x:c r="H535" s="78"/>
      <x:c r="I535" s="78"/>
      <x:c r="J535" s="78"/>
      <x:c r="K535" s="78"/>
      <x:c r="L535" s="78"/>
      <x:c r="M535" s="78"/>
    </x:row>
    <x:row r="536" ht="1.9500000476837158" customHeight="1">
      <x:c r="A536" s="78"/>
      <x:c r="B536" s="78"/>
      <x:c r="C536" s="78"/>
      <x:c r="D536" s="78"/>
      <x:c r="E536" s="78"/>
      <x:c r="F536" s="78"/>
      <x:c r="G536" s="78"/>
      <x:c r="H536" s="78"/>
      <x:c r="I536" s="78"/>
      <x:c r="J536" s="78"/>
      <x:c r="K536" s="78"/>
      <x:c r="L536" s="78"/>
      <x:c r="M536" s="78"/>
    </x:row>
    <x:row r="537" ht="1.9500000476837158" customHeight="1">
      <x:c r="A537" s="78"/>
      <x:c r="B537" s="78"/>
      <x:c r="C537" s="78"/>
      <x:c r="D537" s="78"/>
      <x:c r="E537" s="78"/>
      <x:c r="F537" s="78"/>
      <x:c r="G537" s="78"/>
      <x:c r="H537" s="78"/>
      <x:c r="I537" s="78"/>
      <x:c r="J537" s="78"/>
      <x:c r="K537" s="78"/>
      <x:c r="L537" s="78"/>
      <x:c r="M537" s="78"/>
    </x:row>
    <x:row r="538" ht="1.9500000476837158" customHeight="1">
      <x:c r="A538" s="78"/>
      <x:c r="B538" s="78"/>
      <x:c r="C538" s="78"/>
      <x:c r="D538" s="78"/>
      <x:c r="E538" s="78"/>
      <x:c r="F538" s="78"/>
      <x:c r="G538" s="78"/>
      <x:c r="H538" s="78"/>
      <x:c r="I538" s="78"/>
      <x:c r="J538" s="78"/>
      <x:c r="K538" s="78"/>
      <x:c r="L538" s="78"/>
      <x:c r="M538" s="78"/>
    </x:row>
    <x:row r="539" ht="1.9500000476837158" customHeight="1">
      <x:c r="A539" s="78"/>
      <x:c r="B539" s="78"/>
      <x:c r="C539" s="78"/>
      <x:c r="D539" s="78"/>
      <x:c r="E539" s="78"/>
      <x:c r="F539" s="78"/>
      <x:c r="G539" s="78"/>
      <x:c r="H539" s="78"/>
      <x:c r="I539" s="78"/>
      <x:c r="J539" s="78"/>
      <x:c r="K539" s="78"/>
      <x:c r="L539" s="78"/>
      <x:c r="M539" s="78"/>
    </x:row>
    <x:row r="540" ht="1.9500000476837158" customHeight="1">
      <x:c r="A540" s="78"/>
      <x:c r="B540" s="78"/>
      <x:c r="C540" s="78"/>
      <x:c r="D540" s="78"/>
      <x:c r="E540" s="78"/>
      <x:c r="F540" s="78"/>
      <x:c r="G540" s="78"/>
      <x:c r="H540" s="78"/>
      <x:c r="I540" s="78"/>
      <x:c r="J540" s="78"/>
      <x:c r="K540" s="78"/>
      <x:c r="L540" s="78"/>
      <x:c r="M540" s="78"/>
    </x:row>
    <x:row r="541" ht="1.9500000476837158" customHeight="1">
      <x:c r="A541" s="78"/>
      <x:c r="B541" s="78"/>
      <x:c r="C541" s="78"/>
      <x:c r="D541" s="78"/>
      <x:c r="E541" s="78"/>
      <x:c r="F541" s="78"/>
      <x:c r="G541" s="78"/>
      <x:c r="H541" s="78"/>
      <x:c r="I541" s="78"/>
      <x:c r="J541" s="78"/>
      <x:c r="K541" s="78"/>
      <x:c r="L541" s="78"/>
      <x:c r="M541" s="78"/>
    </x:row>
    <x:row r="542" ht="1.9500000476837158" customHeight="1">
      <x:c r="A542" s="78"/>
      <x:c r="B542" s="78"/>
      <x:c r="C542" s="78"/>
      <x:c r="D542" s="78"/>
      <x:c r="E542" s="78"/>
      <x:c r="F542" s="78"/>
      <x:c r="G542" s="78"/>
      <x:c r="H542" s="78"/>
      <x:c r="I542" s="78"/>
      <x:c r="J542" s="78"/>
      <x:c r="K542" s="78"/>
      <x:c r="L542" s="78"/>
      <x:c r="M542" s="78"/>
    </x:row>
    <x:row r="543" ht="1.9500000476837158" customHeight="1">
      <x:c r="A543" s="78"/>
      <x:c r="B543" s="78"/>
      <x:c r="C543" s="78"/>
      <x:c r="D543" s="78"/>
      <x:c r="E543" s="78"/>
      <x:c r="F543" s="78"/>
      <x:c r="G543" s="78"/>
      <x:c r="H543" s="78"/>
      <x:c r="I543" s="78"/>
      <x:c r="J543" s="78"/>
      <x:c r="K543" s="78"/>
      <x:c r="L543" s="78"/>
      <x:c r="M543" s="78"/>
    </x:row>
    <x:row r="544" ht="1.9500000476837158" customHeight="1">
      <x:c r="A544" s="78"/>
      <x:c r="B544" s="78"/>
      <x:c r="C544" s="78"/>
      <x:c r="D544" s="78"/>
      <x:c r="E544" s="78"/>
      <x:c r="F544" s="78"/>
      <x:c r="G544" s="78"/>
      <x:c r="H544" s="78"/>
      <x:c r="I544" s="78"/>
      <x:c r="J544" s="78"/>
      <x:c r="K544" s="78"/>
      <x:c r="L544" s="78"/>
      <x:c r="M544" s="78"/>
    </x:row>
    <x:row r="545" ht="1.9500000476837158" customHeight="1">
      <x:c r="A545" s="78"/>
      <x:c r="B545" s="78"/>
      <x:c r="C545" s="78"/>
      <x:c r="D545" s="78"/>
      <x:c r="E545" s="78"/>
      <x:c r="F545" s="78"/>
      <x:c r="G545" s="78"/>
      <x:c r="H545" s="78"/>
      <x:c r="I545" s="78"/>
      <x:c r="J545" s="78"/>
      <x:c r="K545" s="78"/>
      <x:c r="L545" s="78"/>
      <x:c r="M545" s="78"/>
    </x:row>
    <x:row r="546" ht="1.9500000476837158" customHeight="1">
      <x:c r="A546" s="78"/>
      <x:c r="B546" s="78"/>
      <x:c r="C546" s="78"/>
      <x:c r="D546" s="78"/>
      <x:c r="E546" s="78"/>
      <x:c r="F546" s="78"/>
      <x:c r="G546" s="78"/>
      <x:c r="H546" s="78"/>
      <x:c r="I546" s="78"/>
      <x:c r="J546" s="78"/>
      <x:c r="K546" s="78"/>
      <x:c r="L546" s="78"/>
      <x:c r="M546" s="78"/>
    </x:row>
    <x:row r="547" ht="1.9500000476837158" customHeight="1">
      <x:c r="A547" s="78"/>
      <x:c r="B547" s="78"/>
      <x:c r="C547" s="78"/>
      <x:c r="D547" s="78"/>
      <x:c r="E547" s="78"/>
      <x:c r="F547" s="78"/>
      <x:c r="G547" s="78"/>
      <x:c r="H547" s="78"/>
      <x:c r="I547" s="78"/>
      <x:c r="J547" s="78"/>
      <x:c r="K547" s="78"/>
      <x:c r="L547" s="78"/>
      <x:c r="M547" s="78"/>
    </x:row>
    <x:row r="548" ht="1.9500000476837158" customHeight="1">
      <x:c r="A548" s="78"/>
      <x:c r="B548" s="78"/>
      <x:c r="C548" s="78"/>
      <x:c r="D548" s="78"/>
      <x:c r="E548" s="78"/>
      <x:c r="F548" s="78"/>
      <x:c r="G548" s="78"/>
      <x:c r="H548" s="78"/>
      <x:c r="I548" s="78"/>
      <x:c r="J548" s="78"/>
      <x:c r="K548" s="78"/>
      <x:c r="L548" s="78"/>
      <x:c r="M548" s="78"/>
    </x:row>
    <x:row r="549" ht="1.9500000476837158" customHeight="1">
      <x:c r="A549" s="78"/>
      <x:c r="B549" s="78"/>
      <x:c r="C549" s="78"/>
      <x:c r="D549" s="78"/>
      <x:c r="E549" s="78"/>
      <x:c r="F549" s="78"/>
      <x:c r="G549" s="78"/>
      <x:c r="H549" s="78"/>
      <x:c r="I549" s="78"/>
      <x:c r="J549" s="78"/>
      <x:c r="K549" s="78"/>
      <x:c r="L549" s="78"/>
      <x:c r="M549" s="78"/>
    </x:row>
    <x:row r="550" ht="1.9500000476837158" customHeight="1">
      <x:c r="A550" s="78"/>
      <x:c r="B550" s="78"/>
      <x:c r="C550" s="78"/>
      <x:c r="D550" s="78"/>
      <x:c r="E550" s="78"/>
      <x:c r="F550" s="78"/>
      <x:c r="G550" s="78"/>
      <x:c r="H550" s="78"/>
      <x:c r="I550" s="78"/>
      <x:c r="J550" s="78"/>
      <x:c r="K550" s="78"/>
      <x:c r="L550" s="78"/>
      <x:c r="M550" s="78"/>
    </x:row>
    <x:row r="551" ht="1.9500000476837158" customHeight="1">
      <x:c r="A551" s="78"/>
      <x:c r="B551" s="78"/>
      <x:c r="C551" s="78"/>
      <x:c r="D551" s="78"/>
      <x:c r="E551" s="78"/>
      <x:c r="F551" s="78"/>
      <x:c r="G551" s="78"/>
      <x:c r="H551" s="78"/>
      <x:c r="I551" s="78"/>
      <x:c r="J551" s="78"/>
      <x:c r="K551" s="78"/>
      <x:c r="L551" s="78"/>
      <x:c r="M551" s="78"/>
    </x:row>
    <x:row r="552" ht="1.9500000476837158" customHeight="1">
      <x:c r="A552" s="78"/>
      <x:c r="B552" s="78"/>
      <x:c r="C552" s="78"/>
      <x:c r="D552" s="78"/>
      <x:c r="E552" s="78"/>
      <x:c r="F552" s="78"/>
      <x:c r="G552" s="78"/>
      <x:c r="H552" s="78"/>
      <x:c r="I552" s="78"/>
      <x:c r="J552" s="78"/>
      <x:c r="K552" s="78"/>
      <x:c r="L552" s="78"/>
      <x:c r="M552" s="78"/>
    </x:row>
    <x:row r="553" ht="1.9500000476837158" customHeight="1">
      <x:c r="A553" s="78"/>
      <x:c r="B553" s="78"/>
      <x:c r="C553" s="78"/>
      <x:c r="D553" s="78"/>
      <x:c r="E553" s="78"/>
      <x:c r="F553" s="78"/>
      <x:c r="G553" s="78"/>
      <x:c r="H553" s="78"/>
      <x:c r="I553" s="78"/>
      <x:c r="J553" s="78"/>
      <x:c r="K553" s="78"/>
      <x:c r="L553" s="78"/>
      <x:c r="M553" s="78"/>
    </x:row>
    <x:row r="554" ht="1.9500000476837158" customHeight="1">
      <x:c r="A554" s="78"/>
      <x:c r="B554" s="78"/>
      <x:c r="C554" s="78"/>
      <x:c r="D554" s="78"/>
      <x:c r="E554" s="78"/>
      <x:c r="F554" s="78"/>
      <x:c r="G554" s="78"/>
      <x:c r="H554" s="78"/>
      <x:c r="I554" s="78"/>
      <x:c r="J554" s="78"/>
      <x:c r="K554" s="78"/>
      <x:c r="L554" s="78"/>
      <x:c r="M554" s="78"/>
    </x:row>
    <x:row r="555" ht="1.9500000476837158" customHeight="1">
      <x:c r="A555" s="78"/>
      <x:c r="B555" s="78"/>
      <x:c r="C555" s="78"/>
      <x:c r="D555" s="78"/>
      <x:c r="E555" s="78"/>
      <x:c r="F555" s="78"/>
      <x:c r="G555" s="78"/>
      <x:c r="H555" s="78"/>
      <x:c r="I555" s="78"/>
      <x:c r="J555" s="78"/>
      <x:c r="K555" s="78"/>
      <x:c r="L555" s="78"/>
      <x:c r="M555" s="78"/>
    </x:row>
    <x:row r="556" ht="1.9500000476837158" customHeight="1">
      <x:c r="A556" s="78"/>
      <x:c r="B556" s="78"/>
      <x:c r="C556" s="78"/>
      <x:c r="D556" s="78"/>
      <x:c r="E556" s="78"/>
      <x:c r="F556" s="78"/>
      <x:c r="G556" s="78"/>
      <x:c r="H556" s="78"/>
      <x:c r="I556" s="78"/>
      <x:c r="J556" s="78"/>
      <x:c r="K556" s="78"/>
      <x:c r="L556" s="78"/>
      <x:c r="M556" s="78"/>
    </x:row>
    <x:row r="557" ht="1.9500000476837158" customHeight="1">
      <x:c r="A557" s="78"/>
      <x:c r="B557" s="78"/>
      <x:c r="C557" s="78"/>
      <x:c r="D557" s="78"/>
      <x:c r="E557" s="78"/>
      <x:c r="F557" s="78"/>
      <x:c r="G557" s="78"/>
      <x:c r="H557" s="78"/>
      <x:c r="I557" s="78"/>
      <x:c r="J557" s="78"/>
      <x:c r="K557" s="78"/>
      <x:c r="L557" s="78"/>
      <x:c r="M557" s="78"/>
    </x:row>
    <x:row r="558" ht="1.9500000476837158" customHeight="1">
      <x:c r="A558" s="78"/>
      <x:c r="B558" s="78"/>
      <x:c r="C558" s="78"/>
      <x:c r="D558" s="78"/>
      <x:c r="E558" s="78"/>
      <x:c r="F558" s="78"/>
      <x:c r="G558" s="78"/>
      <x:c r="H558" s="78"/>
      <x:c r="I558" s="78"/>
      <x:c r="J558" s="78"/>
      <x:c r="K558" s="78"/>
      <x:c r="L558" s="78"/>
      <x:c r="M558" s="78"/>
    </x:row>
    <x:row r="559" ht="1.9500000476837158" customHeight="1">
      <x:c r="A559" s="78"/>
      <x:c r="B559" s="78"/>
      <x:c r="C559" s="78"/>
      <x:c r="D559" s="78"/>
      <x:c r="E559" s="78"/>
      <x:c r="F559" s="78"/>
      <x:c r="G559" s="78"/>
      <x:c r="H559" s="78"/>
      <x:c r="I559" s="78"/>
      <x:c r="J559" s="78"/>
      <x:c r="K559" s="78"/>
      <x:c r="L559" s="78"/>
      <x:c r="M559" s="78"/>
    </x:row>
    <x:row r="560" ht="1.9500000476837158" customHeight="1">
      <x:c r="A560" s="78"/>
      <x:c r="B560" s="78"/>
      <x:c r="C560" s="78"/>
      <x:c r="D560" s="78"/>
      <x:c r="E560" s="78"/>
      <x:c r="F560" s="78"/>
      <x:c r="G560" s="78"/>
      <x:c r="H560" s="78"/>
      <x:c r="I560" s="78"/>
      <x:c r="J560" s="78"/>
      <x:c r="K560" s="78"/>
      <x:c r="L560" s="78"/>
      <x:c r="M560" s="78"/>
    </x:row>
    <x:row r="561" ht="1.9500000476837158" customHeight="1">
      <x:c r="A561" s="78"/>
      <x:c r="B561" s="78"/>
      <x:c r="C561" s="78"/>
      <x:c r="D561" s="78"/>
      <x:c r="E561" s="78"/>
      <x:c r="F561" s="78"/>
      <x:c r="G561" s="78"/>
      <x:c r="H561" s="78"/>
      <x:c r="I561" s="78"/>
      <x:c r="J561" s="78"/>
      <x:c r="K561" s="78"/>
      <x:c r="L561" s="78"/>
      <x:c r="M561" s="78"/>
    </x:row>
    <x:row r="562" ht="1.9500000476837158" customHeight="1">
      <x:c r="A562" s="78"/>
      <x:c r="B562" s="78"/>
      <x:c r="C562" s="78"/>
      <x:c r="D562" s="78"/>
      <x:c r="E562" s="78"/>
      <x:c r="F562" s="78"/>
      <x:c r="G562" s="78"/>
      <x:c r="H562" s="78"/>
      <x:c r="I562" s="78"/>
      <x:c r="J562" s="78"/>
      <x:c r="K562" s="78"/>
      <x:c r="L562" s="78"/>
      <x:c r="M562" s="78"/>
    </x:row>
    <x:row r="563" ht="1.9500000476837158" customHeight="1">
      <x:c r="A563" s="78"/>
      <x:c r="B563" s="78"/>
      <x:c r="C563" s="78"/>
      <x:c r="D563" s="78"/>
      <x:c r="E563" s="78"/>
      <x:c r="F563" s="78"/>
      <x:c r="G563" s="78"/>
      <x:c r="H563" s="78"/>
      <x:c r="I563" s="78"/>
      <x:c r="J563" s="78"/>
      <x:c r="K563" s="78"/>
      <x:c r="L563" s="78"/>
      <x:c r="M563" s="78"/>
    </x:row>
    <x:row r="564" ht="1.9500000476837158" customHeight="1">
      <x:c r="A564" s="78"/>
      <x:c r="B564" s="78"/>
      <x:c r="C564" s="78"/>
      <x:c r="D564" s="78"/>
      <x:c r="E564" s="78"/>
      <x:c r="F564" s="78"/>
      <x:c r="G564" s="78"/>
      <x:c r="H564" s="78"/>
      <x:c r="I564" s="78"/>
      <x:c r="J564" s="78"/>
      <x:c r="K564" s="78"/>
      <x:c r="L564" s="78"/>
      <x:c r="M564" s="78"/>
    </x:row>
    <x:row r="565" ht="1.9500000476837158" customHeight="1">
      <x:c r="A565" s="78"/>
      <x:c r="B565" s="78"/>
      <x:c r="C565" s="78"/>
      <x:c r="D565" s="78"/>
      <x:c r="E565" s="78"/>
      <x:c r="F565" s="78"/>
      <x:c r="G565" s="78"/>
      <x:c r="H565" s="78"/>
      <x:c r="I565" s="78"/>
      <x:c r="J565" s="78"/>
      <x:c r="K565" s="78"/>
      <x:c r="L565" s="78"/>
      <x:c r="M565" s="78"/>
    </x:row>
    <x:row r="566" ht="1.9500000476837158" customHeight="1">
      <x:c r="A566" s="78"/>
      <x:c r="B566" s="78"/>
      <x:c r="C566" s="78"/>
      <x:c r="D566" s="78"/>
      <x:c r="E566" s="78"/>
      <x:c r="F566" s="78"/>
      <x:c r="G566" s="78"/>
      <x:c r="H566" s="78"/>
      <x:c r="I566" s="78"/>
      <x:c r="J566" s="78"/>
      <x:c r="K566" s="78"/>
      <x:c r="L566" s="78"/>
      <x:c r="M566" s="78"/>
    </x:row>
    <x:row r="567" ht="1.9500000476837158" customHeight="1">
      <x:c r="A567" s="78"/>
      <x:c r="B567" s="78"/>
      <x:c r="C567" s="78"/>
      <x:c r="D567" s="78"/>
      <x:c r="E567" s="78"/>
      <x:c r="F567" s="78"/>
      <x:c r="G567" s="78"/>
      <x:c r="H567" s="78"/>
      <x:c r="I567" s="78"/>
      <x:c r="J567" s="78"/>
      <x:c r="K567" s="78"/>
      <x:c r="L567" s="78"/>
      <x:c r="M567" s="78"/>
    </x:row>
    <x:row r="568" ht="1.9500000476837158" customHeight="1">
      <x:c r="A568" s="78"/>
      <x:c r="B568" s="78"/>
      <x:c r="C568" s="78"/>
      <x:c r="D568" s="78"/>
      <x:c r="E568" s="78"/>
      <x:c r="F568" s="78"/>
      <x:c r="G568" s="78"/>
      <x:c r="H568" s="78"/>
      <x:c r="I568" s="78"/>
      <x:c r="J568" s="78"/>
      <x:c r="K568" s="78"/>
      <x:c r="L568" s="78"/>
      <x:c r="M568" s="78"/>
    </x:row>
    <x:row r="569" ht="1.9500000476837158" customHeight="1">
      <x:c r="A569" s="78"/>
      <x:c r="B569" s="78"/>
      <x:c r="C569" s="78"/>
      <x:c r="D569" s="78"/>
      <x:c r="E569" s="78"/>
      <x:c r="F569" s="78"/>
      <x:c r="G569" s="78"/>
      <x:c r="H569" s="78"/>
      <x:c r="I569" s="78"/>
      <x:c r="J569" s="78"/>
      <x:c r="K569" s="78"/>
      <x:c r="L569" s="78"/>
      <x:c r="M569" s="78"/>
    </x:row>
    <x:row r="570" ht="1.9500000476837158" customHeight="1">
      <x:c r="A570" s="78"/>
      <x:c r="B570" s="78"/>
      <x:c r="C570" s="78"/>
      <x:c r="D570" s="78"/>
      <x:c r="E570" s="78"/>
      <x:c r="F570" s="78"/>
      <x:c r="G570" s="78"/>
      <x:c r="H570" s="78"/>
      <x:c r="I570" s="78"/>
      <x:c r="J570" s="78"/>
      <x:c r="K570" s="78"/>
      <x:c r="L570" s="78"/>
      <x:c r="M570" s="78"/>
    </x:row>
    <x:row r="571" ht="1.9500000476837158" customHeight="1">
      <x:c r="A571" s="78"/>
      <x:c r="B571" s="78"/>
      <x:c r="C571" s="78"/>
      <x:c r="D571" s="78"/>
      <x:c r="E571" s="78"/>
      <x:c r="F571" s="78"/>
      <x:c r="G571" s="78"/>
      <x:c r="H571" s="78"/>
      <x:c r="I571" s="78"/>
      <x:c r="J571" s="78"/>
      <x:c r="K571" s="78"/>
      <x:c r="L571" s="78"/>
      <x:c r="M571" s="78"/>
    </x:row>
    <x:row r="572" ht="1.9500000476837158" customHeight="1">
      <x:c r="A572" s="78"/>
      <x:c r="B572" s="78"/>
      <x:c r="C572" s="78"/>
      <x:c r="D572" s="78"/>
      <x:c r="E572" s="78"/>
      <x:c r="F572" s="78"/>
      <x:c r="G572" s="78"/>
      <x:c r="H572" s="78"/>
      <x:c r="I572" s="78"/>
      <x:c r="J572" s="78"/>
      <x:c r="K572" s="78"/>
      <x:c r="L572" s="78"/>
      <x:c r="M572" s="78"/>
    </x:row>
    <x:row r="573" ht="1.9500000476837158" customHeight="1">
      <x:c r="A573" s="78"/>
      <x:c r="B573" s="78"/>
      <x:c r="C573" s="78"/>
      <x:c r="D573" s="78"/>
      <x:c r="E573" s="78"/>
      <x:c r="F573" s="78"/>
      <x:c r="G573" s="78"/>
      <x:c r="H573" s="78"/>
      <x:c r="I573" s="78"/>
      <x:c r="J573" s="78"/>
      <x:c r="K573" s="78"/>
      <x:c r="L573" s="78"/>
      <x:c r="M573" s="78"/>
    </x:row>
    <x:row r="574" ht="1.9500000476837158" customHeight="1">
      <x:c r="A574" s="78"/>
      <x:c r="B574" s="78"/>
      <x:c r="C574" s="78"/>
      <x:c r="D574" s="78"/>
      <x:c r="E574" s="78"/>
      <x:c r="F574" s="78"/>
      <x:c r="G574" s="78"/>
      <x:c r="H574" s="78"/>
      <x:c r="I574" s="78"/>
      <x:c r="J574" s="78"/>
      <x:c r="K574" s="78"/>
      <x:c r="L574" s="78"/>
      <x:c r="M574" s="78"/>
    </x:row>
    <x:row r="575" ht="1.9500000476837158" customHeight="1">
      <x:c r="A575" s="78"/>
      <x:c r="B575" s="78"/>
      <x:c r="C575" s="78"/>
      <x:c r="D575" s="78"/>
      <x:c r="E575" s="78"/>
      <x:c r="F575" s="78"/>
      <x:c r="G575" s="78"/>
      <x:c r="H575" s="78"/>
      <x:c r="I575" s="78"/>
      <x:c r="J575" s="78"/>
      <x:c r="K575" s="78"/>
      <x:c r="L575" s="78"/>
      <x:c r="M575" s="78"/>
    </x:row>
    <x:row r="576" ht="1.9500000476837158" customHeight="1">
      <x:c r="A576" s="78"/>
      <x:c r="B576" s="78"/>
      <x:c r="C576" s="78"/>
      <x:c r="D576" s="78"/>
      <x:c r="E576" s="78"/>
      <x:c r="F576" s="78"/>
      <x:c r="G576" s="78"/>
      <x:c r="H576" s="78"/>
      <x:c r="I576" s="78"/>
      <x:c r="J576" s="78"/>
      <x:c r="K576" s="78"/>
      <x:c r="L576" s="78"/>
      <x:c r="M576" s="78"/>
    </x:row>
    <x:row r="577" ht="1.9500000476837158" customHeight="1">
      <x:c r="A577" s="78"/>
      <x:c r="B577" s="78"/>
      <x:c r="C577" s="78"/>
      <x:c r="D577" s="78"/>
      <x:c r="E577" s="78"/>
      <x:c r="F577" s="78"/>
      <x:c r="G577" s="78"/>
      <x:c r="H577" s="78"/>
      <x:c r="I577" s="78"/>
      <x:c r="J577" s="78"/>
      <x:c r="K577" s="78"/>
      <x:c r="L577" s="78"/>
      <x:c r="M577" s="78"/>
    </x:row>
    <x:row r="578" ht="1.9500000476837158" customHeight="1">
      <x:c r="A578" s="78"/>
      <x:c r="B578" s="78"/>
      <x:c r="C578" s="78"/>
      <x:c r="D578" s="78"/>
      <x:c r="E578" s="78"/>
      <x:c r="F578" s="78"/>
      <x:c r="G578" s="78"/>
      <x:c r="H578" s="78"/>
      <x:c r="I578" s="78"/>
      <x:c r="J578" s="78"/>
      <x:c r="K578" s="78"/>
      <x:c r="L578" s="78"/>
      <x:c r="M578" s="78"/>
    </x:row>
    <x:row r="579" ht="1.9500000476837158" customHeight="1">
      <x:c r="A579" s="78"/>
      <x:c r="B579" s="78"/>
      <x:c r="C579" s="78"/>
      <x:c r="D579" s="78"/>
      <x:c r="E579" s="78"/>
      <x:c r="F579" s="78"/>
      <x:c r="G579" s="78"/>
      <x:c r="H579" s="78"/>
      <x:c r="I579" s="78"/>
      <x:c r="J579" s="78"/>
      <x:c r="K579" s="78"/>
      <x:c r="L579" s="78"/>
      <x:c r="M579" s="78"/>
    </x:row>
    <x:row r="580" ht="1.9500000476837158" customHeight="1">
      <x:c r="A580" s="78"/>
      <x:c r="B580" s="78"/>
      <x:c r="C580" s="78"/>
      <x:c r="D580" s="78"/>
      <x:c r="E580" s="78"/>
      <x:c r="F580" s="78"/>
      <x:c r="G580" s="78"/>
      <x:c r="H580" s="78"/>
      <x:c r="I580" s="78"/>
      <x:c r="J580" s="78"/>
      <x:c r="K580" s="78"/>
      <x:c r="L580" s="78"/>
      <x:c r="M580" s="78"/>
    </x:row>
    <x:row r="581" ht="1.9500000476837158" customHeight="1">
      <x:c r="A581" s="78"/>
      <x:c r="B581" s="78"/>
      <x:c r="C581" s="78"/>
      <x:c r="D581" s="78"/>
      <x:c r="E581" s="78"/>
      <x:c r="F581" s="78"/>
      <x:c r="G581" s="78"/>
      <x:c r="H581" s="78"/>
      <x:c r="I581" s="78"/>
      <x:c r="J581" s="78"/>
      <x:c r="K581" s="78"/>
      <x:c r="L581" s="78"/>
      <x:c r="M581" s="78"/>
    </x:row>
    <x:row r="582" ht="1.9500000476837158" customHeight="1">
      <x:c r="A582" s="78"/>
      <x:c r="B582" s="78"/>
      <x:c r="C582" s="78"/>
      <x:c r="D582" s="78"/>
      <x:c r="E582" s="78"/>
      <x:c r="F582" s="78"/>
      <x:c r="G582" s="78"/>
      <x:c r="H582" s="78"/>
      <x:c r="I582" s="78"/>
      <x:c r="J582" s="78"/>
      <x:c r="K582" s="78"/>
      <x:c r="L582" s="78"/>
      <x:c r="M582" s="78"/>
    </x:row>
    <x:row r="583" ht="1.9500000476837158" customHeight="1">
      <x:c r="A583" s="78"/>
      <x:c r="B583" s="78"/>
      <x:c r="C583" s="78"/>
      <x:c r="D583" s="78"/>
      <x:c r="E583" s="78"/>
      <x:c r="F583" s="78"/>
      <x:c r="G583" s="78"/>
      <x:c r="H583" s="78"/>
      <x:c r="I583" s="78"/>
      <x:c r="J583" s="78"/>
      <x:c r="K583" s="78"/>
      <x:c r="L583" s="78"/>
      <x:c r="M583" s="78"/>
    </x:row>
    <x:row r="584" ht="1.9500000476837158" customHeight="1">
      <x:c r="A584" s="78"/>
      <x:c r="B584" s="78"/>
      <x:c r="C584" s="78"/>
      <x:c r="D584" s="78"/>
      <x:c r="E584" s="78"/>
      <x:c r="F584" s="78"/>
      <x:c r="G584" s="78"/>
      <x:c r="H584" s="78"/>
      <x:c r="I584" s="78"/>
      <x:c r="J584" s="78"/>
      <x:c r="K584" s="78"/>
      <x:c r="L584" s="78"/>
      <x:c r="M584" s="78"/>
    </x:row>
    <x:row r="585" ht="1.9500000476837158" customHeight="1">
      <x:c r="A585" s="78"/>
      <x:c r="B585" s="78"/>
      <x:c r="C585" s="78"/>
      <x:c r="D585" s="78"/>
      <x:c r="E585" s="78"/>
      <x:c r="F585" s="78"/>
      <x:c r="G585" s="78"/>
      <x:c r="H585" s="78"/>
      <x:c r="I585" s="78"/>
      <x:c r="J585" s="78"/>
      <x:c r="K585" s="78"/>
      <x:c r="L585" s="78"/>
      <x:c r="M585" s="78"/>
    </x:row>
    <x:row r="586" ht="1.9500000476837158" customHeight="1">
      <x:c r="A586" s="78"/>
      <x:c r="B586" s="78"/>
      <x:c r="C586" s="78"/>
      <x:c r="D586" s="78"/>
      <x:c r="E586" s="78"/>
      <x:c r="F586" s="78"/>
      <x:c r="G586" s="78"/>
      <x:c r="H586" s="78"/>
      <x:c r="I586" s="78"/>
      <x:c r="J586" s="78"/>
      <x:c r="K586" s="78"/>
      <x:c r="L586" s="78"/>
      <x:c r="M586" s="78"/>
    </x:row>
    <x:row r="587" ht="1.9500000476837158" customHeight="1">
      <x:c r="A587" s="78"/>
      <x:c r="B587" s="78"/>
      <x:c r="C587" s="78"/>
      <x:c r="D587" s="78"/>
      <x:c r="E587" s="78"/>
      <x:c r="F587" s="78"/>
      <x:c r="G587" s="78"/>
      <x:c r="H587" s="78"/>
      <x:c r="I587" s="78"/>
      <x:c r="J587" s="78"/>
      <x:c r="K587" s="78"/>
      <x:c r="L587" s="78"/>
      <x:c r="M587" s="78"/>
    </x:row>
    <x:row r="588" ht="1.9500000476837158" customHeight="1">
      <x:c r="A588" s="78"/>
      <x:c r="B588" s="78"/>
      <x:c r="C588" s="78"/>
      <x:c r="D588" s="78"/>
      <x:c r="E588" s="78"/>
      <x:c r="F588" s="78"/>
      <x:c r="G588" s="78"/>
      <x:c r="H588" s="78"/>
      <x:c r="I588" s="78"/>
      <x:c r="J588" s="78"/>
      <x:c r="K588" s="78"/>
      <x:c r="L588" s="78"/>
      <x:c r="M588" s="78"/>
    </x:row>
    <x:row r="589" ht="1.9500000476837158" customHeight="1">
      <x:c r="A589" s="78"/>
      <x:c r="B589" s="78"/>
      <x:c r="C589" s="78"/>
      <x:c r="D589" s="78"/>
      <x:c r="E589" s="78"/>
      <x:c r="F589" s="78"/>
      <x:c r="G589" s="78"/>
      <x:c r="H589" s="78"/>
      <x:c r="I589" s="78"/>
      <x:c r="J589" s="78"/>
      <x:c r="K589" s="78"/>
      <x:c r="L589" s="78"/>
      <x:c r="M589" s="78"/>
    </x:row>
    <x:row r="590" ht="1.9500000476837158" customHeight="1">
      <x:c r="A590" s="78"/>
      <x:c r="B590" s="78"/>
      <x:c r="C590" s="78"/>
      <x:c r="D590" s="78"/>
      <x:c r="E590" s="78"/>
      <x:c r="F590" s="78"/>
      <x:c r="G590" s="78"/>
      <x:c r="H590" s="78"/>
      <x:c r="I590" s="78"/>
      <x:c r="J590" s="78"/>
      <x:c r="K590" s="78"/>
      <x:c r="L590" s="78"/>
      <x:c r="M590" s="78"/>
    </x:row>
    <x:row r="591" ht="1.9500000476837158" customHeight="1">
      <x:c r="A591" s="78"/>
      <x:c r="B591" s="78"/>
      <x:c r="C591" s="78"/>
      <x:c r="D591" s="78"/>
      <x:c r="E591" s="78"/>
      <x:c r="F591" s="78"/>
      <x:c r="G591" s="78"/>
      <x:c r="H591" s="78"/>
      <x:c r="I591" s="78"/>
      <x:c r="J591" s="78"/>
      <x:c r="K591" s="78"/>
      <x:c r="L591" s="78"/>
      <x:c r="M591" s="78"/>
    </x:row>
    <x:row r="592" ht="1.9500000476837158" customHeight="1">
      <x:c r="A592" s="78"/>
      <x:c r="B592" s="78"/>
      <x:c r="C592" s="78"/>
      <x:c r="D592" s="78"/>
      <x:c r="E592" s="78"/>
      <x:c r="F592" s="78"/>
      <x:c r="G592" s="78"/>
      <x:c r="H592" s="78"/>
      <x:c r="I592" s="78"/>
      <x:c r="J592" s="78"/>
      <x:c r="K592" s="78"/>
      <x:c r="L592" s="78"/>
      <x:c r="M592" s="78"/>
    </x:row>
    <x:row r="593" ht="1.9500000476837158" customHeight="1">
      <x:c r="A593" s="78"/>
      <x:c r="B593" s="78"/>
      <x:c r="C593" s="78"/>
      <x:c r="D593" s="78"/>
      <x:c r="E593" s="78"/>
      <x:c r="F593" s="78"/>
      <x:c r="G593" s="78"/>
      <x:c r="H593" s="78"/>
      <x:c r="I593" s="78"/>
      <x:c r="J593" s="78"/>
      <x:c r="K593" s="78"/>
      <x:c r="L593" s="78"/>
      <x:c r="M593" s="78"/>
    </x:row>
    <x:row r="594" ht="1.9500000476837158" customHeight="1">
      <x:c r="A594" s="78"/>
      <x:c r="B594" s="78"/>
      <x:c r="C594" s="78"/>
      <x:c r="D594" s="78"/>
      <x:c r="E594" s="78"/>
      <x:c r="F594" s="78"/>
      <x:c r="G594" s="78"/>
      <x:c r="H594" s="78"/>
      <x:c r="I594" s="78"/>
      <x:c r="J594" s="78"/>
      <x:c r="K594" s="78"/>
      <x:c r="L594" s="78"/>
      <x:c r="M594" s="78"/>
    </x:row>
    <x:row r="595" ht="1.9500000476837158" customHeight="1">
      <x:c r="A595" s="78"/>
      <x:c r="B595" s="78"/>
      <x:c r="C595" s="78"/>
      <x:c r="D595" s="78"/>
      <x:c r="E595" s="78"/>
      <x:c r="F595" s="78"/>
      <x:c r="G595" s="78"/>
      <x:c r="H595" s="78"/>
      <x:c r="I595" s="78"/>
      <x:c r="J595" s="78"/>
      <x:c r="K595" s="78"/>
      <x:c r="L595" s="78"/>
      <x:c r="M595" s="78"/>
    </x:row>
    <x:row r="596" ht="1.9500000476837158" customHeight="1">
      <x:c r="A596" s="78"/>
      <x:c r="B596" s="78"/>
      <x:c r="C596" s="78"/>
      <x:c r="D596" s="78"/>
      <x:c r="E596" s="78"/>
      <x:c r="F596" s="78"/>
      <x:c r="G596" s="78"/>
      <x:c r="H596" s="78"/>
      <x:c r="I596" s="78"/>
      <x:c r="J596" s="78"/>
      <x:c r="K596" s="78"/>
      <x:c r="L596" s="78"/>
      <x:c r="M596" s="78"/>
    </x:row>
    <x:row r="597" ht="1.9500000476837158" customHeight="1">
      <x:c r="A597" s="78"/>
      <x:c r="B597" s="78"/>
      <x:c r="C597" s="78"/>
      <x:c r="D597" s="78"/>
      <x:c r="E597" s="78"/>
      <x:c r="F597" s="78"/>
      <x:c r="G597" s="78"/>
      <x:c r="H597" s="78"/>
      <x:c r="I597" s="78"/>
      <x:c r="J597" s="78"/>
      <x:c r="K597" s="78"/>
      <x:c r="L597" s="78"/>
      <x:c r="M597" s="78"/>
    </x:row>
    <x:row r="598" ht="1.9500000476837158" customHeight="1">
      <x:c r="A598" s="78"/>
      <x:c r="B598" s="78"/>
      <x:c r="C598" s="78"/>
      <x:c r="D598" s="78"/>
      <x:c r="E598" s="78"/>
      <x:c r="F598" s="78"/>
      <x:c r="G598" s="78"/>
      <x:c r="H598" s="78"/>
      <x:c r="I598" s="78"/>
      <x:c r="J598" s="78"/>
      <x:c r="K598" s="78"/>
      <x:c r="L598" s="78"/>
      <x:c r="M598" s="78"/>
    </x:row>
    <x:row r="599" ht="1.9500000476837158" customHeight="1">
      <x:c r="A599" s="78"/>
      <x:c r="B599" s="78"/>
      <x:c r="C599" s="78"/>
      <x:c r="D599" s="78"/>
      <x:c r="E599" s="78"/>
      <x:c r="F599" s="78"/>
      <x:c r="G599" s="78"/>
      <x:c r="H599" s="78"/>
      <x:c r="I599" s="78"/>
      <x:c r="J599" s="78"/>
      <x:c r="K599" s="78"/>
      <x:c r="L599" s="78"/>
      <x:c r="M599" s="78"/>
    </x:row>
    <x:row r="600" ht="1.9500000476837158" customHeight="1">
      <x:c r="A600" s="78"/>
      <x:c r="B600" s="78"/>
      <x:c r="C600" s="78"/>
      <x:c r="D600" s="78"/>
      <x:c r="E600" s="78"/>
      <x:c r="F600" s="78"/>
      <x:c r="G600" s="78"/>
      <x:c r="H600" s="78"/>
      <x:c r="I600" s="78"/>
      <x:c r="J600" s="78"/>
      <x:c r="K600" s="78"/>
      <x:c r="L600" s="78"/>
      <x:c r="M600" s="78"/>
    </x:row>
  </x:sheetData>
  <x:mergeCells>
    <x:mergeCell ref="I43:J43"/>
    <x:mergeCell ref="M43:N43"/>
    <x:mergeCell ref="E2:F2"/>
    <x:mergeCell ref="K2:N2"/>
    <x:mergeCell ref="A4:N4"/>
    <x:mergeCell ref="B2:D2"/>
    <x:mergeCell ref="G2:H2"/>
    <x:mergeCell ref="I2:J2"/>
    <x:mergeCell ref="E3:F3"/>
    <x:mergeCell ref="G3:H3"/>
    <x:mergeCell ref="I3:J3"/>
    <x:mergeCell ref="K3:N3"/>
    <x:mergeCell ref="I40:J40"/>
    <x:mergeCell ref="M40:N40"/>
    <x:mergeCell ref="I41:J41"/>
    <x:mergeCell ref="M41:N41"/>
    <x:mergeCell ref="I42:J42"/>
    <x:mergeCell ref="M42:N42"/>
    <x:mergeCell ref="I37:J37"/>
    <x:mergeCell ref="M37:N37"/>
    <x:mergeCell ref="I38:J38"/>
    <x:mergeCell ref="M38:N38"/>
    <x:mergeCell ref="I39:J39"/>
    <x:mergeCell ref="M39:N39"/>
    <x:mergeCell ref="A1:N1"/>
    <x:mergeCell ref="A35:F35"/>
    <x:mergeCell ref="H35:N35"/>
    <x:mergeCell ref="H36:J36"/>
    <x:mergeCell ref="L36:N36"/>
  </x:mergeCells>
  <x:conditionalFormatting sqref="A37:E50">
    <x:cfRule type="expression" dxfId="1" priority="1">
      <x:formula>MOD(ROW(),2)=0</x:formula>
    </x:cfRule>
  </x:conditionalFormatting>
  <x:conditionalFormatting sqref="H37:N43">
    <x:cfRule type="expression" dxfId="0" priority="2">
      <x:formula>MOD(ROW(),2)=0</x:formula>
    </x:cfRule>
  </x:conditionalFormatting>
  <x:dataValidations count="3">
    <x:dataValidation type="list" sqref="B2">
      <x:formula1>$Z$2:$Z$30</x:formula1>
    </x:dataValidation>
    <x:dataValidation type="list" sqref="G2">
      <x:formula1>INDIRECT("Decisiones!B2:B"&amp;COUNTA(Decisiones!B:B))</x:formula1>
    </x:dataValidation>
    <x:dataValidation type="list" sqref="G3">
      <x:formula1>OFFSET($FP$2,MATCH($X$2,$CW$2:$CW$30,0)-1,0,1,COLUMNS($FP$2:$JA$2))</x:formula1>
    </x:dataValidation>
  </x:dataValidations>
  <x:pageMargins left="0.7" right="0.7" top="0.75" bottom="0.75" header="0.3" footer="0.3"/>
  <x:drawing xmlns:r="http://schemas.openxmlformats.org/officeDocument/2006/relationships" r:id="R1e36e8c3813d4596"/>
</x:worksheet>
</file>

<file path=xl/worksheets/sheet9.xml><?xml version="1.0" encoding="utf-8"?>
<x:worksheet xmlns:x="http://schemas.openxmlformats.org/spreadsheetml/2006/main">
  <x:sheetFormatPr defaultRowHeight="13.800000190734863"/>
  <x:cols>
    <x:col min="1" max="1" width="9.5" customWidth="1"/>
    <x:col min="2" max="2" width="11.296875" customWidth="1"/>
    <x:col min="3" max="3" width="13.5" customWidth="1"/>
    <x:col min="4" max="4" width="14.8984375" customWidth="1"/>
    <x:col min="5" max="5" width="16.19921875" customWidth="1"/>
  </x:cols>
  <x:sheetData>
    <x:row r="1">
      <x:c r="A1" s="113" t="s">
        <x:v>871</x:v>
      </x:c>
      <x:c r="B1" s="113" t="s">
        <x:v>0</x:v>
      </x:c>
      <x:c r="C1" s="113" t="s">
        <x:v>1139</x:v>
      </x:c>
      <x:c r="D1" s="113" t="s">
        <x:v>1140</x:v>
      </x:c>
      <x:c r="E1" s="113" t="s">
        <x:v>1141</x:v>
      </x:c>
    </x:row>
    <x:row r="2">
      <x:c r="A2" s="112" cm="1">
        <x:f t="array" ref="A2">IF(ROWS($A$2:A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2)-1),"")</x:f>
        <x:v>43503</x:v>
      </x:c>
      <x:c r="B2" t="str" cm="1">
        <x:f t="array" ref="B2">IF($A2="","",INDEX(Decisiones!$A$2:$A$237,MATCH(INDEX(Explorador_Integrantes!$GO$2:$GO$30,MATCH(Explorador_Integrantes!$X$2,Explorador_Integrantes!$GN$2:$GN$30,0)),Decisiones!$B$2:$B$237,0)+ROWS($A$2:A2)-1))</x:f>
        <x:v>D20190207</x:v>
      </x:c>
      <x:c r="C2" t="n" cm="1">
        <x:f t="array" ref="C2">IF($A2="","",INDEX(Decisiones!$H$2:$H$237,MATCH(INDEX(Explorador_Integrantes!$GO$2:$GO$30,MATCH(Explorador_Integrantes!$X$2,Explorador_Integrantes!$GN$2:$GN$30,0)),Decisiones!$B$2:$B$237,0)+ROWS($A$2:A2)-1))</x:f>
        <x:v>8.25</x:v>
      </x:c>
      <x:c r="D2" t="n">
        <x:f>IF($B2="","",--(COUNTIFS(Votaciones!$A$2:$A$336,$B2,Votaciones!$B$2:$B$336,Explorador_Integrantes!$X$2,Votaciones!$D$2:$D$336,"Disenso restrictivo")&gt;0))</x:f>
        <x:v>0</x:v>
      </x:c>
      <x:c r="E2" t="n">
        <x:f>IF($B2="","",--(COUNTIFS(Votaciones!$A$2:$A$336,$B2,Votaciones!$B$2:$B$336,Explorador_Integrantes!$X$2,Votaciones!$D$2:$D$336,"Disenso acomodaticio")&gt;0))</x:f>
        <x:v>0</x:v>
      </x:c>
    </x:row>
    <x:row r="3">
      <x:c r="A3" s="112" cm="1">
        <x:f t="array" ref="A3">IF(ROWS($A$2:A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3)-1),"")</x:f>
        <x:v>43552</x:v>
      </x:c>
      <x:c r="B3" t="str" cm="1">
        <x:f t="array" ref="B3">IF($A3="","",INDEX(Decisiones!$A$2:$A$237,MATCH(INDEX(Explorador_Integrantes!$GO$2:$GO$30,MATCH(Explorador_Integrantes!$X$2,Explorador_Integrantes!$GN$2:$GN$30,0)),Decisiones!$B$2:$B$237,0)+ROWS($A$2:A3)-1))</x:f>
        <x:v>D20190328</x:v>
      </x:c>
      <x:c r="C3" t="n" cm="1">
        <x:f t="array" ref="C3">IF($A3="","",INDEX(Decisiones!$H$2:$H$237,MATCH(INDEX(Explorador_Integrantes!$GO$2:$GO$30,MATCH(Explorador_Integrantes!$X$2,Explorador_Integrantes!$GN$2:$GN$30,0)),Decisiones!$B$2:$B$237,0)+ROWS($A$2:A3)-1))</x:f>
        <x:v>8.25</x:v>
      </x:c>
      <x:c r="D3" t="n">
        <x:f>IF($B3="","",--(COUNTIFS(Votaciones!$A$2:$A$336,$B3,Votaciones!$B$2:$B$336,Explorador_Integrantes!$X$2,Votaciones!$D$2:$D$336,"Disenso restrictivo")&gt;0))</x:f>
        <x:v>0</x:v>
      </x:c>
      <x:c r="E3" t="n">
        <x:f>IF($B3="","",--(COUNTIFS(Votaciones!$A$2:$A$336,$B3,Votaciones!$B$2:$B$336,Explorador_Integrantes!$X$2,Votaciones!$D$2:$D$336,"Disenso acomodaticio")&gt;0))</x:f>
        <x:v>0</x:v>
      </x:c>
    </x:row>
    <x:row r="4">
      <x:c r="A4" s="112" cm="1">
        <x:f t="array" ref="A4">IF(ROWS($A$2:A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4)-1),"")</x:f>
        <x:v>43601</x:v>
      </x:c>
      <x:c r="B4" t="str" cm="1">
        <x:f t="array" ref="B4">IF($A4="","",INDEX(Decisiones!$A$2:$A$237,MATCH(INDEX(Explorador_Integrantes!$GO$2:$GO$30,MATCH(Explorador_Integrantes!$X$2,Explorador_Integrantes!$GN$2:$GN$30,0)),Decisiones!$B$2:$B$237,0)+ROWS($A$2:A4)-1))</x:f>
        <x:v>D20190516</x:v>
      </x:c>
      <x:c r="C4" t="n" cm="1">
        <x:f t="array" ref="C4">IF($A4="","",INDEX(Decisiones!$H$2:$H$237,MATCH(INDEX(Explorador_Integrantes!$GO$2:$GO$30,MATCH(Explorador_Integrantes!$X$2,Explorador_Integrantes!$GN$2:$GN$30,0)),Decisiones!$B$2:$B$237,0)+ROWS($A$2:A4)-1))</x:f>
        <x:v>8.25</x:v>
      </x:c>
      <x:c r="D4" t="n">
        <x:f>IF($B4="","",--(COUNTIFS(Votaciones!$A$2:$A$336,$B4,Votaciones!$B$2:$B$336,Explorador_Integrantes!$X$2,Votaciones!$D$2:$D$336,"Disenso restrictivo")&gt;0))</x:f>
        <x:v>0</x:v>
      </x:c>
      <x:c r="E4" t="n">
        <x:f>IF($B4="","",--(COUNTIFS(Votaciones!$A$2:$A$336,$B4,Votaciones!$B$2:$B$336,Explorador_Integrantes!$X$2,Votaciones!$D$2:$D$336,"Disenso acomodaticio")&gt;0))</x:f>
        <x:v>0</x:v>
      </x:c>
    </x:row>
    <x:row r="5">
      <x:c r="A5" s="112" cm="1">
        <x:f t="array" ref="A5">IF(ROWS($A$2:A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5)-1),"")</x:f>
        <x:v>43643</x:v>
      </x:c>
      <x:c r="B5" t="str" cm="1">
        <x:f t="array" ref="B5">IF($A5="","",INDEX(Decisiones!$A$2:$A$237,MATCH(INDEX(Explorador_Integrantes!$GO$2:$GO$30,MATCH(Explorador_Integrantes!$X$2,Explorador_Integrantes!$GN$2:$GN$30,0)),Decisiones!$B$2:$B$237,0)+ROWS($A$2:A5)-1))</x:f>
        <x:v>D20190627</x:v>
      </x:c>
      <x:c r="C5" t="n" cm="1">
        <x:f t="array" ref="C5">IF($A5="","",INDEX(Decisiones!$H$2:$H$237,MATCH(INDEX(Explorador_Integrantes!$GO$2:$GO$30,MATCH(Explorador_Integrantes!$X$2,Explorador_Integrantes!$GN$2:$GN$30,0)),Decisiones!$B$2:$B$237,0)+ROWS($A$2:A5)-1))</x:f>
        <x:v>8.25</x:v>
      </x:c>
      <x:c r="D5" t="n">
        <x:f>IF($B5="","",--(COUNTIFS(Votaciones!$A$2:$A$336,$B5,Votaciones!$B$2:$B$336,Explorador_Integrantes!$X$2,Votaciones!$D$2:$D$336,"Disenso restrictivo")&gt;0))</x:f>
        <x:v>0</x:v>
      </x:c>
      <x:c r="E5" t="n">
        <x:f>IF($B5="","",--(COUNTIFS(Votaciones!$A$2:$A$336,$B5,Votaciones!$B$2:$B$336,Explorador_Integrantes!$X$2,Votaciones!$D$2:$D$336,"Disenso acomodaticio")&gt;0))</x:f>
        <x:v>0</x:v>
      </x:c>
    </x:row>
    <x:row r="6">
      <x:c r="A6" s="112" cm="1">
        <x:f t="array" ref="A6">IF(ROWS($A$2:A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6)-1),"")</x:f>
        <x:v>43692</x:v>
      </x:c>
      <x:c r="B6" t="str" cm="1">
        <x:f t="array" ref="B6">IF($A6="","",INDEX(Decisiones!$A$2:$A$237,MATCH(INDEX(Explorador_Integrantes!$GO$2:$GO$30,MATCH(Explorador_Integrantes!$X$2,Explorador_Integrantes!$GN$2:$GN$30,0)),Decisiones!$B$2:$B$237,0)+ROWS($A$2:A6)-1))</x:f>
        <x:v>D20190815</x:v>
      </x:c>
      <x:c r="C6" t="n" cm="1">
        <x:f t="array" ref="C6">IF($A6="","",INDEX(Decisiones!$H$2:$H$237,MATCH(INDEX(Explorador_Integrantes!$GO$2:$GO$30,MATCH(Explorador_Integrantes!$X$2,Explorador_Integrantes!$GN$2:$GN$30,0)),Decisiones!$B$2:$B$237,0)+ROWS($A$2:A6)-1))</x:f>
        <x:v>8</x:v>
      </x:c>
      <x:c r="D6" t="n">
        <x:f>IF($B6="","",--(COUNTIFS(Votaciones!$A$2:$A$336,$B6,Votaciones!$B$2:$B$336,Explorador_Integrantes!$X$2,Votaciones!$D$2:$D$336,"Disenso restrictivo")&gt;0))</x:f>
        <x:v>0</x:v>
      </x:c>
      <x:c r="E6" t="n">
        <x:f>IF($B6="","",--(COUNTIFS(Votaciones!$A$2:$A$336,$B6,Votaciones!$B$2:$B$336,Explorador_Integrantes!$X$2,Votaciones!$D$2:$D$336,"Disenso acomodaticio")&gt;0))</x:f>
        <x:v>0</x:v>
      </x:c>
    </x:row>
    <x:row r="7">
      <x:c r="A7" s="112" cm="1">
        <x:f t="array" ref="A7">IF(ROWS($A$2:A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7)-1),"")</x:f>
        <x:v>43734</x:v>
      </x:c>
      <x:c r="B7" t="str" cm="1">
        <x:f t="array" ref="B7">IF($A7="","",INDEX(Decisiones!$A$2:$A$237,MATCH(INDEX(Explorador_Integrantes!$GO$2:$GO$30,MATCH(Explorador_Integrantes!$X$2,Explorador_Integrantes!$GN$2:$GN$30,0)),Decisiones!$B$2:$B$237,0)+ROWS($A$2:A7)-1))</x:f>
        <x:v>D20190926</x:v>
      </x:c>
      <x:c r="C7" t="n" cm="1">
        <x:f t="array" ref="C7">IF($A7="","",INDEX(Decisiones!$H$2:$H$237,MATCH(INDEX(Explorador_Integrantes!$GO$2:$GO$30,MATCH(Explorador_Integrantes!$X$2,Explorador_Integrantes!$GN$2:$GN$30,0)),Decisiones!$B$2:$B$237,0)+ROWS($A$2:A7)-1))</x:f>
        <x:v>7.75</x:v>
      </x:c>
      <x:c r="D7" t="n">
        <x:f>IF($B7="","",--(COUNTIFS(Votaciones!$A$2:$A$336,$B7,Votaciones!$B$2:$B$336,Explorador_Integrantes!$X$2,Votaciones!$D$2:$D$336,"Disenso restrictivo")&gt;0))</x:f>
        <x:v>0</x:v>
      </x:c>
      <x:c r="E7" t="n">
        <x:f>IF($B7="","",--(COUNTIFS(Votaciones!$A$2:$A$336,$B7,Votaciones!$B$2:$B$336,Explorador_Integrantes!$X$2,Votaciones!$D$2:$D$336,"Disenso acomodaticio")&gt;0))</x:f>
        <x:v>1</x:v>
      </x:c>
    </x:row>
    <x:row r="8">
      <x:c r="A8" s="112" cm="1">
        <x:f t="array" ref="A8">IF(ROWS($A$2:A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8)-1),"")</x:f>
        <x:v>43783</x:v>
      </x:c>
      <x:c r="B8" t="str" cm="1">
        <x:f t="array" ref="B8">IF($A8="","",INDEX(Decisiones!$A$2:$A$237,MATCH(INDEX(Explorador_Integrantes!$GO$2:$GO$30,MATCH(Explorador_Integrantes!$X$2,Explorador_Integrantes!$GN$2:$GN$30,0)),Decisiones!$B$2:$B$237,0)+ROWS($A$2:A8)-1))</x:f>
        <x:v>D20191114</x:v>
      </x:c>
      <x:c r="C8" t="n" cm="1">
        <x:f t="array" ref="C8">IF($A8="","",INDEX(Decisiones!$H$2:$H$237,MATCH(INDEX(Explorador_Integrantes!$GO$2:$GO$30,MATCH(Explorador_Integrantes!$X$2,Explorador_Integrantes!$GN$2:$GN$30,0)),Decisiones!$B$2:$B$237,0)+ROWS($A$2:A8)-1))</x:f>
        <x:v>7.5</x:v>
      </x:c>
      <x:c r="D8" t="n">
        <x:f>IF($B8="","",--(COUNTIFS(Votaciones!$A$2:$A$336,$B8,Votaciones!$B$2:$B$336,Explorador_Integrantes!$X$2,Votaciones!$D$2:$D$336,"Disenso restrictivo")&gt;0))</x:f>
        <x:v>0</x:v>
      </x:c>
      <x:c r="E8" t="n">
        <x:f>IF($B8="","",--(COUNTIFS(Votaciones!$A$2:$A$336,$B8,Votaciones!$B$2:$B$336,Explorador_Integrantes!$X$2,Votaciones!$D$2:$D$336,"Disenso acomodaticio")&gt;0))</x:f>
        <x:v>1</x:v>
      </x:c>
    </x:row>
    <x:row r="9">
      <x:c r="A9" s="112" cm="1">
        <x:f t="array" ref="A9">IF(ROWS($A$2:A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9)-1),"")</x:f>
        <x:v>43818</x:v>
      </x:c>
      <x:c r="B9" t="str" cm="1">
        <x:f t="array" ref="B9">IF($A9="","",INDEX(Decisiones!$A$2:$A$237,MATCH(INDEX(Explorador_Integrantes!$GO$2:$GO$30,MATCH(Explorador_Integrantes!$X$2,Explorador_Integrantes!$GN$2:$GN$30,0)),Decisiones!$B$2:$B$237,0)+ROWS($A$2:A9)-1))</x:f>
        <x:v>D20191219</x:v>
      </x:c>
      <x:c r="C9" t="n" cm="1">
        <x:f t="array" ref="C9">IF($A9="","",INDEX(Decisiones!$H$2:$H$237,MATCH(INDEX(Explorador_Integrantes!$GO$2:$GO$30,MATCH(Explorador_Integrantes!$X$2,Explorador_Integrantes!$GN$2:$GN$30,0)),Decisiones!$B$2:$B$237,0)+ROWS($A$2:A9)-1))</x:f>
        <x:v>7.25</x:v>
      </x:c>
      <x:c r="D9" t="n">
        <x:f>IF($B9="","",--(COUNTIFS(Votaciones!$A$2:$A$336,$B9,Votaciones!$B$2:$B$336,Explorador_Integrantes!$X$2,Votaciones!$D$2:$D$336,"Disenso restrictivo")&gt;0))</x:f>
        <x:v>0</x:v>
      </x:c>
      <x:c r="E9" t="n">
        <x:f>IF($B9="","",--(COUNTIFS(Votaciones!$A$2:$A$336,$B9,Votaciones!$B$2:$B$336,Explorador_Integrantes!$X$2,Votaciones!$D$2:$D$336,"Disenso acomodaticio")&gt;0))</x:f>
        <x:v>0</x:v>
      </x:c>
    </x:row>
    <x:row r="10">
      <x:c r="A10" s="112" cm="1">
        <x:f t="array" ref="A10">IF(ROWS($A$2:A10)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10)-1),"")</x:f>
        <x:v>43874</x:v>
      </x:c>
      <x:c r="B10" t="str" cm="1">
        <x:f t="array" ref="B10">IF($A10="","",INDEX(Decisiones!$A$2:$A$237,MATCH(INDEX(Explorador_Integrantes!$GO$2:$GO$30,MATCH(Explorador_Integrantes!$X$2,Explorador_Integrantes!$GN$2:$GN$30,0)),Decisiones!$B$2:$B$237,0)+ROWS($A$2:A10)-1))</x:f>
        <x:v>D20200213</x:v>
      </x:c>
      <x:c r="C10" t="n" cm="1">
        <x:f t="array" ref="C10">IF($A10="","",INDEX(Decisiones!$H$2:$H$237,MATCH(INDEX(Explorador_Integrantes!$GO$2:$GO$30,MATCH(Explorador_Integrantes!$X$2,Explorador_Integrantes!$GN$2:$GN$30,0)),Decisiones!$B$2:$B$237,0)+ROWS($A$2:A10)-1))</x:f>
        <x:v>7</x:v>
      </x:c>
      <x:c r="D10" t="n">
        <x:f>IF($B10="","",--(COUNTIFS(Votaciones!$A$2:$A$336,$B10,Votaciones!$B$2:$B$336,Explorador_Integrantes!$X$2,Votaciones!$D$2:$D$336,"Disenso restrictivo")&gt;0))</x:f>
        <x:v>0</x:v>
      </x:c>
      <x:c r="E10" t="n">
        <x:f>IF($B10="","",--(COUNTIFS(Votaciones!$A$2:$A$336,$B10,Votaciones!$B$2:$B$336,Explorador_Integrantes!$X$2,Votaciones!$D$2:$D$336,"Disenso acomodaticio")&gt;0))</x:f>
        <x:v>0</x:v>
      </x:c>
    </x:row>
    <x:row r="11">
      <x:c r="A11" s="112" cm="1">
        <x:f t="array" ref="A11">IF(ROWS($A$2:A11)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11)-1),"")</x:f>
        <x:v>43910</x:v>
      </x:c>
      <x:c r="B11" t="str" cm="1">
        <x:f t="array" ref="B11">IF($A11="","",INDEX(Decisiones!$A$2:$A$237,MATCH(INDEX(Explorador_Integrantes!$GO$2:$GO$30,MATCH(Explorador_Integrantes!$X$2,Explorador_Integrantes!$GN$2:$GN$30,0)),Decisiones!$B$2:$B$237,0)+ROWS($A$2:A11)-1))</x:f>
        <x:v>D20200320</x:v>
      </x:c>
      <x:c r="C11" t="n" cm="1">
        <x:f t="array" ref="C11">IF($A11="","",INDEX(Decisiones!$H$2:$H$237,MATCH(INDEX(Explorador_Integrantes!$GO$2:$GO$30,MATCH(Explorador_Integrantes!$X$2,Explorador_Integrantes!$GN$2:$GN$30,0)),Decisiones!$B$2:$B$237,0)+ROWS($A$2:A11)-1))</x:f>
        <x:v>6.5</x:v>
      </x:c>
      <x:c r="D11" t="n">
        <x:f>IF($B11="","",--(COUNTIFS(Votaciones!$A$2:$A$336,$B11,Votaciones!$B$2:$B$336,Explorador_Integrantes!$X$2,Votaciones!$D$2:$D$336,"Disenso restrictivo")&gt;0))</x:f>
        <x:v>0</x:v>
      </x:c>
      <x:c r="E11" t="n">
        <x:f>IF($B11="","",--(COUNTIFS(Votaciones!$A$2:$A$336,$B11,Votaciones!$B$2:$B$336,Explorador_Integrantes!$X$2,Votaciones!$D$2:$D$336,"Disenso acomodaticio")&gt;0))</x:f>
        <x:v>0</x:v>
      </x:c>
    </x:row>
    <x:row r="12">
      <x:c r="A12" s="112" cm="1">
        <x:f t="array" ref="A12">IF(ROWS($A$2:A12)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12)-1),"")</x:f>
        <x:v>43942</x:v>
      </x:c>
      <x:c r="B12" t="str" cm="1">
        <x:f t="array" ref="B12">IF($A12="","",INDEX(Decisiones!$A$2:$A$237,MATCH(INDEX(Explorador_Integrantes!$GO$2:$GO$30,MATCH(Explorador_Integrantes!$X$2,Explorador_Integrantes!$GN$2:$GN$30,0)),Decisiones!$B$2:$B$237,0)+ROWS($A$2:A12)-1))</x:f>
        <x:v>D20200421</x:v>
      </x:c>
      <x:c r="C12" t="n" cm="1">
        <x:f t="array" ref="C12">IF($A12="","",INDEX(Decisiones!$H$2:$H$237,MATCH(INDEX(Explorador_Integrantes!$GO$2:$GO$30,MATCH(Explorador_Integrantes!$X$2,Explorador_Integrantes!$GN$2:$GN$30,0)),Decisiones!$B$2:$B$237,0)+ROWS($A$2:A12)-1))</x:f>
        <x:v>6</x:v>
      </x:c>
      <x:c r="D12" t="n">
        <x:f>IF($B12="","",--(COUNTIFS(Votaciones!$A$2:$A$336,$B12,Votaciones!$B$2:$B$336,Explorador_Integrantes!$X$2,Votaciones!$D$2:$D$336,"Disenso restrictivo")&gt;0))</x:f>
        <x:v>0</x:v>
      </x:c>
      <x:c r="E12" t="n">
        <x:f>IF($B12="","",--(COUNTIFS(Votaciones!$A$2:$A$336,$B12,Votaciones!$B$2:$B$336,Explorador_Integrantes!$X$2,Votaciones!$D$2:$D$336,"Disenso acomodaticio")&gt;0))</x:f>
        <x:v>0</x:v>
      </x:c>
    </x:row>
    <x:row r="13">
      <x:c r="A13" s="112" cm="1">
        <x:f t="array" ref="A13">IF(ROWS($A$2:A13)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13)-1),"")</x:f>
        <x:v>43965</x:v>
      </x:c>
      <x:c r="B13" t="str" cm="1">
        <x:f t="array" ref="B13">IF($A13="","",INDEX(Decisiones!$A$2:$A$237,MATCH(INDEX(Explorador_Integrantes!$GO$2:$GO$30,MATCH(Explorador_Integrantes!$X$2,Explorador_Integrantes!$GN$2:$GN$30,0)),Decisiones!$B$2:$B$237,0)+ROWS($A$2:A13)-1))</x:f>
        <x:v>D20200514</x:v>
      </x:c>
      <x:c r="C13" t="n" cm="1">
        <x:f t="array" ref="C13">IF($A13="","",INDEX(Decisiones!$H$2:$H$237,MATCH(INDEX(Explorador_Integrantes!$GO$2:$GO$30,MATCH(Explorador_Integrantes!$X$2,Explorador_Integrantes!$GN$2:$GN$30,0)),Decisiones!$B$2:$B$237,0)+ROWS($A$2:A13)-1))</x:f>
        <x:v>5.5</x:v>
      </x:c>
      <x:c r="D13" t="n">
        <x:f>IF($B13="","",--(COUNTIFS(Votaciones!$A$2:$A$336,$B13,Votaciones!$B$2:$B$336,Explorador_Integrantes!$X$2,Votaciones!$D$2:$D$336,"Disenso restrictivo")&gt;0))</x:f>
        <x:v>0</x:v>
      </x:c>
      <x:c r="E13" t="n">
        <x:f>IF($B13="","",--(COUNTIFS(Votaciones!$A$2:$A$336,$B13,Votaciones!$B$2:$B$336,Explorador_Integrantes!$X$2,Votaciones!$D$2:$D$336,"Disenso acomodaticio")&gt;0))</x:f>
        <x:v>0</x:v>
      </x:c>
    </x:row>
    <x:row r="14">
      <x:c r="A14" s="112" cm="1">
        <x:f t="array" ref="A14">IF(ROWS($A$2:A14)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14)-1),"")</x:f>
        <x:v>44007</x:v>
      </x:c>
      <x:c r="B14" t="str" cm="1">
        <x:f t="array" ref="B14">IF($A14="","",INDEX(Decisiones!$A$2:$A$237,MATCH(INDEX(Explorador_Integrantes!$GO$2:$GO$30,MATCH(Explorador_Integrantes!$X$2,Explorador_Integrantes!$GN$2:$GN$30,0)),Decisiones!$B$2:$B$237,0)+ROWS($A$2:A14)-1))</x:f>
        <x:v>D20200625</x:v>
      </x:c>
      <x:c r="C14" t="n" cm="1">
        <x:f t="array" ref="C14">IF($A14="","",INDEX(Decisiones!$H$2:$H$237,MATCH(INDEX(Explorador_Integrantes!$GO$2:$GO$30,MATCH(Explorador_Integrantes!$X$2,Explorador_Integrantes!$GN$2:$GN$30,0)),Decisiones!$B$2:$B$237,0)+ROWS($A$2:A14)-1))</x:f>
        <x:v>5</x:v>
      </x:c>
      <x:c r="D14" t="n">
        <x:f>IF($B14="","",--(COUNTIFS(Votaciones!$A$2:$A$336,$B14,Votaciones!$B$2:$B$336,Explorador_Integrantes!$X$2,Votaciones!$D$2:$D$336,"Disenso restrictivo")&gt;0))</x:f>
        <x:v>0</x:v>
      </x:c>
      <x:c r="E14" t="n">
        <x:f>IF($B14="","",--(COUNTIFS(Votaciones!$A$2:$A$336,$B14,Votaciones!$B$2:$B$336,Explorador_Integrantes!$X$2,Votaciones!$D$2:$D$336,"Disenso acomodaticio")&gt;0))</x:f>
        <x:v>0</x:v>
      </x:c>
    </x:row>
    <x:row r="15">
      <x:c r="A15" s="112" cm="1">
        <x:f t="array" ref="A15">IF(ROWS($A$2:A15)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15)-1),"")</x:f>
        <x:v>44056</x:v>
      </x:c>
      <x:c r="B15" t="str" cm="1">
        <x:f t="array" ref="B15">IF($A15="","",INDEX(Decisiones!$A$2:$A$237,MATCH(INDEX(Explorador_Integrantes!$GO$2:$GO$30,MATCH(Explorador_Integrantes!$X$2,Explorador_Integrantes!$GN$2:$GN$30,0)),Decisiones!$B$2:$B$237,0)+ROWS($A$2:A15)-1))</x:f>
        <x:v>D20200813</x:v>
      </x:c>
      <x:c r="C15" t="n" cm="1">
        <x:f t="array" ref="C15">IF($A15="","",INDEX(Decisiones!$H$2:$H$237,MATCH(INDEX(Explorador_Integrantes!$GO$2:$GO$30,MATCH(Explorador_Integrantes!$X$2,Explorador_Integrantes!$GN$2:$GN$30,0)),Decisiones!$B$2:$B$237,0)+ROWS($A$2:A15)-1))</x:f>
        <x:v>4.5</x:v>
      </x:c>
      <x:c r="D15" t="n">
        <x:f>IF($B15="","",--(COUNTIFS(Votaciones!$A$2:$A$336,$B15,Votaciones!$B$2:$B$336,Explorador_Integrantes!$X$2,Votaciones!$D$2:$D$336,"Disenso restrictivo")&gt;0))</x:f>
        <x:v>0</x:v>
      </x:c>
      <x:c r="E15" t="n">
        <x:f>IF($B15="","",--(COUNTIFS(Votaciones!$A$2:$A$336,$B15,Votaciones!$B$2:$B$336,Explorador_Integrantes!$X$2,Votaciones!$D$2:$D$336,"Disenso acomodaticio")&gt;0))</x:f>
        <x:v>0</x:v>
      </x:c>
    </x:row>
    <x:row r="16">
      <x:c r="A16" s="112" cm="1">
        <x:f t="array" ref="A16">IF(ROWS($A$2:A16)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16)-1),"")</x:f>
        <x:v>44098</x:v>
      </x:c>
      <x:c r="B16" t="str" cm="1">
        <x:f t="array" ref="B16">IF($A16="","",INDEX(Decisiones!$A$2:$A$237,MATCH(INDEX(Explorador_Integrantes!$GO$2:$GO$30,MATCH(Explorador_Integrantes!$X$2,Explorador_Integrantes!$GN$2:$GN$30,0)),Decisiones!$B$2:$B$237,0)+ROWS($A$2:A16)-1))</x:f>
        <x:v>D20200924</x:v>
      </x:c>
      <x:c r="C16" t="n" cm="1">
        <x:f t="array" ref="C16">IF($A16="","",INDEX(Decisiones!$H$2:$H$237,MATCH(INDEX(Explorador_Integrantes!$GO$2:$GO$30,MATCH(Explorador_Integrantes!$X$2,Explorador_Integrantes!$GN$2:$GN$30,0)),Decisiones!$B$2:$B$237,0)+ROWS($A$2:A16)-1))</x:f>
        <x:v>4.25</x:v>
      </x:c>
      <x:c r="D16" t="n">
        <x:f>IF($B16="","",--(COUNTIFS(Votaciones!$A$2:$A$336,$B16,Votaciones!$B$2:$B$336,Explorador_Integrantes!$X$2,Votaciones!$D$2:$D$336,"Disenso restrictivo")&gt;0))</x:f>
        <x:v>0</x:v>
      </x:c>
      <x:c r="E16" t="n">
        <x:f>IF($B16="","",--(COUNTIFS(Votaciones!$A$2:$A$336,$B16,Votaciones!$B$2:$B$336,Explorador_Integrantes!$X$2,Votaciones!$D$2:$D$336,"Disenso acomodaticio")&gt;0))</x:f>
        <x:v>0</x:v>
      </x:c>
    </x:row>
    <x:row r="17">
      <x:c r="A17" s="112" cm="1">
        <x:f t="array" ref="A17">IF(ROWS($A$2:A17)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17)-1),"")</x:f>
        <x:v>44147</x:v>
      </x:c>
      <x:c r="B17" t="str" cm="1">
        <x:f t="array" ref="B17">IF($A17="","",INDEX(Decisiones!$A$2:$A$237,MATCH(INDEX(Explorador_Integrantes!$GO$2:$GO$30,MATCH(Explorador_Integrantes!$X$2,Explorador_Integrantes!$GN$2:$GN$30,0)),Decisiones!$B$2:$B$237,0)+ROWS($A$2:A17)-1))</x:f>
        <x:v>D20201112</x:v>
      </x:c>
      <x:c r="C17" t="n" cm="1">
        <x:f t="array" ref="C17">IF($A17="","",INDEX(Decisiones!$H$2:$H$237,MATCH(INDEX(Explorador_Integrantes!$GO$2:$GO$30,MATCH(Explorador_Integrantes!$X$2,Explorador_Integrantes!$GN$2:$GN$30,0)),Decisiones!$B$2:$B$237,0)+ROWS($A$2:A17)-1))</x:f>
        <x:v>4.25</x:v>
      </x:c>
      <x:c r="D17" t="n">
        <x:f>IF($B17="","",--(COUNTIFS(Votaciones!$A$2:$A$336,$B17,Votaciones!$B$2:$B$336,Explorador_Integrantes!$X$2,Votaciones!$D$2:$D$336,"Disenso restrictivo")&gt;0))</x:f>
        <x:v>0</x:v>
      </x:c>
      <x:c r="E17" t="n">
        <x:f>IF($B17="","",--(COUNTIFS(Votaciones!$A$2:$A$336,$B17,Votaciones!$B$2:$B$336,Explorador_Integrantes!$X$2,Votaciones!$D$2:$D$336,"Disenso acomodaticio")&gt;0))</x:f>
        <x:v>1</x:v>
      </x:c>
    </x:row>
    <x:row r="18">
      <x:c r="A18" s="112" cm="1">
        <x:f t="array" ref="A18">IF(ROWS($A$2:A18)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18)-1),"")</x:f>
        <x:v>44182</x:v>
      </x:c>
      <x:c r="B18" t="str" cm="1">
        <x:f t="array" ref="B18">IF($A18="","",INDEX(Decisiones!$A$2:$A$237,MATCH(INDEX(Explorador_Integrantes!$GO$2:$GO$30,MATCH(Explorador_Integrantes!$X$2,Explorador_Integrantes!$GN$2:$GN$30,0)),Decisiones!$B$2:$B$237,0)+ROWS($A$2:A18)-1))</x:f>
        <x:v>D20201217</x:v>
      </x:c>
      <x:c r="C18" t="n" cm="1">
        <x:f t="array" ref="C18">IF($A18="","",INDEX(Decisiones!$H$2:$H$237,MATCH(INDEX(Explorador_Integrantes!$GO$2:$GO$30,MATCH(Explorador_Integrantes!$X$2,Explorador_Integrantes!$GN$2:$GN$30,0)),Decisiones!$B$2:$B$237,0)+ROWS($A$2:A18)-1))</x:f>
        <x:v>4.25</x:v>
      </x:c>
      <x:c r="D18" t="n">
        <x:f>IF($B18="","",--(COUNTIFS(Votaciones!$A$2:$A$336,$B18,Votaciones!$B$2:$B$336,Explorador_Integrantes!$X$2,Votaciones!$D$2:$D$336,"Disenso restrictivo")&gt;0))</x:f>
        <x:v>0</x:v>
      </x:c>
      <x:c r="E18" t="n">
        <x:f>IF($B18="","",--(COUNTIFS(Votaciones!$A$2:$A$336,$B18,Votaciones!$B$2:$B$336,Explorador_Integrantes!$X$2,Votaciones!$D$2:$D$336,"Disenso acomodaticio")&gt;0))</x:f>
        <x:v>1</x:v>
      </x:c>
    </x:row>
    <x:row r="19">
      <x:c r="A19" s="112" cm="1">
        <x:f t="array" ref="A19">IF(ROWS($A$2:A19)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19)-1),"")</x:f>
        <x:v>44238</x:v>
      </x:c>
      <x:c r="B19" t="str" cm="1">
        <x:f t="array" ref="B19">IF($A19="","",INDEX(Decisiones!$A$2:$A$237,MATCH(INDEX(Explorador_Integrantes!$GO$2:$GO$30,MATCH(Explorador_Integrantes!$X$2,Explorador_Integrantes!$GN$2:$GN$30,0)),Decisiones!$B$2:$B$237,0)+ROWS($A$2:A19)-1))</x:f>
        <x:v>D20210211</x:v>
      </x:c>
      <x:c r="C19" t="n" cm="1">
        <x:f t="array" ref="C19">IF($A19="","",INDEX(Decisiones!$H$2:$H$237,MATCH(INDEX(Explorador_Integrantes!$GO$2:$GO$30,MATCH(Explorador_Integrantes!$X$2,Explorador_Integrantes!$GN$2:$GN$30,0)),Decisiones!$B$2:$B$237,0)+ROWS($A$2:A19)-1))</x:f>
        <x:v>4</x:v>
      </x:c>
      <x:c r="D19" t="n">
        <x:f>IF($B19="","",--(COUNTIFS(Votaciones!$A$2:$A$336,$B19,Votaciones!$B$2:$B$336,Explorador_Integrantes!$X$2,Votaciones!$D$2:$D$336,"Disenso restrictivo")&gt;0))</x:f>
        <x:v>0</x:v>
      </x:c>
      <x:c r="E19" t="n">
        <x:f>IF($B19="","",--(COUNTIFS(Votaciones!$A$2:$A$336,$B19,Votaciones!$B$2:$B$336,Explorador_Integrantes!$X$2,Votaciones!$D$2:$D$336,"Disenso acomodaticio")&gt;0))</x:f>
        <x:v>0</x:v>
      </x:c>
    </x:row>
    <x:row r="20">
      <x:c r="A20" s="112" cm="1">
        <x:f t="array" ref="A20">IF(ROWS($A$2:A20)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20)-1),"")</x:f>
        <x:v>44280</x:v>
      </x:c>
      <x:c r="B20" t="str" cm="1">
        <x:f t="array" ref="B20">IF($A20="","",INDEX(Decisiones!$A$2:$A$237,MATCH(INDEX(Explorador_Integrantes!$GO$2:$GO$30,MATCH(Explorador_Integrantes!$X$2,Explorador_Integrantes!$GN$2:$GN$30,0)),Decisiones!$B$2:$B$237,0)+ROWS($A$2:A20)-1))</x:f>
        <x:v>D20210325</x:v>
      </x:c>
      <x:c r="C20" t="n" cm="1">
        <x:f t="array" ref="C20">IF($A20="","",INDEX(Decisiones!$H$2:$H$237,MATCH(INDEX(Explorador_Integrantes!$GO$2:$GO$30,MATCH(Explorador_Integrantes!$X$2,Explorador_Integrantes!$GN$2:$GN$30,0)),Decisiones!$B$2:$B$237,0)+ROWS($A$2:A20)-1))</x:f>
        <x:v>4</x:v>
      </x:c>
      <x:c r="D20" t="n">
        <x:f>IF($B20="","",--(COUNTIFS(Votaciones!$A$2:$A$336,$B20,Votaciones!$B$2:$B$336,Explorador_Integrantes!$X$2,Votaciones!$D$2:$D$336,"Disenso restrictivo")&gt;0))</x:f>
        <x:v>0</x:v>
      </x:c>
      <x:c r="E20" t="n">
        <x:f>IF($B20="","",--(COUNTIFS(Votaciones!$A$2:$A$336,$B20,Votaciones!$B$2:$B$336,Explorador_Integrantes!$X$2,Votaciones!$D$2:$D$336,"Disenso acomodaticio")&gt;0))</x:f>
        <x:v>0</x:v>
      </x:c>
    </x:row>
    <x:row r="21">
      <x:c r="A21" s="112" cm="1">
        <x:f t="array" ref="A21">IF(ROWS($A$2:A21)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21)-1),"")</x:f>
        <x:v>44329</x:v>
      </x:c>
      <x:c r="B21" t="str" cm="1">
        <x:f t="array" ref="B21">IF($A21="","",INDEX(Decisiones!$A$2:$A$237,MATCH(INDEX(Explorador_Integrantes!$GO$2:$GO$30,MATCH(Explorador_Integrantes!$X$2,Explorador_Integrantes!$GN$2:$GN$30,0)),Decisiones!$B$2:$B$237,0)+ROWS($A$2:A21)-1))</x:f>
        <x:v>D20210513</x:v>
      </x:c>
      <x:c r="C21" t="n" cm="1">
        <x:f t="array" ref="C21">IF($A21="","",INDEX(Decisiones!$H$2:$H$237,MATCH(INDEX(Explorador_Integrantes!$GO$2:$GO$30,MATCH(Explorador_Integrantes!$X$2,Explorador_Integrantes!$GN$2:$GN$30,0)),Decisiones!$B$2:$B$237,0)+ROWS($A$2:A21)-1))</x:f>
        <x:v>4</x:v>
      </x:c>
      <x:c r="D21" t="n">
        <x:f>IF($B21="","",--(COUNTIFS(Votaciones!$A$2:$A$336,$B21,Votaciones!$B$2:$B$336,Explorador_Integrantes!$X$2,Votaciones!$D$2:$D$336,"Disenso restrictivo")&gt;0))</x:f>
        <x:v>0</x:v>
      </x:c>
      <x:c r="E21" t="n">
        <x:f>IF($B21="","",--(COUNTIFS(Votaciones!$A$2:$A$336,$B21,Votaciones!$B$2:$B$336,Explorador_Integrantes!$X$2,Votaciones!$D$2:$D$336,"Disenso acomodaticio")&gt;0))</x:f>
        <x:v>0</x:v>
      </x:c>
    </x:row>
    <x:row r="22">
      <x:c r="A22" s="112" cm="1">
        <x:f t="array" ref="A22">IF(ROWS($A$2:A22)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22)-1),"")</x:f>
        <x:v>44371</x:v>
      </x:c>
      <x:c r="B22" t="str" cm="1">
        <x:f t="array" ref="B22">IF($A22="","",INDEX(Decisiones!$A$2:$A$237,MATCH(INDEX(Explorador_Integrantes!$GO$2:$GO$30,MATCH(Explorador_Integrantes!$X$2,Explorador_Integrantes!$GN$2:$GN$30,0)),Decisiones!$B$2:$B$237,0)+ROWS($A$2:A22)-1))</x:f>
        <x:v>D20210624</x:v>
      </x:c>
      <x:c r="C22" t="n" cm="1">
        <x:f t="array" ref="C22">IF($A22="","",INDEX(Decisiones!$H$2:$H$237,MATCH(INDEX(Explorador_Integrantes!$GO$2:$GO$30,MATCH(Explorador_Integrantes!$X$2,Explorador_Integrantes!$GN$2:$GN$30,0)),Decisiones!$B$2:$B$237,0)+ROWS($A$2:A22)-1))</x:f>
        <x:v>4.25</x:v>
      </x:c>
      <x:c r="D22" t="n">
        <x:f>IF($B22="","",--(COUNTIFS(Votaciones!$A$2:$A$336,$B22,Votaciones!$B$2:$B$336,Explorador_Integrantes!$X$2,Votaciones!$D$2:$D$336,"Disenso restrictivo")&gt;0))</x:f>
        <x:v>0</x:v>
      </x:c>
      <x:c r="E22" t="n">
        <x:f>IF($B22="","",--(COUNTIFS(Votaciones!$A$2:$A$336,$B22,Votaciones!$B$2:$B$336,Explorador_Integrantes!$X$2,Votaciones!$D$2:$D$336,"Disenso acomodaticio")&gt;0))</x:f>
        <x:v>0</x:v>
      </x:c>
    </x:row>
    <x:row r="23">
      <x:c r="A23" s="112" cm="1">
        <x:f t="array" ref="A23">IF(ROWS($A$2:A23)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23)-1),"")</x:f>
        <x:v>44420</x:v>
      </x:c>
      <x:c r="B23" t="str" cm="1">
        <x:f t="array" ref="B23">IF($A23="","",INDEX(Decisiones!$A$2:$A$237,MATCH(INDEX(Explorador_Integrantes!$GO$2:$GO$30,MATCH(Explorador_Integrantes!$X$2,Explorador_Integrantes!$GN$2:$GN$30,0)),Decisiones!$B$2:$B$237,0)+ROWS($A$2:A23)-1))</x:f>
        <x:v>D20210812</x:v>
      </x:c>
      <x:c r="C23" t="n" cm="1">
        <x:f t="array" ref="C23">IF($A23="","",INDEX(Decisiones!$H$2:$H$237,MATCH(INDEX(Explorador_Integrantes!$GO$2:$GO$30,MATCH(Explorador_Integrantes!$X$2,Explorador_Integrantes!$GN$2:$GN$30,0)),Decisiones!$B$2:$B$237,0)+ROWS($A$2:A23)-1))</x:f>
        <x:v>4.5</x:v>
      </x:c>
      <x:c r="D23" t="n">
        <x:f>IF($B23="","",--(COUNTIFS(Votaciones!$A$2:$A$336,$B23,Votaciones!$B$2:$B$336,Explorador_Integrantes!$X$2,Votaciones!$D$2:$D$336,"Disenso restrictivo")&gt;0))</x:f>
        <x:v>0</x:v>
      </x:c>
      <x:c r="E23" t="n">
        <x:f>IF($B23="","",--(COUNTIFS(Votaciones!$A$2:$A$336,$B23,Votaciones!$B$2:$B$336,Explorador_Integrantes!$X$2,Votaciones!$D$2:$D$336,"Disenso acomodaticio")&gt;0))</x:f>
        <x:v>0</x:v>
      </x:c>
    </x:row>
    <x:row r="24">
      <x:c r="A24" s="112" cm="1">
        <x:f t="array" ref="A24">IF(ROWS($A$2:A24)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24)-1),"")</x:f>
        <x:v>44469</x:v>
      </x:c>
      <x:c r="B24" t="str" cm="1">
        <x:f t="array" ref="B24">IF($A24="","",INDEX(Decisiones!$A$2:$A$237,MATCH(INDEX(Explorador_Integrantes!$GO$2:$GO$30,MATCH(Explorador_Integrantes!$X$2,Explorador_Integrantes!$GN$2:$GN$30,0)),Decisiones!$B$2:$B$237,0)+ROWS($A$2:A24)-1))</x:f>
        <x:v>D20210930</x:v>
      </x:c>
      <x:c r="C24" t="n" cm="1">
        <x:f t="array" ref="C24">IF($A24="","",INDEX(Decisiones!$H$2:$H$237,MATCH(INDEX(Explorador_Integrantes!$GO$2:$GO$30,MATCH(Explorador_Integrantes!$X$2,Explorador_Integrantes!$GN$2:$GN$30,0)),Decisiones!$B$2:$B$237,0)+ROWS($A$2:A24)-1))</x:f>
        <x:v>4.75</x:v>
      </x:c>
      <x:c r="D24" t="n">
        <x:f>IF($B24="","",--(COUNTIFS(Votaciones!$A$2:$A$336,$B24,Votaciones!$B$2:$B$336,Explorador_Integrantes!$X$2,Votaciones!$D$2:$D$336,"Disenso restrictivo")&gt;0))</x:f>
        <x:v>0</x:v>
      </x:c>
      <x:c r="E24" t="n">
        <x:f>IF($B24="","",--(COUNTIFS(Votaciones!$A$2:$A$336,$B24,Votaciones!$B$2:$B$336,Explorador_Integrantes!$X$2,Votaciones!$D$2:$D$336,"Disenso acomodaticio")&gt;0))</x:f>
        <x:v>0</x:v>
      </x:c>
    </x:row>
    <x:row r="25">
      <x:c r="A25" s="112" cm="1">
        <x:f t="array" ref="A25">IF(ROWS($A$2:A25)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25)-1),"")</x:f>
        <x:v>44511</x:v>
      </x:c>
      <x:c r="B25" t="str" cm="1">
        <x:f t="array" ref="B25">IF($A25="","",INDEX(Decisiones!$A$2:$A$237,MATCH(INDEX(Explorador_Integrantes!$GO$2:$GO$30,MATCH(Explorador_Integrantes!$X$2,Explorador_Integrantes!$GN$2:$GN$30,0)),Decisiones!$B$2:$B$237,0)+ROWS($A$2:A25)-1))</x:f>
        <x:v>D20211111</x:v>
      </x:c>
      <x:c r="C25" t="n" cm="1">
        <x:f t="array" ref="C25">IF($A25="","",INDEX(Decisiones!$H$2:$H$237,MATCH(INDEX(Explorador_Integrantes!$GO$2:$GO$30,MATCH(Explorador_Integrantes!$X$2,Explorador_Integrantes!$GN$2:$GN$30,0)),Decisiones!$B$2:$B$237,0)+ROWS($A$2:A25)-1))</x:f>
        <x:v>5</x:v>
      </x:c>
      <x:c r="D25" t="n">
        <x:f>IF($B25="","",--(COUNTIFS(Votaciones!$A$2:$A$336,$B25,Votaciones!$B$2:$B$336,Explorador_Integrantes!$X$2,Votaciones!$D$2:$D$336,"Disenso restrictivo")&gt;0))</x:f>
        <x:v>0</x:v>
      </x:c>
      <x:c r="E25" t="n">
        <x:f>IF($B25="","",--(COUNTIFS(Votaciones!$A$2:$A$336,$B25,Votaciones!$B$2:$B$336,Explorador_Integrantes!$X$2,Votaciones!$D$2:$D$336,"Disenso acomodaticio")&gt;0))</x:f>
        <x:v>0</x:v>
      </x:c>
    </x:row>
    <x:row r="26">
      <x:c r="A26" s="112" cm="1">
        <x:f t="array" ref="A26">IF(ROWS($A$2:A26)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26)-1),"")</x:f>
        <x:v>44546</x:v>
      </x:c>
      <x:c r="B26" t="str" cm="1">
        <x:f t="array" ref="B26">IF($A26="","",INDEX(Decisiones!$A$2:$A$237,MATCH(INDEX(Explorador_Integrantes!$GO$2:$GO$30,MATCH(Explorador_Integrantes!$X$2,Explorador_Integrantes!$GN$2:$GN$30,0)),Decisiones!$B$2:$B$237,0)+ROWS($A$2:A26)-1))</x:f>
        <x:v>D20211216</x:v>
      </x:c>
      <x:c r="C26" t="n" cm="1">
        <x:f t="array" ref="C26">IF($A26="","",INDEX(Decisiones!$H$2:$H$237,MATCH(INDEX(Explorador_Integrantes!$GO$2:$GO$30,MATCH(Explorador_Integrantes!$X$2,Explorador_Integrantes!$GN$2:$GN$30,0)),Decisiones!$B$2:$B$237,0)+ROWS($A$2:A26)-1))</x:f>
        <x:v>5.5</x:v>
      </x:c>
      <x:c r="D26" t="n">
        <x:f>IF($B26="","",--(COUNTIFS(Votaciones!$A$2:$A$336,$B26,Votaciones!$B$2:$B$336,Explorador_Integrantes!$X$2,Votaciones!$D$2:$D$336,"Disenso restrictivo")&gt;0))</x:f>
        <x:v>0</x:v>
      </x:c>
      <x:c r="E26" t="n">
        <x:f>IF($B26="","",--(COUNTIFS(Votaciones!$A$2:$A$336,$B26,Votaciones!$B$2:$B$336,Explorador_Integrantes!$X$2,Votaciones!$D$2:$D$336,"Disenso acomodaticio")&gt;0))</x:f>
        <x:v>0</x:v>
      </x:c>
    </x:row>
    <x:row r="27">
      <x:c r="A27" s="112" cm="1">
        <x:f t="array" ref="A27">IF(ROWS($A$2:A27)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27)-1),"")</x:f>
        <x:v>44602</x:v>
      </x:c>
      <x:c r="B27" t="str" cm="1">
        <x:f t="array" ref="B27">IF($A27="","",INDEX(Decisiones!$A$2:$A$237,MATCH(INDEX(Explorador_Integrantes!$GO$2:$GO$30,MATCH(Explorador_Integrantes!$X$2,Explorador_Integrantes!$GN$2:$GN$30,0)),Decisiones!$B$2:$B$237,0)+ROWS($A$2:A27)-1))</x:f>
        <x:v>D20220210</x:v>
      </x:c>
      <x:c r="C27" t="n" cm="1">
        <x:f t="array" ref="C27">IF($A27="","",INDEX(Decisiones!$H$2:$H$237,MATCH(INDEX(Explorador_Integrantes!$GO$2:$GO$30,MATCH(Explorador_Integrantes!$X$2,Explorador_Integrantes!$GN$2:$GN$30,0)),Decisiones!$B$2:$B$237,0)+ROWS($A$2:A27)-1))</x:f>
        <x:v>6</x:v>
      </x:c>
      <x:c r="D27" t="n">
        <x:f>IF($B27="","",--(COUNTIFS(Votaciones!$A$2:$A$336,$B27,Votaciones!$B$2:$B$336,Explorador_Integrantes!$X$2,Votaciones!$D$2:$D$336,"Disenso restrictivo")&gt;0))</x:f>
        <x:v>0</x:v>
      </x:c>
      <x:c r="E27" t="n">
        <x:f>IF($B27="","",--(COUNTIFS(Votaciones!$A$2:$A$336,$B27,Votaciones!$B$2:$B$336,Explorador_Integrantes!$X$2,Votaciones!$D$2:$D$336,"Disenso acomodaticio")&gt;0))</x:f>
        <x:v>0</x:v>
      </x:c>
    </x:row>
    <x:row r="28">
      <x:c r="A28" s="112" cm="1">
        <x:f t="array" ref="A28">IF(ROWS($A$2:A28)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28)-1),"")</x:f>
        <x:v>44644</x:v>
      </x:c>
      <x:c r="B28" t="str" cm="1">
        <x:f t="array" ref="B28">IF($A28="","",INDEX(Decisiones!$A$2:$A$237,MATCH(INDEX(Explorador_Integrantes!$GO$2:$GO$30,MATCH(Explorador_Integrantes!$X$2,Explorador_Integrantes!$GN$2:$GN$30,0)),Decisiones!$B$2:$B$237,0)+ROWS($A$2:A28)-1))</x:f>
        <x:v>D20220324</x:v>
      </x:c>
      <x:c r="C28" t="n" cm="1">
        <x:f t="array" ref="C28">IF($A28="","",INDEX(Decisiones!$H$2:$H$237,MATCH(INDEX(Explorador_Integrantes!$GO$2:$GO$30,MATCH(Explorador_Integrantes!$X$2,Explorador_Integrantes!$GN$2:$GN$30,0)),Decisiones!$B$2:$B$237,0)+ROWS($A$2:A28)-1))</x:f>
        <x:v>6.5</x:v>
      </x:c>
      <x:c r="D28" t="n">
        <x:f>IF($B28="","",--(COUNTIFS(Votaciones!$A$2:$A$336,$B28,Votaciones!$B$2:$B$336,Explorador_Integrantes!$X$2,Votaciones!$D$2:$D$336,"Disenso restrictivo")&gt;0))</x:f>
        <x:v>0</x:v>
      </x:c>
      <x:c r="E28" t="n">
        <x:f>IF($B28="","",--(COUNTIFS(Votaciones!$A$2:$A$336,$B28,Votaciones!$B$2:$B$336,Explorador_Integrantes!$X$2,Votaciones!$D$2:$D$336,"Disenso acomodaticio")&gt;0))</x:f>
        <x:v>0</x:v>
      </x:c>
    </x:row>
    <x:row r="29">
      <x:c r="A29" s="112" cm="1">
        <x:f t="array" ref="A29">IF(ROWS($A$2:A29)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29)-1),"")</x:f>
        <x:v>44693</x:v>
      </x:c>
      <x:c r="B29" t="str" cm="1">
        <x:f t="array" ref="B29">IF($A29="","",INDEX(Decisiones!$A$2:$A$237,MATCH(INDEX(Explorador_Integrantes!$GO$2:$GO$30,MATCH(Explorador_Integrantes!$X$2,Explorador_Integrantes!$GN$2:$GN$30,0)),Decisiones!$B$2:$B$237,0)+ROWS($A$2:A29)-1))</x:f>
        <x:v>D20220512</x:v>
      </x:c>
      <x:c r="C29" t="n" cm="1">
        <x:f t="array" ref="C29">IF($A29="","",INDEX(Decisiones!$H$2:$H$237,MATCH(INDEX(Explorador_Integrantes!$GO$2:$GO$30,MATCH(Explorador_Integrantes!$X$2,Explorador_Integrantes!$GN$2:$GN$30,0)),Decisiones!$B$2:$B$237,0)+ROWS($A$2:A29)-1))</x:f>
        <x:v>7</x:v>
      </x:c>
      <x:c r="D29" t="n">
        <x:f>IF($B29="","",--(COUNTIFS(Votaciones!$A$2:$A$336,$B29,Votaciones!$B$2:$B$336,Explorador_Integrantes!$X$2,Votaciones!$D$2:$D$336,"Disenso restrictivo")&gt;0))</x:f>
        <x:v>0</x:v>
      </x:c>
      <x:c r="E29" t="n">
        <x:f>IF($B29="","",--(COUNTIFS(Votaciones!$A$2:$A$336,$B29,Votaciones!$B$2:$B$336,Explorador_Integrantes!$X$2,Votaciones!$D$2:$D$336,"Disenso acomodaticio")&gt;0))</x:f>
        <x:v>0</x:v>
      </x:c>
    </x:row>
    <x:row r="30">
      <x:c r="A30" s="112" cm="1">
        <x:f t="array" ref="A30">IF(ROWS($A$2:A30)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30)-1),"")</x:f>
        <x:v>44735</x:v>
      </x:c>
      <x:c r="B30" t="str" cm="1">
        <x:f t="array" ref="B30">IF($A30="","",INDEX(Decisiones!$A$2:$A$237,MATCH(INDEX(Explorador_Integrantes!$GO$2:$GO$30,MATCH(Explorador_Integrantes!$X$2,Explorador_Integrantes!$GN$2:$GN$30,0)),Decisiones!$B$2:$B$237,0)+ROWS($A$2:A30)-1))</x:f>
        <x:v>D20220623</x:v>
      </x:c>
      <x:c r="C30" t="n" cm="1">
        <x:f t="array" ref="C30">IF($A30="","",INDEX(Decisiones!$H$2:$H$237,MATCH(INDEX(Explorador_Integrantes!$GO$2:$GO$30,MATCH(Explorador_Integrantes!$X$2,Explorador_Integrantes!$GN$2:$GN$30,0)),Decisiones!$B$2:$B$237,0)+ROWS($A$2:A30)-1))</x:f>
        <x:v>7.75</x:v>
      </x:c>
      <x:c r="D30" t="n">
        <x:f>IF($B30="","",--(COUNTIFS(Votaciones!$A$2:$A$336,$B30,Votaciones!$B$2:$B$336,Explorador_Integrantes!$X$2,Votaciones!$D$2:$D$336,"Disenso restrictivo")&gt;0))</x:f>
        <x:v>0</x:v>
      </x:c>
      <x:c r="E30" t="n">
        <x:f>IF($B30="","",--(COUNTIFS(Votaciones!$A$2:$A$336,$B30,Votaciones!$B$2:$B$336,Explorador_Integrantes!$X$2,Votaciones!$D$2:$D$336,"Disenso acomodaticio")&gt;0))</x:f>
        <x:v>0</x:v>
      </x:c>
    </x:row>
    <x:row r="31">
      <x:c r="A31" s="112" cm="1">
        <x:f t="array" ref="A31">IF(ROWS($A$2:A31)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31)-1),"")</x:f>
        <x:v>44784</x:v>
      </x:c>
      <x:c r="B31" t="str" cm="1">
        <x:f t="array" ref="B31">IF($A31="","",INDEX(Decisiones!$A$2:$A$237,MATCH(INDEX(Explorador_Integrantes!$GO$2:$GO$30,MATCH(Explorador_Integrantes!$X$2,Explorador_Integrantes!$GN$2:$GN$30,0)),Decisiones!$B$2:$B$237,0)+ROWS($A$2:A31)-1))</x:f>
        <x:v>D20220811</x:v>
      </x:c>
      <x:c r="C31" t="n" cm="1">
        <x:f t="array" ref="C31">IF($A31="","",INDEX(Decisiones!$H$2:$H$237,MATCH(INDEX(Explorador_Integrantes!$GO$2:$GO$30,MATCH(Explorador_Integrantes!$X$2,Explorador_Integrantes!$GN$2:$GN$30,0)),Decisiones!$B$2:$B$237,0)+ROWS($A$2:A31)-1))</x:f>
        <x:v>8.5</x:v>
      </x:c>
      <x:c r="D31" t="n">
        <x:f>IF($B31="","",--(COUNTIFS(Votaciones!$A$2:$A$336,$B31,Votaciones!$B$2:$B$336,Explorador_Integrantes!$X$2,Votaciones!$D$2:$D$336,"Disenso restrictivo")&gt;0))</x:f>
        <x:v>0</x:v>
      </x:c>
      <x:c r="E31" t="n">
        <x:f>IF($B31="","",--(COUNTIFS(Votaciones!$A$2:$A$336,$B31,Votaciones!$B$2:$B$336,Explorador_Integrantes!$X$2,Votaciones!$D$2:$D$336,"Disenso acomodaticio")&gt;0))</x:f>
        <x:v>0</x:v>
      </x:c>
    </x:row>
    <x:row r="32">
      <x:c r="A32" s="112" cm="1">
        <x:f t="array" ref="A32">IF(ROWS($A$2:A32)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32)-1),"")</x:f>
        <x:v>44833</x:v>
      </x:c>
      <x:c r="B32" t="str" cm="1">
        <x:f t="array" ref="B32">IF($A32="","",INDEX(Decisiones!$A$2:$A$237,MATCH(INDEX(Explorador_Integrantes!$GO$2:$GO$30,MATCH(Explorador_Integrantes!$X$2,Explorador_Integrantes!$GN$2:$GN$30,0)),Decisiones!$B$2:$B$237,0)+ROWS($A$2:A32)-1))</x:f>
        <x:v>D20220929</x:v>
      </x:c>
      <x:c r="C32" t="n" cm="1">
        <x:f t="array" ref="C32">IF($A32="","",INDEX(Decisiones!$H$2:$H$237,MATCH(INDEX(Explorador_Integrantes!$GO$2:$GO$30,MATCH(Explorador_Integrantes!$X$2,Explorador_Integrantes!$GN$2:$GN$30,0)),Decisiones!$B$2:$B$237,0)+ROWS($A$2:A32)-1))</x:f>
        <x:v>9.25</x:v>
      </x:c>
      <x:c r="D32" t="n">
        <x:f>IF($B32="","",--(COUNTIFS(Votaciones!$A$2:$A$336,$B32,Votaciones!$B$2:$B$336,Explorador_Integrantes!$X$2,Votaciones!$D$2:$D$336,"Disenso restrictivo")&gt;0))</x:f>
        <x:v>0</x:v>
      </x:c>
      <x:c r="E32" t="n">
        <x:f>IF($B32="","",--(COUNTIFS(Votaciones!$A$2:$A$336,$B32,Votaciones!$B$2:$B$336,Explorador_Integrantes!$X$2,Votaciones!$D$2:$D$336,"Disenso acomodaticio")&gt;0))</x:f>
        <x:v>0</x:v>
      </x:c>
    </x:row>
    <x:row r="33">
      <x:c r="A33" s="112" cm="1">
        <x:f t="array" ref="A33">IF(ROWS($A$2:A33)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33)-1),"")</x:f>
        <x:v>44875</x:v>
      </x:c>
      <x:c r="B33" t="str" cm="1">
        <x:f t="array" ref="B33">IF($A33="","",INDEX(Decisiones!$A$2:$A$237,MATCH(INDEX(Explorador_Integrantes!$GO$2:$GO$30,MATCH(Explorador_Integrantes!$X$2,Explorador_Integrantes!$GN$2:$GN$30,0)),Decisiones!$B$2:$B$237,0)+ROWS($A$2:A33)-1))</x:f>
        <x:v>D20221110</x:v>
      </x:c>
      <x:c r="C33" t="n" cm="1">
        <x:f t="array" ref="C33">IF($A33="","",INDEX(Decisiones!$H$2:$H$237,MATCH(INDEX(Explorador_Integrantes!$GO$2:$GO$30,MATCH(Explorador_Integrantes!$X$2,Explorador_Integrantes!$GN$2:$GN$30,0)),Decisiones!$B$2:$B$237,0)+ROWS($A$2:A33)-1))</x:f>
        <x:v>10</x:v>
      </x:c>
      <x:c r="D33" t="n">
        <x:f>IF($B33="","",--(COUNTIFS(Votaciones!$A$2:$A$336,$B33,Votaciones!$B$2:$B$336,Explorador_Integrantes!$X$2,Votaciones!$D$2:$D$336,"Disenso restrictivo")&gt;0))</x:f>
        <x:v>0</x:v>
      </x:c>
      <x:c r="E33" t="n">
        <x:f>IF($B33="","",--(COUNTIFS(Votaciones!$A$2:$A$336,$B33,Votaciones!$B$2:$B$336,Explorador_Integrantes!$X$2,Votaciones!$D$2:$D$336,"Disenso acomodaticio")&gt;0))</x:f>
        <x:v>0</x:v>
      </x:c>
    </x:row>
    <x:row r="34">
      <x:c r="A34" s="112" cm="1">
        <x:f t="array" ref="A34">IF(ROWS($A$2:A34)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34)-1),"")</x:f>
        <x:v>44910</x:v>
      </x:c>
      <x:c r="B34" t="str" cm="1">
        <x:f t="array" ref="B34">IF($A34="","",INDEX(Decisiones!$A$2:$A$237,MATCH(INDEX(Explorador_Integrantes!$GO$2:$GO$30,MATCH(Explorador_Integrantes!$X$2,Explorador_Integrantes!$GN$2:$GN$30,0)),Decisiones!$B$2:$B$237,0)+ROWS($A$2:A34)-1))</x:f>
        <x:v>D20221215</x:v>
      </x:c>
      <x:c r="C34" t="n" cm="1">
        <x:f t="array" ref="C34">IF($A34="","",INDEX(Decisiones!$H$2:$H$237,MATCH(INDEX(Explorador_Integrantes!$GO$2:$GO$30,MATCH(Explorador_Integrantes!$X$2,Explorador_Integrantes!$GN$2:$GN$30,0)),Decisiones!$B$2:$B$237,0)+ROWS($A$2:A34)-1))</x:f>
        <x:v>10.5</x:v>
      </x:c>
      <x:c r="D34" t="n">
        <x:f>IF($B34="","",--(COUNTIFS(Votaciones!$A$2:$A$336,$B34,Votaciones!$B$2:$B$336,Explorador_Integrantes!$X$2,Votaciones!$D$2:$D$336,"Disenso restrictivo")&gt;0))</x:f>
        <x:v>0</x:v>
      </x:c>
      <x:c r="E34" t="n">
        <x:f>IF($B34="","",--(COUNTIFS(Votaciones!$A$2:$A$336,$B34,Votaciones!$B$2:$B$336,Explorador_Integrantes!$X$2,Votaciones!$D$2:$D$336,"Disenso acomodaticio")&gt;0))</x:f>
        <x:v>0</x:v>
      </x:c>
    </x:row>
    <x:row r="35">
      <x:c r="A35" s="112" cm="1">
        <x:f t="array" ref="A35">IF(ROWS($A$2:A35)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35)-1),"")</x:f>
        <x:v>44966</x:v>
      </x:c>
      <x:c r="B35" t="str" cm="1">
        <x:f t="array" ref="B35">IF($A35="","",INDEX(Decisiones!$A$2:$A$237,MATCH(INDEX(Explorador_Integrantes!$GO$2:$GO$30,MATCH(Explorador_Integrantes!$X$2,Explorador_Integrantes!$GN$2:$GN$30,0)),Decisiones!$B$2:$B$237,0)+ROWS($A$2:A35)-1))</x:f>
        <x:v>D20230209</x:v>
      </x:c>
      <x:c r="C35" t="n" cm="1">
        <x:f t="array" ref="C35">IF($A35="","",INDEX(Decisiones!$H$2:$H$237,MATCH(INDEX(Explorador_Integrantes!$GO$2:$GO$30,MATCH(Explorador_Integrantes!$X$2,Explorador_Integrantes!$GN$2:$GN$30,0)),Decisiones!$B$2:$B$237,0)+ROWS($A$2:A35)-1))</x:f>
        <x:v>11</x:v>
      </x:c>
      <x:c r="D35" t="n">
        <x:f>IF($B35="","",--(COUNTIFS(Votaciones!$A$2:$A$336,$B35,Votaciones!$B$2:$B$336,Explorador_Integrantes!$X$2,Votaciones!$D$2:$D$336,"Disenso restrictivo")&gt;0))</x:f>
        <x:v>0</x:v>
      </x:c>
      <x:c r="E35" t="n">
        <x:f>IF($B35="","",--(COUNTIFS(Votaciones!$A$2:$A$336,$B35,Votaciones!$B$2:$B$336,Explorador_Integrantes!$X$2,Votaciones!$D$2:$D$336,"Disenso acomodaticio")&gt;0))</x:f>
        <x:v>0</x:v>
      </x:c>
    </x:row>
    <x:row r="36">
      <x:c r="A36" s="112" cm="1">
        <x:f t="array" ref="A36">IF(ROWS($A$2:A36)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36)-1),"")</x:f>
        <x:v>45015</x:v>
      </x:c>
      <x:c r="B36" t="str" cm="1">
        <x:f t="array" ref="B36">IF($A36="","",INDEX(Decisiones!$A$2:$A$237,MATCH(INDEX(Explorador_Integrantes!$GO$2:$GO$30,MATCH(Explorador_Integrantes!$X$2,Explorador_Integrantes!$GN$2:$GN$30,0)),Decisiones!$B$2:$B$237,0)+ROWS($A$2:A36)-1))</x:f>
        <x:v>D20230330</x:v>
      </x:c>
      <x:c r="C36" t="n" cm="1">
        <x:f t="array" ref="C36">IF($A36="","",INDEX(Decisiones!$H$2:$H$237,MATCH(INDEX(Explorador_Integrantes!$GO$2:$GO$30,MATCH(Explorador_Integrantes!$X$2,Explorador_Integrantes!$GN$2:$GN$30,0)),Decisiones!$B$2:$B$237,0)+ROWS($A$2:A36)-1))</x:f>
        <x:v>11.25</x:v>
      </x:c>
      <x:c r="D36" t="n">
        <x:f>IF($B36="","",--(COUNTIFS(Votaciones!$A$2:$A$336,$B36,Votaciones!$B$2:$B$336,Explorador_Integrantes!$X$2,Votaciones!$D$2:$D$336,"Disenso restrictivo")&gt;0))</x:f>
        <x:v>0</x:v>
      </x:c>
      <x:c r="E36" t="n">
        <x:f>IF($B36="","",--(COUNTIFS(Votaciones!$A$2:$A$336,$B36,Votaciones!$B$2:$B$336,Explorador_Integrantes!$X$2,Votaciones!$D$2:$D$336,"Disenso acomodaticio")&gt;0))</x:f>
        <x:v>0</x:v>
      </x:c>
    </x:row>
    <x:row r="37">
      <x:c r="A37" s="112" cm="1">
        <x:f t="array" ref="A37">IF(ROWS($A$2:A37)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37)-1),"")</x:f>
        <x:v>45064</x:v>
      </x:c>
      <x:c r="B37" t="str" cm="1">
        <x:f t="array" ref="B37">IF($A37="","",INDEX(Decisiones!$A$2:$A$237,MATCH(INDEX(Explorador_Integrantes!$GO$2:$GO$30,MATCH(Explorador_Integrantes!$X$2,Explorador_Integrantes!$GN$2:$GN$30,0)),Decisiones!$B$2:$B$237,0)+ROWS($A$2:A37)-1))</x:f>
        <x:v>D20230518</x:v>
      </x:c>
      <x:c r="C37" t="n" cm="1">
        <x:f t="array" ref="C37">IF($A37="","",INDEX(Decisiones!$H$2:$H$237,MATCH(INDEX(Explorador_Integrantes!$GO$2:$GO$30,MATCH(Explorador_Integrantes!$X$2,Explorador_Integrantes!$GN$2:$GN$30,0)),Decisiones!$B$2:$B$237,0)+ROWS($A$2:A37)-1))</x:f>
        <x:v>11.25</x:v>
      </x:c>
      <x:c r="D37" t="n">
        <x:f>IF($B37="","",--(COUNTIFS(Votaciones!$A$2:$A$336,$B37,Votaciones!$B$2:$B$336,Explorador_Integrantes!$X$2,Votaciones!$D$2:$D$336,"Disenso restrictivo")&gt;0))</x:f>
        <x:v>0</x:v>
      </x:c>
      <x:c r="E37" t="n">
        <x:f>IF($B37="","",--(COUNTIFS(Votaciones!$A$2:$A$336,$B37,Votaciones!$B$2:$B$336,Explorador_Integrantes!$X$2,Votaciones!$D$2:$D$336,"Disenso acomodaticio")&gt;0))</x:f>
        <x:v>0</x:v>
      </x:c>
    </x:row>
    <x:row r="38">
      <x:c r="A38" s="112" cm="1">
        <x:f t="array" ref="A38">IF(ROWS($A$2:A38)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38)-1),"")</x:f>
        <x:v>45099</x:v>
      </x:c>
      <x:c r="B38" t="str" cm="1">
        <x:f t="array" ref="B38">IF($A38="","",INDEX(Decisiones!$A$2:$A$237,MATCH(INDEX(Explorador_Integrantes!$GO$2:$GO$30,MATCH(Explorador_Integrantes!$X$2,Explorador_Integrantes!$GN$2:$GN$30,0)),Decisiones!$B$2:$B$237,0)+ROWS($A$2:A38)-1))</x:f>
        <x:v>D20230622</x:v>
      </x:c>
      <x:c r="C38" t="n" cm="1">
        <x:f t="array" ref="C38">IF($A38="","",INDEX(Decisiones!$H$2:$H$237,MATCH(INDEX(Explorador_Integrantes!$GO$2:$GO$30,MATCH(Explorador_Integrantes!$X$2,Explorador_Integrantes!$GN$2:$GN$30,0)),Decisiones!$B$2:$B$237,0)+ROWS($A$2:A38)-1))</x:f>
        <x:v>11.25</x:v>
      </x:c>
      <x:c r="D38" t="n">
        <x:f>IF($B38="","",--(COUNTIFS(Votaciones!$A$2:$A$336,$B38,Votaciones!$B$2:$B$336,Explorador_Integrantes!$X$2,Votaciones!$D$2:$D$336,"Disenso restrictivo")&gt;0))</x:f>
        <x:v>0</x:v>
      </x:c>
      <x:c r="E38" t="n">
        <x:f>IF($B38="","",--(COUNTIFS(Votaciones!$A$2:$A$336,$B38,Votaciones!$B$2:$B$336,Explorador_Integrantes!$X$2,Votaciones!$D$2:$D$336,"Disenso acomodaticio")&gt;0))</x:f>
        <x:v>0</x:v>
      </x:c>
    </x:row>
    <x:row r="39">
      <x:c r="A39" s="112" cm="1">
        <x:f t="array" ref="A39">IF(ROWS($A$2:A39)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39)-1),"")</x:f>
        <x:v>45148</x:v>
      </x:c>
      <x:c r="B39" t="str" cm="1">
        <x:f t="array" ref="B39">IF($A39="","",INDEX(Decisiones!$A$2:$A$237,MATCH(INDEX(Explorador_Integrantes!$GO$2:$GO$30,MATCH(Explorador_Integrantes!$X$2,Explorador_Integrantes!$GN$2:$GN$30,0)),Decisiones!$B$2:$B$237,0)+ROWS($A$2:A39)-1))</x:f>
        <x:v>D20230810</x:v>
      </x:c>
      <x:c r="C39" t="n" cm="1">
        <x:f t="array" ref="C39">IF($A39="","",INDEX(Decisiones!$H$2:$H$237,MATCH(INDEX(Explorador_Integrantes!$GO$2:$GO$30,MATCH(Explorador_Integrantes!$X$2,Explorador_Integrantes!$GN$2:$GN$30,0)),Decisiones!$B$2:$B$237,0)+ROWS($A$2:A39)-1))</x:f>
        <x:v>11.25</x:v>
      </x:c>
      <x:c r="D39" t="n">
        <x:f>IF($B39="","",--(COUNTIFS(Votaciones!$A$2:$A$336,$B39,Votaciones!$B$2:$B$336,Explorador_Integrantes!$X$2,Votaciones!$D$2:$D$336,"Disenso restrictivo")&gt;0))</x:f>
        <x:v>0</x:v>
      </x:c>
      <x:c r="E39" t="n">
        <x:f>IF($B39="","",--(COUNTIFS(Votaciones!$A$2:$A$336,$B39,Votaciones!$B$2:$B$336,Explorador_Integrantes!$X$2,Votaciones!$D$2:$D$336,"Disenso acomodaticio")&gt;0))</x:f>
        <x:v>0</x:v>
      </x:c>
    </x:row>
    <x:row r="40">
      <x:c r="A40" s="112" cm="1">
        <x:f t="array" ref="A40">IF(ROWS($A$2:A40)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40)-1),"")</x:f>
        <x:v>45197</x:v>
      </x:c>
      <x:c r="B40" t="str" cm="1">
        <x:f t="array" ref="B40">IF($A40="","",INDEX(Decisiones!$A$2:$A$237,MATCH(INDEX(Explorador_Integrantes!$GO$2:$GO$30,MATCH(Explorador_Integrantes!$X$2,Explorador_Integrantes!$GN$2:$GN$30,0)),Decisiones!$B$2:$B$237,0)+ROWS($A$2:A40)-1))</x:f>
        <x:v>D20230928</x:v>
      </x:c>
      <x:c r="C40" t="n" cm="1">
        <x:f t="array" ref="C40">IF($A40="","",INDEX(Decisiones!$H$2:$H$237,MATCH(INDEX(Explorador_Integrantes!$GO$2:$GO$30,MATCH(Explorador_Integrantes!$X$2,Explorador_Integrantes!$GN$2:$GN$30,0)),Decisiones!$B$2:$B$237,0)+ROWS($A$2:A40)-1))</x:f>
        <x:v>11.25</x:v>
      </x:c>
      <x:c r="D40" t="n">
        <x:f>IF($B40="","",--(COUNTIFS(Votaciones!$A$2:$A$336,$B40,Votaciones!$B$2:$B$336,Explorador_Integrantes!$X$2,Votaciones!$D$2:$D$336,"Disenso restrictivo")&gt;0))</x:f>
        <x:v>0</x:v>
      </x:c>
      <x:c r="E40" t="n">
        <x:f>IF($B40="","",--(COUNTIFS(Votaciones!$A$2:$A$336,$B40,Votaciones!$B$2:$B$336,Explorador_Integrantes!$X$2,Votaciones!$D$2:$D$336,"Disenso acomodaticio")&gt;0))</x:f>
        <x:v>0</x:v>
      </x:c>
    </x:row>
    <x:row r="41">
      <x:c r="A41" s="112" cm="1">
        <x:f t="array" ref="A41">IF(ROWS($A$2:A41)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41)-1),"")</x:f>
        <x:v>45239</x:v>
      </x:c>
      <x:c r="B41" t="str" cm="1">
        <x:f t="array" ref="B41">IF($A41="","",INDEX(Decisiones!$A$2:$A$237,MATCH(INDEX(Explorador_Integrantes!$GO$2:$GO$30,MATCH(Explorador_Integrantes!$X$2,Explorador_Integrantes!$GN$2:$GN$30,0)),Decisiones!$B$2:$B$237,0)+ROWS($A$2:A41)-1))</x:f>
        <x:v>D20231109</x:v>
      </x:c>
      <x:c r="C41" t="n" cm="1">
        <x:f t="array" ref="C41">IF($A41="","",INDEX(Decisiones!$H$2:$H$237,MATCH(INDEX(Explorador_Integrantes!$GO$2:$GO$30,MATCH(Explorador_Integrantes!$X$2,Explorador_Integrantes!$GN$2:$GN$30,0)),Decisiones!$B$2:$B$237,0)+ROWS($A$2:A41)-1))</x:f>
        <x:v>11.25</x:v>
      </x:c>
      <x:c r="D41" t="n">
        <x:f>IF($B41="","",--(COUNTIFS(Votaciones!$A$2:$A$336,$B41,Votaciones!$B$2:$B$336,Explorador_Integrantes!$X$2,Votaciones!$D$2:$D$336,"Disenso restrictivo")&gt;0))</x:f>
        <x:v>0</x:v>
      </x:c>
      <x:c r="E41" t="n">
        <x:f>IF($B41="","",--(COUNTIFS(Votaciones!$A$2:$A$336,$B41,Votaciones!$B$2:$B$336,Explorador_Integrantes!$X$2,Votaciones!$D$2:$D$336,"Disenso acomodaticio")&gt;0))</x:f>
        <x:v>0</x:v>
      </x:c>
    </x:row>
    <x:row r="42">
      <x:c r="A42" s="112" cm="1">
        <x:f t="array" ref="A42">IF(ROWS($A$2:A42)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42)-1),"")</x:f>
        <x:v>45274</x:v>
      </x:c>
      <x:c r="B42" t="str" cm="1">
        <x:f t="array" ref="B42">IF($A42="","",INDEX(Decisiones!$A$2:$A$237,MATCH(INDEX(Explorador_Integrantes!$GO$2:$GO$30,MATCH(Explorador_Integrantes!$X$2,Explorador_Integrantes!$GN$2:$GN$30,0)),Decisiones!$B$2:$B$237,0)+ROWS($A$2:A42)-1))</x:f>
        <x:v>D20231214</x:v>
      </x:c>
      <x:c r="C42" t="n" cm="1">
        <x:f t="array" ref="C42">IF($A42="","",INDEX(Decisiones!$H$2:$H$237,MATCH(INDEX(Explorador_Integrantes!$GO$2:$GO$30,MATCH(Explorador_Integrantes!$X$2,Explorador_Integrantes!$GN$2:$GN$30,0)),Decisiones!$B$2:$B$237,0)+ROWS($A$2:A42)-1))</x:f>
        <x:v>11.25</x:v>
      </x:c>
      <x:c r="D42" t="n">
        <x:f>IF($B42="","",--(COUNTIFS(Votaciones!$A$2:$A$336,$B42,Votaciones!$B$2:$B$336,Explorador_Integrantes!$X$2,Votaciones!$D$2:$D$336,"Disenso restrictivo")&gt;0))</x:f>
        <x:v>0</x:v>
      </x:c>
      <x:c r="E42" t="n">
        <x:f>IF($B42="","",--(COUNTIFS(Votaciones!$A$2:$A$336,$B42,Votaciones!$B$2:$B$336,Explorador_Integrantes!$X$2,Votaciones!$D$2:$D$336,"Disenso acomodaticio")&gt;0))</x:f>
        <x:v>0</x:v>
      </x:c>
    </x:row>
    <x:row r="43">
      <x:c r="A43" s="112" cm="1">
        <x:f t="array" ref="A43">IF(ROWS($A$2:A43)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43)-1),"")</x:f>
        <x:v>45330</x:v>
      </x:c>
      <x:c r="B43" t="str" cm="1">
        <x:f t="array" ref="B43">IF($A43="","",INDEX(Decisiones!$A$2:$A$237,MATCH(INDEX(Explorador_Integrantes!$GO$2:$GO$30,MATCH(Explorador_Integrantes!$X$2,Explorador_Integrantes!$GN$2:$GN$30,0)),Decisiones!$B$2:$B$237,0)+ROWS($A$2:A43)-1))</x:f>
        <x:v>D20240208</x:v>
      </x:c>
      <x:c r="C43" t="n" cm="1">
        <x:f t="array" ref="C43">IF($A43="","",INDEX(Decisiones!$H$2:$H$237,MATCH(INDEX(Explorador_Integrantes!$GO$2:$GO$30,MATCH(Explorador_Integrantes!$X$2,Explorador_Integrantes!$GN$2:$GN$30,0)),Decisiones!$B$2:$B$237,0)+ROWS($A$2:A43)-1))</x:f>
        <x:v>11.25</x:v>
      </x:c>
      <x:c r="D43" t="n">
        <x:f>IF($B43="","",--(COUNTIFS(Votaciones!$A$2:$A$336,$B43,Votaciones!$B$2:$B$336,Explorador_Integrantes!$X$2,Votaciones!$D$2:$D$336,"Disenso restrictivo")&gt;0))</x:f>
        <x:v>0</x:v>
      </x:c>
      <x:c r="E43" t="n">
        <x:f>IF($B43="","",--(COUNTIFS(Votaciones!$A$2:$A$336,$B43,Votaciones!$B$2:$B$336,Explorador_Integrantes!$X$2,Votaciones!$D$2:$D$336,"Disenso acomodaticio")&gt;0))</x:f>
        <x:v>0</x:v>
      </x:c>
    </x:row>
    <x:row r="44">
      <x:c r="A44" s="112" cm="1">
        <x:f t="array" ref="A44">IF(ROWS($A$2:A44)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44)-1),"")</x:f>
        <x:v>45372</x:v>
      </x:c>
      <x:c r="B44" t="str" cm="1">
        <x:f t="array" ref="B44">IF($A44="","",INDEX(Decisiones!$A$2:$A$237,MATCH(INDEX(Explorador_Integrantes!$GO$2:$GO$30,MATCH(Explorador_Integrantes!$X$2,Explorador_Integrantes!$GN$2:$GN$30,0)),Decisiones!$B$2:$B$237,0)+ROWS($A$2:A44)-1))</x:f>
        <x:v>D20240321</x:v>
      </x:c>
      <x:c r="C44" t="n" cm="1">
        <x:f t="array" ref="C44">IF($A44="","",INDEX(Decisiones!$H$2:$H$237,MATCH(INDEX(Explorador_Integrantes!$GO$2:$GO$30,MATCH(Explorador_Integrantes!$X$2,Explorador_Integrantes!$GN$2:$GN$30,0)),Decisiones!$B$2:$B$237,0)+ROWS($A$2:A44)-1))</x:f>
        <x:v>11</x:v>
      </x:c>
      <x:c r="D44" t="n">
        <x:f>IF($B44="","",--(COUNTIFS(Votaciones!$A$2:$A$336,$B44,Votaciones!$B$2:$B$336,Explorador_Integrantes!$X$2,Votaciones!$D$2:$D$336,"Disenso restrictivo")&gt;0))</x:f>
        <x:v>0</x:v>
      </x:c>
      <x:c r="E44" t="n">
        <x:f>IF($B44="","",--(COUNTIFS(Votaciones!$A$2:$A$336,$B44,Votaciones!$B$2:$B$336,Explorador_Integrantes!$X$2,Votaciones!$D$2:$D$336,"Disenso acomodaticio")&gt;0))</x:f>
        <x:v>0</x:v>
      </x:c>
    </x:row>
    <x:row r="45">
      <x:c r="A45" s="112" cm="1">
        <x:f t="array" ref="A45">IF(ROWS($A$2:A45)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45)-1),"")</x:f>
        <x:v>45421</x:v>
      </x:c>
      <x:c r="B45" t="str" cm="1">
        <x:f t="array" ref="B45">IF($A45="","",INDEX(Decisiones!$A$2:$A$237,MATCH(INDEX(Explorador_Integrantes!$GO$2:$GO$30,MATCH(Explorador_Integrantes!$X$2,Explorador_Integrantes!$GN$2:$GN$30,0)),Decisiones!$B$2:$B$237,0)+ROWS($A$2:A45)-1))</x:f>
        <x:v>D20240509</x:v>
      </x:c>
      <x:c r="C45" t="n" cm="1">
        <x:f t="array" ref="C45">IF($A45="","",INDEX(Decisiones!$H$2:$H$237,MATCH(INDEX(Explorador_Integrantes!$GO$2:$GO$30,MATCH(Explorador_Integrantes!$X$2,Explorador_Integrantes!$GN$2:$GN$30,0)),Decisiones!$B$2:$B$237,0)+ROWS($A$2:A45)-1))</x:f>
        <x:v>11</x:v>
      </x:c>
      <x:c r="D45" t="n">
        <x:f>IF($B45="","",--(COUNTIFS(Votaciones!$A$2:$A$336,$B45,Votaciones!$B$2:$B$336,Explorador_Integrantes!$X$2,Votaciones!$D$2:$D$336,"Disenso restrictivo")&gt;0))</x:f>
        <x:v>0</x:v>
      </x:c>
      <x:c r="E45" t="n">
        <x:f>IF($B45="","",--(COUNTIFS(Votaciones!$A$2:$A$336,$B45,Votaciones!$B$2:$B$336,Explorador_Integrantes!$X$2,Votaciones!$D$2:$D$336,"Disenso acomodaticio")&gt;0))</x:f>
        <x:v>0</x:v>
      </x:c>
    </x:row>
    <x:row r="46">
      <x:c r="A46" s="112" cm="1">
        <x:f t="array" ref="A46">IF(ROWS($A$2:A46)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46)-1),"")</x:f>
        <x:v>45470</x:v>
      </x:c>
      <x:c r="B46" t="str" cm="1">
        <x:f t="array" ref="B46">IF($A46="","",INDEX(Decisiones!$A$2:$A$237,MATCH(INDEX(Explorador_Integrantes!$GO$2:$GO$30,MATCH(Explorador_Integrantes!$X$2,Explorador_Integrantes!$GN$2:$GN$30,0)),Decisiones!$B$2:$B$237,0)+ROWS($A$2:A46)-1))</x:f>
        <x:v>D20240627</x:v>
      </x:c>
      <x:c r="C46" t="n" cm="1">
        <x:f t="array" ref="C46">IF($A46="","",INDEX(Decisiones!$H$2:$H$237,MATCH(INDEX(Explorador_Integrantes!$GO$2:$GO$30,MATCH(Explorador_Integrantes!$X$2,Explorador_Integrantes!$GN$2:$GN$30,0)),Decisiones!$B$2:$B$237,0)+ROWS($A$2:A46)-1))</x:f>
        <x:v>11</x:v>
      </x:c>
      <x:c r="D46" t="n">
        <x:f>IF($B46="","",--(COUNTIFS(Votaciones!$A$2:$A$336,$B46,Votaciones!$B$2:$B$336,Explorador_Integrantes!$X$2,Votaciones!$D$2:$D$336,"Disenso restrictivo")&gt;0))</x:f>
        <x:v>0</x:v>
      </x:c>
      <x:c r="E46" t="n">
        <x:f>IF($B46="","",--(COUNTIFS(Votaciones!$A$2:$A$336,$B46,Votaciones!$B$2:$B$336,Explorador_Integrantes!$X$2,Votaciones!$D$2:$D$336,"Disenso acomodaticio")&gt;0))</x:f>
        <x:v>0</x:v>
      </x:c>
    </x:row>
    <x:row r="47">
      <x:c r="A47" s="112" cm="1">
        <x:f t="array" ref="A47">IF(ROWS($A$2:A47)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47)-1),"")</x:f>
        <x:v>45512</x:v>
      </x:c>
      <x:c r="B47" t="str" cm="1">
        <x:f t="array" ref="B47">IF($A47="","",INDEX(Decisiones!$A$2:$A$237,MATCH(INDEX(Explorador_Integrantes!$GO$2:$GO$30,MATCH(Explorador_Integrantes!$X$2,Explorador_Integrantes!$GN$2:$GN$30,0)),Decisiones!$B$2:$B$237,0)+ROWS($A$2:A47)-1))</x:f>
        <x:v>D20240808</x:v>
      </x:c>
      <x:c r="C47" t="n" cm="1">
        <x:f t="array" ref="C47">IF($A47="","",INDEX(Decisiones!$H$2:$H$237,MATCH(INDEX(Explorador_Integrantes!$GO$2:$GO$30,MATCH(Explorador_Integrantes!$X$2,Explorador_Integrantes!$GN$2:$GN$30,0)),Decisiones!$B$2:$B$237,0)+ROWS($A$2:A47)-1))</x:f>
        <x:v>10.75</x:v>
      </x:c>
      <x:c r="D47" t="n">
        <x:f>IF($B47="","",--(COUNTIFS(Votaciones!$A$2:$A$336,$B47,Votaciones!$B$2:$B$336,Explorador_Integrantes!$X$2,Votaciones!$D$2:$D$336,"Disenso restrictivo")&gt;0))</x:f>
        <x:v>1</x:v>
      </x:c>
      <x:c r="E47" t="n">
        <x:f>IF($B47="","",--(COUNTIFS(Votaciones!$A$2:$A$336,$B47,Votaciones!$B$2:$B$336,Explorador_Integrantes!$X$2,Votaciones!$D$2:$D$336,"Disenso acomodaticio")&gt;0))</x:f>
        <x:v>0</x:v>
      </x:c>
    </x:row>
    <x:row r="48">
      <x:c r="A48" s="112" cm="1">
        <x:f t="array" ref="A48">IF(ROWS($A$2:A48)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48)-1),"")</x:f>
        <x:v>45561</x:v>
      </x:c>
      <x:c r="B48" t="str" cm="1">
        <x:f t="array" ref="B48">IF($A48="","",INDEX(Decisiones!$A$2:$A$237,MATCH(INDEX(Explorador_Integrantes!$GO$2:$GO$30,MATCH(Explorador_Integrantes!$X$2,Explorador_Integrantes!$GN$2:$GN$30,0)),Decisiones!$B$2:$B$237,0)+ROWS($A$2:A48)-1))</x:f>
        <x:v>D20240926</x:v>
      </x:c>
      <x:c r="C48" t="n" cm="1">
        <x:f t="array" ref="C48">IF($A48="","",INDEX(Decisiones!$H$2:$H$237,MATCH(INDEX(Explorador_Integrantes!$GO$2:$GO$30,MATCH(Explorador_Integrantes!$X$2,Explorador_Integrantes!$GN$2:$GN$30,0)),Decisiones!$B$2:$B$237,0)+ROWS($A$2:A48)-1))</x:f>
        <x:v>10.5</x:v>
      </x:c>
      <x:c r="D48" t="n">
        <x:f>IF($B48="","",--(COUNTIFS(Votaciones!$A$2:$A$336,$B48,Votaciones!$B$2:$B$336,Explorador_Integrantes!$X$2,Votaciones!$D$2:$D$336,"Disenso restrictivo")&gt;0))</x:f>
        <x:v>1</x:v>
      </x:c>
      <x:c r="E48" t="n">
        <x:f>IF($B48="","",--(COUNTIFS(Votaciones!$A$2:$A$336,$B48,Votaciones!$B$2:$B$336,Explorador_Integrantes!$X$2,Votaciones!$D$2:$D$336,"Disenso acomodaticio")&gt;0))</x:f>
        <x:v>0</x:v>
      </x:c>
    </x:row>
    <x:row r="49">
      <x:c r="A49" s="112" cm="1">
        <x:f t="array" ref="A49">IF(ROWS($A$2:A49)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49)-1),"")</x:f>
        <x:v>45610</x:v>
      </x:c>
      <x:c r="B49" t="str" cm="1">
        <x:f t="array" ref="B49">IF($A49="","",INDEX(Decisiones!$A$2:$A$237,MATCH(INDEX(Explorador_Integrantes!$GO$2:$GO$30,MATCH(Explorador_Integrantes!$X$2,Explorador_Integrantes!$GN$2:$GN$30,0)),Decisiones!$B$2:$B$237,0)+ROWS($A$2:A49)-1))</x:f>
        <x:v>D20241114</x:v>
      </x:c>
      <x:c r="C49" t="n" cm="1">
        <x:f t="array" ref="C49">IF($A49="","",INDEX(Decisiones!$H$2:$H$237,MATCH(INDEX(Explorador_Integrantes!$GO$2:$GO$30,MATCH(Explorador_Integrantes!$X$2,Explorador_Integrantes!$GN$2:$GN$30,0)),Decisiones!$B$2:$B$237,0)+ROWS($A$2:A49)-1))</x:f>
        <x:v>10.25</x:v>
      </x:c>
      <x:c r="D49" t="n">
        <x:f>IF($B49="","",--(COUNTIFS(Votaciones!$A$2:$A$336,$B49,Votaciones!$B$2:$B$336,Explorador_Integrantes!$X$2,Votaciones!$D$2:$D$336,"Disenso restrictivo")&gt;0))</x:f>
        <x:v>0</x:v>
      </x:c>
      <x:c r="E49" t="n">
        <x:f>IF($B49="","",--(COUNTIFS(Votaciones!$A$2:$A$336,$B49,Votaciones!$B$2:$B$336,Explorador_Integrantes!$X$2,Votaciones!$D$2:$D$336,"Disenso acomodaticio")&gt;0))</x:f>
        <x:v>0</x:v>
      </x:c>
    </x:row>
    <x:row r="50">
      <x:c r="A50" s="112" cm="1">
        <x:f t="array" ref="A50">IF(ROWS($A$2:A50)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50)-1),"")</x:f>
        <x:v>45645</x:v>
      </x:c>
      <x:c r="B50" t="str" cm="1">
        <x:f t="array" ref="B50">IF($A50="","",INDEX(Decisiones!$A$2:$A$237,MATCH(INDEX(Explorador_Integrantes!$GO$2:$GO$30,MATCH(Explorador_Integrantes!$X$2,Explorador_Integrantes!$GN$2:$GN$30,0)),Decisiones!$B$2:$B$237,0)+ROWS($A$2:A50)-1))</x:f>
        <x:v>D20241219</x:v>
      </x:c>
      <x:c r="C50" t="n" cm="1">
        <x:f t="array" ref="C50">IF($A50="","",INDEX(Decisiones!$H$2:$H$237,MATCH(INDEX(Explorador_Integrantes!$GO$2:$GO$30,MATCH(Explorador_Integrantes!$X$2,Explorador_Integrantes!$GN$2:$GN$30,0)),Decisiones!$B$2:$B$237,0)+ROWS($A$2:A50)-1))</x:f>
        <x:v>10</x:v>
      </x:c>
      <x:c r="D50" t="n">
        <x:f>IF($B50="","",--(COUNTIFS(Votaciones!$A$2:$A$336,$B50,Votaciones!$B$2:$B$336,Explorador_Integrantes!$X$2,Votaciones!$D$2:$D$336,"Disenso restrictivo")&gt;0))</x:f>
        <x:v>0</x:v>
      </x:c>
      <x:c r="E50" t="n">
        <x:f>IF($B50="","",--(COUNTIFS(Votaciones!$A$2:$A$336,$B50,Votaciones!$B$2:$B$336,Explorador_Integrantes!$X$2,Votaciones!$D$2:$D$336,"Disenso acomodaticio")&gt;0))</x:f>
        <x:v>0</x:v>
      </x:c>
    </x:row>
    <x:row r="51">
      <x:c r="A51" s="112" cm="1">
        <x:f t="array" ref="A51">IF(ROWS($A$2:A51)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51)-1),"")</x:f>
        <x:v>45694</x:v>
      </x:c>
      <x:c r="B51" t="str" cm="1">
        <x:f t="array" ref="B51">IF($A51="","",INDEX(Decisiones!$A$2:$A$237,MATCH(INDEX(Explorador_Integrantes!$GO$2:$GO$30,MATCH(Explorador_Integrantes!$X$2,Explorador_Integrantes!$GN$2:$GN$30,0)),Decisiones!$B$2:$B$237,0)+ROWS($A$2:A51)-1))</x:f>
        <x:v>D20250206</x:v>
      </x:c>
      <x:c r="C51" t="n" cm="1">
        <x:f t="array" ref="C51">IF($A51="","",INDEX(Decisiones!$H$2:$H$237,MATCH(INDEX(Explorador_Integrantes!$GO$2:$GO$30,MATCH(Explorador_Integrantes!$X$2,Explorador_Integrantes!$GN$2:$GN$30,0)),Decisiones!$B$2:$B$237,0)+ROWS($A$2:A51)-1))</x:f>
        <x:v>9.5</x:v>
      </x:c>
      <x:c r="D51" t="n">
        <x:f>IF($B51="","",--(COUNTIFS(Votaciones!$A$2:$A$336,$B51,Votaciones!$B$2:$B$336,Explorador_Integrantes!$X$2,Votaciones!$D$2:$D$336,"Disenso restrictivo")&gt;0))</x:f>
        <x:v>1</x:v>
      </x:c>
      <x:c r="E51" t="n">
        <x:f>IF($B51="","",--(COUNTIFS(Votaciones!$A$2:$A$336,$B51,Votaciones!$B$2:$B$336,Explorador_Integrantes!$X$2,Votaciones!$D$2:$D$336,"Disenso acomodaticio")&gt;0))</x:f>
        <x:v>0</x:v>
      </x:c>
    </x:row>
    <x:row r="52">
      <x:c r="A52" s="112" cm="1">
        <x:f t="array" ref="A52">IF(ROWS($A$2:A52)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52)-1),"")</x:f>
        <x:v>45743</x:v>
      </x:c>
      <x:c r="B52" t="str" cm="1">
        <x:f t="array" ref="B52">IF($A52="","",INDEX(Decisiones!$A$2:$A$237,MATCH(INDEX(Explorador_Integrantes!$GO$2:$GO$30,MATCH(Explorador_Integrantes!$X$2,Explorador_Integrantes!$GN$2:$GN$30,0)),Decisiones!$B$2:$B$237,0)+ROWS($A$2:A52)-1))</x:f>
        <x:v>D20250327</x:v>
      </x:c>
      <x:c r="C52" t="n" cm="1">
        <x:f t="array" ref="C52">IF($A52="","",INDEX(Decisiones!$H$2:$H$237,MATCH(INDEX(Explorador_Integrantes!$GO$2:$GO$30,MATCH(Explorador_Integrantes!$X$2,Explorador_Integrantes!$GN$2:$GN$30,0)),Decisiones!$B$2:$B$237,0)+ROWS($A$2:A52)-1))</x:f>
        <x:v>9</x:v>
      </x:c>
      <x:c r="D52" t="n">
        <x:f>IF($B52="","",--(COUNTIFS(Votaciones!$A$2:$A$336,$B52,Votaciones!$B$2:$B$336,Explorador_Integrantes!$X$2,Votaciones!$D$2:$D$336,"Disenso restrictivo")&gt;0))</x:f>
        <x:v>0</x:v>
      </x:c>
      <x:c r="E52" t="n">
        <x:f>IF($B52="","",--(COUNTIFS(Votaciones!$A$2:$A$336,$B52,Votaciones!$B$2:$B$336,Explorador_Integrantes!$X$2,Votaciones!$D$2:$D$336,"Disenso acomodaticio")&gt;0))</x:f>
        <x:v>0</x:v>
      </x:c>
    </x:row>
    <x:row r="53">
      <x:c r="A53" s="112" cm="1">
        <x:f t="array" ref="A53">IF(ROWS($A$2:A53)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53)-1),"")</x:f>
        <x:v>45792</x:v>
      </x:c>
      <x:c r="B53" t="str" cm="1">
        <x:f t="array" ref="B53">IF($A53="","",INDEX(Decisiones!$A$2:$A$237,MATCH(INDEX(Explorador_Integrantes!$GO$2:$GO$30,MATCH(Explorador_Integrantes!$X$2,Explorador_Integrantes!$GN$2:$GN$30,0)),Decisiones!$B$2:$B$237,0)+ROWS($A$2:A53)-1))</x:f>
        <x:v>D20250515</x:v>
      </x:c>
      <x:c r="C53" t="n" cm="1">
        <x:f t="array" ref="C53">IF($A53="","",INDEX(Decisiones!$H$2:$H$237,MATCH(INDEX(Explorador_Integrantes!$GO$2:$GO$30,MATCH(Explorador_Integrantes!$X$2,Explorador_Integrantes!$GN$2:$GN$30,0)),Decisiones!$B$2:$B$237,0)+ROWS($A$2:A53)-1))</x:f>
        <x:v>8.5</x:v>
      </x:c>
      <x:c r="D53" t="n">
        <x:f>IF($B53="","",--(COUNTIFS(Votaciones!$A$2:$A$336,$B53,Votaciones!$B$2:$B$336,Explorador_Integrantes!$X$2,Votaciones!$D$2:$D$336,"Disenso restrictivo")&gt;0))</x:f>
        <x:v>0</x:v>
      </x:c>
      <x:c r="E53" t="n">
        <x:f>IF($B53="","",--(COUNTIFS(Votaciones!$A$2:$A$336,$B53,Votaciones!$B$2:$B$336,Explorador_Integrantes!$X$2,Votaciones!$D$2:$D$336,"Disenso acomodaticio")&gt;0))</x:f>
        <x:v>0</x:v>
      </x:c>
    </x:row>
    <x:row r="54">
      <x:c r="A54" s="112" cm="1">
        <x:f t="array" ref="A54">IF(ROWS($A$2:A54)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54)-1),"")</x:f>
        <x:v>45834</x:v>
      </x:c>
      <x:c r="B54" t="str" cm="1">
        <x:f t="array" ref="B54">IF($A54="","",INDEX(Decisiones!$A$2:$A$237,MATCH(INDEX(Explorador_Integrantes!$GO$2:$GO$30,MATCH(Explorador_Integrantes!$X$2,Explorador_Integrantes!$GN$2:$GN$30,0)),Decisiones!$B$2:$B$237,0)+ROWS($A$2:A54)-1))</x:f>
        <x:v>D20250626</x:v>
      </x:c>
      <x:c r="C54" t="n" cm="1">
        <x:f t="array" ref="C54">IF($A54="","",INDEX(Decisiones!$H$2:$H$237,MATCH(INDEX(Explorador_Integrantes!$GO$2:$GO$30,MATCH(Explorador_Integrantes!$X$2,Explorador_Integrantes!$GN$2:$GN$30,0)),Decisiones!$B$2:$B$237,0)+ROWS($A$2:A54)-1))</x:f>
        <x:v>8</x:v>
      </x:c>
      <x:c r="D54" t="n">
        <x:f>IF($B54="","",--(COUNTIFS(Votaciones!$A$2:$A$336,$B54,Votaciones!$B$2:$B$336,Explorador_Integrantes!$X$2,Votaciones!$D$2:$D$336,"Disenso restrictivo")&gt;0))</x:f>
        <x:v>1</x:v>
      </x:c>
      <x:c r="E54" t="n">
        <x:f>IF($B54="","",--(COUNTIFS(Votaciones!$A$2:$A$336,$B54,Votaciones!$B$2:$B$336,Explorador_Integrantes!$X$2,Votaciones!$D$2:$D$336,"Disenso acomodaticio")&gt;0))</x:f>
        <x:v>0</x:v>
      </x:c>
    </x:row>
    <x:row r="55">
      <x:c r="A55" s="112" cm="1">
        <x:f t="array" ref="A55">IF(ROWS($A$2:A55)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55)-1),"")</x:f>
        <x:v>45876</x:v>
      </x:c>
      <x:c r="B55" t="str" cm="1">
        <x:f t="array" ref="B55">IF($A55="","",INDEX(Decisiones!$A$2:$A$237,MATCH(INDEX(Explorador_Integrantes!$GO$2:$GO$30,MATCH(Explorador_Integrantes!$X$2,Explorador_Integrantes!$GN$2:$GN$30,0)),Decisiones!$B$2:$B$237,0)+ROWS($A$2:A55)-1))</x:f>
        <x:v>D20250807</x:v>
      </x:c>
      <x:c r="C55" t="n" cm="1">
        <x:f t="array" ref="C55">IF($A55="","",INDEX(Decisiones!$H$2:$H$237,MATCH(INDEX(Explorador_Integrantes!$GO$2:$GO$30,MATCH(Explorador_Integrantes!$X$2,Explorador_Integrantes!$GN$2:$GN$30,0)),Decisiones!$B$2:$B$237,0)+ROWS($A$2:A55)-1))</x:f>
        <x:v>7.75</x:v>
      </x:c>
      <x:c r="D55" t="n">
        <x:f>IF($B55="","",--(COUNTIFS(Votaciones!$A$2:$A$336,$B55,Votaciones!$B$2:$B$336,Explorador_Integrantes!$X$2,Votaciones!$D$2:$D$336,"Disenso restrictivo")&gt;0))</x:f>
        <x:v>1</x:v>
      </x:c>
      <x:c r="E55" t="n">
        <x:f>IF($B55="","",--(COUNTIFS(Votaciones!$A$2:$A$336,$B55,Votaciones!$B$2:$B$336,Explorador_Integrantes!$X$2,Votaciones!$D$2:$D$336,"Disenso acomodaticio")&gt;0))</x:f>
        <x:v>0</x:v>
      </x:c>
    </x:row>
    <x:row r="56">
      <x:c r="A56" s="112" cm="1">
        <x:f t="array" ref="A56">IF(ROWS($A$2:A56)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56)-1),"")</x:f>
        <x:v>45925</x:v>
      </x:c>
      <x:c r="B56" t="str" cm="1">
        <x:f t="array" ref="B56">IF($A56="","",INDEX(Decisiones!$A$2:$A$237,MATCH(INDEX(Explorador_Integrantes!$GO$2:$GO$30,MATCH(Explorador_Integrantes!$X$2,Explorador_Integrantes!$GN$2:$GN$30,0)),Decisiones!$B$2:$B$237,0)+ROWS($A$2:A56)-1))</x:f>
        <x:v>D20250925</x:v>
      </x:c>
      <x:c r="C56" t="n" cm="1">
        <x:f t="array" ref="C56">IF($A56="","",INDEX(Decisiones!$H$2:$H$237,MATCH(INDEX(Explorador_Integrantes!$GO$2:$GO$30,MATCH(Explorador_Integrantes!$X$2,Explorador_Integrantes!$GN$2:$GN$30,0)),Decisiones!$B$2:$B$237,0)+ROWS($A$2:A56)-1))</x:f>
        <x:v>7.5</x:v>
      </x:c>
      <x:c r="D56" t="n">
        <x:f>IF($B56="","",--(COUNTIFS(Votaciones!$A$2:$A$336,$B56,Votaciones!$B$2:$B$336,Explorador_Integrantes!$X$2,Votaciones!$D$2:$D$336,"Disenso restrictivo")&gt;0))</x:f>
        <x:v>1</x:v>
      </x:c>
      <x:c r="E56" t="n">
        <x:f>IF($B56="","",--(COUNTIFS(Votaciones!$A$2:$A$336,$B56,Votaciones!$B$2:$B$336,Explorador_Integrantes!$X$2,Votaciones!$D$2:$D$336,"Disenso acomodaticio")&gt;0))</x:f>
        <x:v>0</x:v>
      </x:c>
    </x:row>
    <x:row r="57">
      <x:c r="A57" s="112" cm="1">
        <x:f t="array" ref="A57">IF(ROWS($A$2:A57)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57)-1),"")</x:f>
        <x:v>45967</x:v>
      </x:c>
      <x:c r="B57" t="str" cm="1">
        <x:f t="array" ref="B57">IF($A57="","",INDEX(Decisiones!$A$2:$A$237,MATCH(INDEX(Explorador_Integrantes!$GO$2:$GO$30,MATCH(Explorador_Integrantes!$X$2,Explorador_Integrantes!$GN$2:$GN$30,0)),Decisiones!$B$2:$B$237,0)+ROWS($A$2:A57)-1))</x:f>
        <x:v>D20251106</x:v>
      </x:c>
      <x:c r="C57" t="n" cm="1">
        <x:f t="array" ref="C57">IF($A57="","",INDEX(Decisiones!$H$2:$H$237,MATCH(INDEX(Explorador_Integrantes!$GO$2:$GO$30,MATCH(Explorador_Integrantes!$X$2,Explorador_Integrantes!$GN$2:$GN$30,0)),Decisiones!$B$2:$B$237,0)+ROWS($A$2:A57)-1))</x:f>
        <x:v>7.25</x:v>
      </x:c>
      <x:c r="D57" t="n">
        <x:f>IF($B57="","",--(COUNTIFS(Votaciones!$A$2:$A$336,$B57,Votaciones!$B$2:$B$336,Explorador_Integrantes!$X$2,Votaciones!$D$2:$D$336,"Disenso restrictivo")&gt;0))</x:f>
        <x:v>1</x:v>
      </x:c>
      <x:c r="E57" t="n">
        <x:f>IF($B57="","",--(COUNTIFS(Votaciones!$A$2:$A$336,$B57,Votaciones!$B$2:$B$336,Explorador_Integrantes!$X$2,Votaciones!$D$2:$D$336,"Disenso acomodaticio")&gt;0))</x:f>
        <x:v>0</x:v>
      </x:c>
    </x:row>
    <x:row r="58">
      <x:c r="A58" s="112" cm="1">
        <x:f t="array" ref="A58">IF(ROWS($A$2:A58)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58)-1),"")</x:f>
        <x:v>46009</x:v>
      </x:c>
      <x:c r="B58" t="str" cm="1">
        <x:f t="array" ref="B58">IF($A58="","",INDEX(Decisiones!$A$2:$A$237,MATCH(INDEX(Explorador_Integrantes!$GO$2:$GO$30,MATCH(Explorador_Integrantes!$X$2,Explorador_Integrantes!$GN$2:$GN$30,0)),Decisiones!$B$2:$B$237,0)+ROWS($A$2:A58)-1))</x:f>
        <x:v>D20251218</x:v>
      </x:c>
      <x:c r="C58" t="n" cm="1">
        <x:f t="array" ref="C58">IF($A58="","",INDEX(Decisiones!$H$2:$H$237,MATCH(INDEX(Explorador_Integrantes!$GO$2:$GO$30,MATCH(Explorador_Integrantes!$X$2,Explorador_Integrantes!$GN$2:$GN$30,0)),Decisiones!$B$2:$B$237,0)+ROWS($A$2:A58)-1))</x:f>
        <x:v>7</x:v>
      </x:c>
      <x:c r="D58" t="n">
        <x:f>IF($B58="","",--(COUNTIFS(Votaciones!$A$2:$A$336,$B58,Votaciones!$B$2:$B$336,Explorador_Integrantes!$X$2,Votaciones!$D$2:$D$336,"Disenso restrictivo")&gt;0))</x:f>
        <x:v>1</x:v>
      </x:c>
      <x:c r="E58" t="n">
        <x:f>IF($B58="","",--(COUNTIFS(Votaciones!$A$2:$A$336,$B58,Votaciones!$B$2:$B$336,Explorador_Integrantes!$X$2,Votaciones!$D$2:$D$336,"Disenso acomodaticio")&gt;0))</x:f>
        <x:v>0</x:v>
      </x:c>
    </x:row>
    <x:row r="59">
      <x:c r="A59" s="112" cm="1">
        <x:f t="array" ref="A59">IF(ROWS($A$2:A59)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59)-1),"")</x:f>
        <x:v>46058</x:v>
      </x:c>
      <x:c r="B59" t="str" cm="1">
        <x:f t="array" ref="B59">IF($A59="","",INDEX(Decisiones!$A$2:$A$237,MATCH(INDEX(Explorador_Integrantes!$GO$2:$GO$30,MATCH(Explorador_Integrantes!$X$2,Explorador_Integrantes!$GN$2:$GN$30,0)),Decisiones!$B$2:$B$237,0)+ROWS($A$2:A59)-1))</x:f>
        <x:v>D20260205</x:v>
      </x:c>
      <x:c r="C59" t="n" cm="1">
        <x:f t="array" ref="C59">IF($A59="","",INDEX(Decisiones!$H$2:$H$237,MATCH(INDEX(Explorador_Integrantes!$GO$2:$GO$30,MATCH(Explorador_Integrantes!$X$2,Explorador_Integrantes!$GN$2:$GN$30,0)),Decisiones!$B$2:$B$237,0)+ROWS($A$2:A59)-1))</x:f>
        <x:v>7</x:v>
      </x:c>
      <x:c r="D59" t="n">
        <x:f>IF($B59="","",--(COUNTIFS(Votaciones!$A$2:$A$336,$B59,Votaciones!$B$2:$B$336,Explorador_Integrantes!$X$2,Votaciones!$D$2:$D$336,"Disenso restrictivo")&gt;0))</x:f>
        <x:v>0</x:v>
      </x:c>
      <x:c r="E59" t="n">
        <x:f>IF($B59="","",--(COUNTIFS(Votaciones!$A$2:$A$336,$B59,Votaciones!$B$2:$B$336,Explorador_Integrantes!$X$2,Votaciones!$D$2:$D$336,"Disenso acomodaticio")&gt;0))</x:f>
        <x:v>0</x:v>
      </x:c>
    </x:row>
    <x:row r="60">
      <x:c r="A60" s="112" cm="1">
        <x:f t="array" ref="A60">IF(ROWS($A$2:A60)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60)-1),"")</x:f>
        <x:v>46107</x:v>
      </x:c>
      <x:c r="B60" t="str" cm="1">
        <x:f t="array" ref="B60">IF($A60="","",INDEX(Decisiones!$A$2:$A$237,MATCH(INDEX(Explorador_Integrantes!$GO$2:$GO$30,MATCH(Explorador_Integrantes!$X$2,Explorador_Integrantes!$GN$2:$GN$30,0)),Decisiones!$B$2:$B$237,0)+ROWS($A$2:A60)-1))</x:f>
        <x:v>D20260326</x:v>
      </x:c>
      <x:c r="C60" t="n" cm="1">
        <x:f t="array" ref="C60">IF($A60="","",INDEX(Decisiones!$H$2:$H$237,MATCH(INDEX(Explorador_Integrantes!$GO$2:$GO$30,MATCH(Explorador_Integrantes!$X$2,Explorador_Integrantes!$GN$2:$GN$30,0)),Decisiones!$B$2:$B$237,0)+ROWS($A$2:A60)-1))</x:f>
        <x:v>6.75</x:v>
      </x:c>
      <x:c r="D60" t="n">
        <x:f>IF($B60="","",--(COUNTIFS(Votaciones!$A$2:$A$336,$B60,Votaciones!$B$2:$B$336,Explorador_Integrantes!$X$2,Votaciones!$D$2:$D$336,"Disenso restrictivo")&gt;0))</x:f>
        <x:v>1</x:v>
      </x:c>
      <x:c r="E60" t="n">
        <x:f>IF($B60="","",--(COUNTIFS(Votaciones!$A$2:$A$336,$B60,Votaciones!$B$2:$B$336,Explorador_Integrantes!$X$2,Votaciones!$D$2:$D$336,"Disenso acomodaticio")&gt;0))</x:f>
        <x:v>0</x:v>
      </x:c>
    </x:row>
    <x:row r="61">
      <x:c r="A61" s="112" cm="1">
        <x:f t="array" ref="A61">IF(ROWS($A$2:A61)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61)-1),"")</x:f>
        <x:v>46149</x:v>
      </x:c>
      <x:c r="B61" t="str" cm="1">
        <x:f t="array" ref="B61">IF($A61="","",INDEX(Decisiones!$A$2:$A$237,MATCH(INDEX(Explorador_Integrantes!$GO$2:$GO$30,MATCH(Explorador_Integrantes!$X$2,Explorador_Integrantes!$GN$2:$GN$30,0)),Decisiones!$B$2:$B$237,0)+ROWS($A$2:A61)-1))</x:f>
        <x:v>D20260507</x:v>
      </x:c>
      <x:c r="C61" t="n" cm="1">
        <x:f t="array" ref="C61">IF($A61="","",INDEX(Decisiones!$H$2:$H$237,MATCH(INDEX(Explorador_Integrantes!$GO$2:$GO$30,MATCH(Explorador_Integrantes!$X$2,Explorador_Integrantes!$GN$2:$GN$30,0)),Decisiones!$B$2:$B$237,0)+ROWS($A$2:A61)-1))</x:f>
        <x:v>6.5</x:v>
      </x:c>
      <x:c r="D61" t="n">
        <x:f>IF($B61="","",--(COUNTIFS(Votaciones!$A$2:$A$336,$B61,Votaciones!$B$2:$B$336,Explorador_Integrantes!$X$2,Votaciones!$D$2:$D$336,"Disenso restrictivo")&gt;0))</x:f>
        <x:v>1</x:v>
      </x:c>
      <x:c r="E61" t="n">
        <x:f>IF($B61="","",--(COUNTIFS(Votaciones!$A$2:$A$336,$B61,Votaciones!$B$2:$B$336,Explorador_Integrantes!$X$2,Votaciones!$D$2:$D$336,"Disenso acomodaticio")&gt;0))</x:f>
        <x:v>0</x:v>
      </x:c>
    </x:row>
    <x:row r="62">
      <x:c r="A62" s="112" cm="1">
        <x:f t="array" ref="A62">IF(ROWS($A$2:A62)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62)-1),"")</x:f>
        <x:v>46198</x:v>
      </x:c>
      <x:c r="B62" t="str" cm="1">
        <x:f t="array" ref="B62">IF($A62="","",INDEX(Decisiones!$A$2:$A$237,MATCH(INDEX(Explorador_Integrantes!$GO$2:$GO$30,MATCH(Explorador_Integrantes!$X$2,Explorador_Integrantes!$GN$2:$GN$30,0)),Decisiones!$B$2:$B$237,0)+ROWS($A$2:A62)-1))</x:f>
        <x:v>D20260625</x:v>
      </x:c>
      <x:c r="C62" t="n" cm="1">
        <x:f t="array" ref="C62">IF($A62="","",INDEX(Decisiones!$H$2:$H$237,MATCH(INDEX(Explorador_Integrantes!$GO$2:$GO$30,MATCH(Explorador_Integrantes!$X$2,Explorador_Integrantes!$GN$2:$GN$30,0)),Decisiones!$B$2:$B$237,0)+ROWS($A$2:A62)-1))</x:f>
        <x:v>6.5</x:v>
      </x:c>
      <x:c r="D62" t="n">
        <x:f>IF($B62="","",--(COUNTIFS(Votaciones!$A$2:$A$336,$B62,Votaciones!$B$2:$B$336,Explorador_Integrantes!$X$2,Votaciones!$D$2:$D$336,"Disenso restrictivo")&gt;0))</x:f>
        <x:v>0</x:v>
      </x:c>
      <x:c r="E62" t="n">
        <x:f>IF($B62="","",--(COUNTIFS(Votaciones!$A$2:$A$336,$B62,Votaciones!$B$2:$B$336,Explorador_Integrantes!$X$2,Votaciones!$D$2:$D$336,"Disenso acomodaticio")&gt;0))</x:f>
        <x:v>0</x:v>
      </x:c>
    </x:row>
    <x:row r="63">
      <x:c r="A63" s="112" t="str" cm="1">
        <x:f t="array" ref="A63">IF(ROWS($A$2:A63)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63)-1),"")</x:f>
      </x:c>
      <x:c r="B63" t="str" cm="1">
        <x:f t="array" ref="B63">IF($A63="","",INDEX(Decisiones!$A$2:$A$237,MATCH(INDEX(Explorador_Integrantes!$GO$2:$GO$30,MATCH(Explorador_Integrantes!$X$2,Explorador_Integrantes!$GN$2:$GN$30,0)),Decisiones!$B$2:$B$237,0)+ROWS($A$2:A63)-1))</x:f>
      </x:c>
      <x:c r="C63" t="str" cm="1">
        <x:f t="array" ref="C63">IF($A63="","",INDEX(Decisiones!$H$2:$H$237,MATCH(INDEX(Explorador_Integrantes!$GO$2:$GO$30,MATCH(Explorador_Integrantes!$X$2,Explorador_Integrantes!$GN$2:$GN$30,0)),Decisiones!$B$2:$B$237,0)+ROWS($A$2:A63)-1))</x:f>
      </x:c>
      <x:c r="D63" t="str">
        <x:f>IF($B63="","",--(COUNTIFS(Votaciones!$A$2:$A$336,$B63,Votaciones!$B$2:$B$336,Explorador_Integrantes!$X$2,Votaciones!$D$2:$D$336,"Disenso restrictivo")&gt;0))</x:f>
      </x:c>
      <x:c r="E63" t="str">
        <x:f>IF($B63="","",--(COUNTIFS(Votaciones!$A$2:$A$336,$B63,Votaciones!$B$2:$B$336,Explorador_Integrantes!$X$2,Votaciones!$D$2:$D$336,"Disenso acomodaticio")&gt;0))</x:f>
      </x:c>
    </x:row>
    <x:row r="64">
      <x:c r="A64" s="112" t="str" cm="1">
        <x:f t="array" ref="A64">IF(ROWS($A$2:A64)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64)-1),"")</x:f>
      </x:c>
      <x:c r="B64" t="str" cm="1">
        <x:f t="array" ref="B64">IF($A64="","",INDEX(Decisiones!$A$2:$A$237,MATCH(INDEX(Explorador_Integrantes!$GO$2:$GO$30,MATCH(Explorador_Integrantes!$X$2,Explorador_Integrantes!$GN$2:$GN$30,0)),Decisiones!$B$2:$B$237,0)+ROWS($A$2:A64)-1))</x:f>
      </x:c>
      <x:c r="C64" t="str" cm="1">
        <x:f t="array" ref="C64">IF($A64="","",INDEX(Decisiones!$H$2:$H$237,MATCH(INDEX(Explorador_Integrantes!$GO$2:$GO$30,MATCH(Explorador_Integrantes!$X$2,Explorador_Integrantes!$GN$2:$GN$30,0)),Decisiones!$B$2:$B$237,0)+ROWS($A$2:A64)-1))</x:f>
      </x:c>
      <x:c r="D64" t="str">
        <x:f>IF($B64="","",--(COUNTIFS(Votaciones!$A$2:$A$336,$B64,Votaciones!$B$2:$B$336,Explorador_Integrantes!$X$2,Votaciones!$D$2:$D$336,"Disenso restrictivo")&gt;0))</x:f>
      </x:c>
      <x:c r="E64" t="str">
        <x:f>IF($B64="","",--(COUNTIFS(Votaciones!$A$2:$A$336,$B64,Votaciones!$B$2:$B$336,Explorador_Integrantes!$X$2,Votaciones!$D$2:$D$336,"Disenso acomodaticio")&gt;0))</x:f>
      </x:c>
    </x:row>
    <x:row r="65">
      <x:c r="A65" s="112" t="str" cm="1">
        <x:f t="array" ref="A65">IF(ROWS($A$2:A65)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65)-1),"")</x:f>
      </x:c>
      <x:c r="B65" t="str" cm="1">
        <x:f t="array" ref="B65">IF($A65="","",INDEX(Decisiones!$A$2:$A$237,MATCH(INDEX(Explorador_Integrantes!$GO$2:$GO$30,MATCH(Explorador_Integrantes!$X$2,Explorador_Integrantes!$GN$2:$GN$30,0)),Decisiones!$B$2:$B$237,0)+ROWS($A$2:A65)-1))</x:f>
      </x:c>
      <x:c r="C65" t="str" cm="1">
        <x:f t="array" ref="C65">IF($A65="","",INDEX(Decisiones!$H$2:$H$237,MATCH(INDEX(Explorador_Integrantes!$GO$2:$GO$30,MATCH(Explorador_Integrantes!$X$2,Explorador_Integrantes!$GN$2:$GN$30,0)),Decisiones!$B$2:$B$237,0)+ROWS($A$2:A65)-1))</x:f>
      </x:c>
      <x:c r="D65" t="str">
        <x:f>IF($B65="","",--(COUNTIFS(Votaciones!$A$2:$A$336,$B65,Votaciones!$B$2:$B$336,Explorador_Integrantes!$X$2,Votaciones!$D$2:$D$336,"Disenso restrictivo")&gt;0))</x:f>
      </x:c>
      <x:c r="E65" t="str">
        <x:f>IF($B65="","",--(COUNTIFS(Votaciones!$A$2:$A$336,$B65,Votaciones!$B$2:$B$336,Explorador_Integrantes!$X$2,Votaciones!$D$2:$D$336,"Disenso acomodaticio")&gt;0))</x:f>
      </x:c>
    </x:row>
    <x:row r="66">
      <x:c r="A66" s="112" t="str" cm="1">
        <x:f t="array" ref="A66">IF(ROWS($A$2:A66)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66)-1),"")</x:f>
      </x:c>
      <x:c r="B66" t="str" cm="1">
        <x:f t="array" ref="B66">IF($A66="","",INDEX(Decisiones!$A$2:$A$237,MATCH(INDEX(Explorador_Integrantes!$GO$2:$GO$30,MATCH(Explorador_Integrantes!$X$2,Explorador_Integrantes!$GN$2:$GN$30,0)),Decisiones!$B$2:$B$237,0)+ROWS($A$2:A66)-1))</x:f>
      </x:c>
      <x:c r="C66" t="str" cm="1">
        <x:f t="array" ref="C66">IF($A66="","",INDEX(Decisiones!$H$2:$H$237,MATCH(INDEX(Explorador_Integrantes!$GO$2:$GO$30,MATCH(Explorador_Integrantes!$X$2,Explorador_Integrantes!$GN$2:$GN$30,0)),Decisiones!$B$2:$B$237,0)+ROWS($A$2:A66)-1))</x:f>
      </x:c>
      <x:c r="D66" t="str">
        <x:f>IF($B66="","",--(COUNTIFS(Votaciones!$A$2:$A$336,$B66,Votaciones!$B$2:$B$336,Explorador_Integrantes!$X$2,Votaciones!$D$2:$D$336,"Disenso restrictivo")&gt;0))</x:f>
      </x:c>
      <x:c r="E66" t="str">
        <x:f>IF($B66="","",--(COUNTIFS(Votaciones!$A$2:$A$336,$B66,Votaciones!$B$2:$B$336,Explorador_Integrantes!$X$2,Votaciones!$D$2:$D$336,"Disenso acomodaticio")&gt;0))</x:f>
      </x:c>
    </x:row>
    <x:row r="67">
      <x:c r="A67" s="112" t="str" cm="1">
        <x:f t="array" ref="A67">IF(ROWS($A$2:A67)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67)-1),"")</x:f>
      </x:c>
      <x:c r="B67" t="str" cm="1">
        <x:f t="array" ref="B67">IF($A67="","",INDEX(Decisiones!$A$2:$A$237,MATCH(INDEX(Explorador_Integrantes!$GO$2:$GO$30,MATCH(Explorador_Integrantes!$X$2,Explorador_Integrantes!$GN$2:$GN$30,0)),Decisiones!$B$2:$B$237,0)+ROWS($A$2:A67)-1))</x:f>
      </x:c>
      <x:c r="C67" t="str" cm="1">
        <x:f t="array" ref="C67">IF($A67="","",INDEX(Decisiones!$H$2:$H$237,MATCH(INDEX(Explorador_Integrantes!$GO$2:$GO$30,MATCH(Explorador_Integrantes!$X$2,Explorador_Integrantes!$GN$2:$GN$30,0)),Decisiones!$B$2:$B$237,0)+ROWS($A$2:A67)-1))</x:f>
      </x:c>
      <x:c r="D67" t="str">
        <x:f>IF($B67="","",--(COUNTIFS(Votaciones!$A$2:$A$336,$B67,Votaciones!$B$2:$B$336,Explorador_Integrantes!$X$2,Votaciones!$D$2:$D$336,"Disenso restrictivo")&gt;0))</x:f>
      </x:c>
      <x:c r="E67" t="str">
        <x:f>IF($B67="","",--(COUNTIFS(Votaciones!$A$2:$A$336,$B67,Votaciones!$B$2:$B$336,Explorador_Integrantes!$X$2,Votaciones!$D$2:$D$336,"Disenso acomodaticio")&gt;0))</x:f>
      </x:c>
    </x:row>
    <x:row r="68">
      <x:c r="A68" s="112" t="str" cm="1">
        <x:f t="array" ref="A68">IF(ROWS($A$2:A68)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68)-1),"")</x:f>
      </x:c>
      <x:c r="B68" t="str" cm="1">
        <x:f t="array" ref="B68">IF($A68="","",INDEX(Decisiones!$A$2:$A$237,MATCH(INDEX(Explorador_Integrantes!$GO$2:$GO$30,MATCH(Explorador_Integrantes!$X$2,Explorador_Integrantes!$GN$2:$GN$30,0)),Decisiones!$B$2:$B$237,0)+ROWS($A$2:A68)-1))</x:f>
      </x:c>
      <x:c r="C68" t="str" cm="1">
        <x:f t="array" ref="C68">IF($A68="","",INDEX(Decisiones!$H$2:$H$237,MATCH(INDEX(Explorador_Integrantes!$GO$2:$GO$30,MATCH(Explorador_Integrantes!$X$2,Explorador_Integrantes!$GN$2:$GN$30,0)),Decisiones!$B$2:$B$237,0)+ROWS($A$2:A68)-1))</x:f>
      </x:c>
      <x:c r="D68" t="str">
        <x:f>IF($B68="","",--(COUNTIFS(Votaciones!$A$2:$A$336,$B68,Votaciones!$B$2:$B$336,Explorador_Integrantes!$X$2,Votaciones!$D$2:$D$336,"Disenso restrictivo")&gt;0))</x:f>
      </x:c>
      <x:c r="E68" t="str">
        <x:f>IF($B68="","",--(COUNTIFS(Votaciones!$A$2:$A$336,$B68,Votaciones!$B$2:$B$336,Explorador_Integrantes!$X$2,Votaciones!$D$2:$D$336,"Disenso acomodaticio")&gt;0))</x:f>
      </x:c>
    </x:row>
    <x:row r="69">
      <x:c r="A69" s="112" t="str" cm="1">
        <x:f t="array" ref="A69">IF(ROWS($A$2:A69)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69)-1),"")</x:f>
      </x:c>
      <x:c r="B69" t="str" cm="1">
        <x:f t="array" ref="B69">IF($A69="","",INDEX(Decisiones!$A$2:$A$237,MATCH(INDEX(Explorador_Integrantes!$GO$2:$GO$30,MATCH(Explorador_Integrantes!$X$2,Explorador_Integrantes!$GN$2:$GN$30,0)),Decisiones!$B$2:$B$237,0)+ROWS($A$2:A69)-1))</x:f>
      </x:c>
      <x:c r="C69" t="str" cm="1">
        <x:f t="array" ref="C69">IF($A69="","",INDEX(Decisiones!$H$2:$H$237,MATCH(INDEX(Explorador_Integrantes!$GO$2:$GO$30,MATCH(Explorador_Integrantes!$X$2,Explorador_Integrantes!$GN$2:$GN$30,0)),Decisiones!$B$2:$B$237,0)+ROWS($A$2:A69)-1))</x:f>
      </x:c>
      <x:c r="D69" t="str">
        <x:f>IF($B69="","",--(COUNTIFS(Votaciones!$A$2:$A$336,$B69,Votaciones!$B$2:$B$336,Explorador_Integrantes!$X$2,Votaciones!$D$2:$D$336,"Disenso restrictivo")&gt;0))</x:f>
      </x:c>
      <x:c r="E69" t="str">
        <x:f>IF($B69="","",--(COUNTIFS(Votaciones!$A$2:$A$336,$B69,Votaciones!$B$2:$B$336,Explorador_Integrantes!$X$2,Votaciones!$D$2:$D$336,"Disenso acomodaticio")&gt;0))</x:f>
      </x:c>
    </x:row>
    <x:row r="70">
      <x:c r="A70" s="112" t="str" cm="1">
        <x:f t="array" ref="A70">IF(ROWS($A$2:A70)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70)-1),"")</x:f>
      </x:c>
      <x:c r="B70" t="str" cm="1">
        <x:f t="array" ref="B70">IF($A70="","",INDEX(Decisiones!$A$2:$A$237,MATCH(INDEX(Explorador_Integrantes!$GO$2:$GO$30,MATCH(Explorador_Integrantes!$X$2,Explorador_Integrantes!$GN$2:$GN$30,0)),Decisiones!$B$2:$B$237,0)+ROWS($A$2:A70)-1))</x:f>
      </x:c>
      <x:c r="C70" t="str" cm="1">
        <x:f t="array" ref="C70">IF($A70="","",INDEX(Decisiones!$H$2:$H$237,MATCH(INDEX(Explorador_Integrantes!$GO$2:$GO$30,MATCH(Explorador_Integrantes!$X$2,Explorador_Integrantes!$GN$2:$GN$30,0)),Decisiones!$B$2:$B$237,0)+ROWS($A$2:A70)-1))</x:f>
      </x:c>
      <x:c r="D70" t="str">
        <x:f>IF($B70="","",--(COUNTIFS(Votaciones!$A$2:$A$336,$B70,Votaciones!$B$2:$B$336,Explorador_Integrantes!$X$2,Votaciones!$D$2:$D$336,"Disenso restrictivo")&gt;0))</x:f>
      </x:c>
      <x:c r="E70" t="str">
        <x:f>IF($B70="","",--(COUNTIFS(Votaciones!$A$2:$A$336,$B70,Votaciones!$B$2:$B$336,Explorador_Integrantes!$X$2,Votaciones!$D$2:$D$336,"Disenso acomodaticio")&gt;0))</x:f>
      </x:c>
    </x:row>
    <x:row r="71">
      <x:c r="A71" s="112" t="str" cm="1">
        <x:f t="array" ref="A71">IF(ROWS($A$2:A71)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71)-1),"")</x:f>
      </x:c>
      <x:c r="B71" t="str" cm="1">
        <x:f t="array" ref="B71">IF($A71="","",INDEX(Decisiones!$A$2:$A$237,MATCH(INDEX(Explorador_Integrantes!$GO$2:$GO$30,MATCH(Explorador_Integrantes!$X$2,Explorador_Integrantes!$GN$2:$GN$30,0)),Decisiones!$B$2:$B$237,0)+ROWS($A$2:A71)-1))</x:f>
      </x:c>
      <x:c r="C71" t="str" cm="1">
        <x:f t="array" ref="C71">IF($A71="","",INDEX(Decisiones!$H$2:$H$237,MATCH(INDEX(Explorador_Integrantes!$GO$2:$GO$30,MATCH(Explorador_Integrantes!$X$2,Explorador_Integrantes!$GN$2:$GN$30,0)),Decisiones!$B$2:$B$237,0)+ROWS($A$2:A71)-1))</x:f>
      </x:c>
      <x:c r="D71" t="str">
        <x:f>IF($B71="","",--(COUNTIFS(Votaciones!$A$2:$A$336,$B71,Votaciones!$B$2:$B$336,Explorador_Integrantes!$X$2,Votaciones!$D$2:$D$336,"Disenso restrictivo")&gt;0))</x:f>
      </x:c>
      <x:c r="E71" t="str">
        <x:f>IF($B71="","",--(COUNTIFS(Votaciones!$A$2:$A$336,$B71,Votaciones!$B$2:$B$336,Explorador_Integrantes!$X$2,Votaciones!$D$2:$D$336,"Disenso acomodaticio")&gt;0))</x:f>
      </x:c>
    </x:row>
    <x:row r="72">
      <x:c r="A72" s="112" t="str" cm="1">
        <x:f t="array" ref="A72">IF(ROWS($A$2:A72)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72)-1),"")</x:f>
      </x:c>
      <x:c r="B72" t="str" cm="1">
        <x:f t="array" ref="B72">IF($A72="","",INDEX(Decisiones!$A$2:$A$237,MATCH(INDEX(Explorador_Integrantes!$GO$2:$GO$30,MATCH(Explorador_Integrantes!$X$2,Explorador_Integrantes!$GN$2:$GN$30,0)),Decisiones!$B$2:$B$237,0)+ROWS($A$2:A72)-1))</x:f>
      </x:c>
      <x:c r="C72" t="str" cm="1">
        <x:f t="array" ref="C72">IF($A72="","",INDEX(Decisiones!$H$2:$H$237,MATCH(INDEX(Explorador_Integrantes!$GO$2:$GO$30,MATCH(Explorador_Integrantes!$X$2,Explorador_Integrantes!$GN$2:$GN$30,0)),Decisiones!$B$2:$B$237,0)+ROWS($A$2:A72)-1))</x:f>
      </x:c>
      <x:c r="D72" t="str">
        <x:f>IF($B72="","",--(COUNTIFS(Votaciones!$A$2:$A$336,$B72,Votaciones!$B$2:$B$336,Explorador_Integrantes!$X$2,Votaciones!$D$2:$D$336,"Disenso restrictivo")&gt;0))</x:f>
      </x:c>
      <x:c r="E72" t="str">
        <x:f>IF($B72="","",--(COUNTIFS(Votaciones!$A$2:$A$336,$B72,Votaciones!$B$2:$B$336,Explorador_Integrantes!$X$2,Votaciones!$D$2:$D$336,"Disenso acomodaticio")&gt;0))</x:f>
      </x:c>
    </x:row>
    <x:row r="73">
      <x:c r="A73" s="112" t="str" cm="1">
        <x:f t="array" ref="A73">IF(ROWS($A$2:A73)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73)-1),"")</x:f>
      </x:c>
      <x:c r="B73" t="str" cm="1">
        <x:f t="array" ref="B73">IF($A73="","",INDEX(Decisiones!$A$2:$A$237,MATCH(INDEX(Explorador_Integrantes!$GO$2:$GO$30,MATCH(Explorador_Integrantes!$X$2,Explorador_Integrantes!$GN$2:$GN$30,0)),Decisiones!$B$2:$B$237,0)+ROWS($A$2:A73)-1))</x:f>
      </x:c>
      <x:c r="C73" t="str" cm="1">
        <x:f t="array" ref="C73">IF($A73="","",INDEX(Decisiones!$H$2:$H$237,MATCH(INDEX(Explorador_Integrantes!$GO$2:$GO$30,MATCH(Explorador_Integrantes!$X$2,Explorador_Integrantes!$GN$2:$GN$30,0)),Decisiones!$B$2:$B$237,0)+ROWS($A$2:A73)-1))</x:f>
      </x:c>
      <x:c r="D73" t="str">
        <x:f>IF($B73="","",--(COUNTIFS(Votaciones!$A$2:$A$336,$B73,Votaciones!$B$2:$B$336,Explorador_Integrantes!$X$2,Votaciones!$D$2:$D$336,"Disenso restrictivo")&gt;0))</x:f>
      </x:c>
      <x:c r="E73" t="str">
        <x:f>IF($B73="","",--(COUNTIFS(Votaciones!$A$2:$A$336,$B73,Votaciones!$B$2:$B$336,Explorador_Integrantes!$X$2,Votaciones!$D$2:$D$336,"Disenso acomodaticio")&gt;0))</x:f>
      </x:c>
    </x:row>
    <x:row r="74">
      <x:c r="A74" s="112" t="str" cm="1">
        <x:f t="array" ref="A74">IF(ROWS($A$2:A74)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74)-1),"")</x:f>
      </x:c>
      <x:c r="B74" t="str" cm="1">
        <x:f t="array" ref="B74">IF($A74="","",INDEX(Decisiones!$A$2:$A$237,MATCH(INDEX(Explorador_Integrantes!$GO$2:$GO$30,MATCH(Explorador_Integrantes!$X$2,Explorador_Integrantes!$GN$2:$GN$30,0)),Decisiones!$B$2:$B$237,0)+ROWS($A$2:A74)-1))</x:f>
      </x:c>
      <x:c r="C74" t="str" cm="1">
        <x:f t="array" ref="C74">IF($A74="","",INDEX(Decisiones!$H$2:$H$237,MATCH(INDEX(Explorador_Integrantes!$GO$2:$GO$30,MATCH(Explorador_Integrantes!$X$2,Explorador_Integrantes!$GN$2:$GN$30,0)),Decisiones!$B$2:$B$237,0)+ROWS($A$2:A74)-1))</x:f>
      </x:c>
      <x:c r="D74" t="str">
        <x:f>IF($B74="","",--(COUNTIFS(Votaciones!$A$2:$A$336,$B74,Votaciones!$B$2:$B$336,Explorador_Integrantes!$X$2,Votaciones!$D$2:$D$336,"Disenso restrictivo")&gt;0))</x:f>
      </x:c>
      <x:c r="E74" t="str">
        <x:f>IF($B74="","",--(COUNTIFS(Votaciones!$A$2:$A$336,$B74,Votaciones!$B$2:$B$336,Explorador_Integrantes!$X$2,Votaciones!$D$2:$D$336,"Disenso acomodaticio")&gt;0))</x:f>
      </x:c>
    </x:row>
    <x:row r="75">
      <x:c r="A75" s="112" t="str" cm="1">
        <x:f t="array" ref="A75">IF(ROWS($A$2:A75)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75)-1),"")</x:f>
      </x:c>
      <x:c r="B75" t="str" cm="1">
        <x:f t="array" ref="B75">IF($A75="","",INDEX(Decisiones!$A$2:$A$237,MATCH(INDEX(Explorador_Integrantes!$GO$2:$GO$30,MATCH(Explorador_Integrantes!$X$2,Explorador_Integrantes!$GN$2:$GN$30,0)),Decisiones!$B$2:$B$237,0)+ROWS($A$2:A75)-1))</x:f>
      </x:c>
      <x:c r="C75" t="str" cm="1">
        <x:f t="array" ref="C75">IF($A75="","",INDEX(Decisiones!$H$2:$H$237,MATCH(INDEX(Explorador_Integrantes!$GO$2:$GO$30,MATCH(Explorador_Integrantes!$X$2,Explorador_Integrantes!$GN$2:$GN$30,0)),Decisiones!$B$2:$B$237,0)+ROWS($A$2:A75)-1))</x:f>
      </x:c>
      <x:c r="D75" t="str">
        <x:f>IF($B75="","",--(COUNTIFS(Votaciones!$A$2:$A$336,$B75,Votaciones!$B$2:$B$336,Explorador_Integrantes!$X$2,Votaciones!$D$2:$D$336,"Disenso restrictivo")&gt;0))</x:f>
      </x:c>
      <x:c r="E75" t="str">
        <x:f>IF($B75="","",--(COUNTIFS(Votaciones!$A$2:$A$336,$B75,Votaciones!$B$2:$B$336,Explorador_Integrantes!$X$2,Votaciones!$D$2:$D$336,"Disenso acomodaticio")&gt;0))</x:f>
      </x:c>
    </x:row>
    <x:row r="76">
      <x:c r="A76" s="112" t="str" cm="1">
        <x:f t="array" ref="A76">IF(ROWS($A$2:A76)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76)-1),"")</x:f>
      </x:c>
      <x:c r="B76" t="str" cm="1">
        <x:f t="array" ref="B76">IF($A76="","",INDEX(Decisiones!$A$2:$A$237,MATCH(INDEX(Explorador_Integrantes!$GO$2:$GO$30,MATCH(Explorador_Integrantes!$X$2,Explorador_Integrantes!$GN$2:$GN$30,0)),Decisiones!$B$2:$B$237,0)+ROWS($A$2:A76)-1))</x:f>
      </x:c>
      <x:c r="C76" t="str" cm="1">
        <x:f t="array" ref="C76">IF($A76="","",INDEX(Decisiones!$H$2:$H$237,MATCH(INDEX(Explorador_Integrantes!$GO$2:$GO$30,MATCH(Explorador_Integrantes!$X$2,Explorador_Integrantes!$GN$2:$GN$30,0)),Decisiones!$B$2:$B$237,0)+ROWS($A$2:A76)-1))</x:f>
      </x:c>
      <x:c r="D76" t="str">
        <x:f>IF($B76="","",--(COUNTIFS(Votaciones!$A$2:$A$336,$B76,Votaciones!$B$2:$B$336,Explorador_Integrantes!$X$2,Votaciones!$D$2:$D$336,"Disenso restrictivo")&gt;0))</x:f>
      </x:c>
      <x:c r="E76" t="str">
        <x:f>IF($B76="","",--(COUNTIFS(Votaciones!$A$2:$A$336,$B76,Votaciones!$B$2:$B$336,Explorador_Integrantes!$X$2,Votaciones!$D$2:$D$336,"Disenso acomodaticio")&gt;0))</x:f>
      </x:c>
    </x:row>
    <x:row r="77">
      <x:c r="A77" s="112" t="str" cm="1">
        <x:f t="array" ref="A77">IF(ROWS($A$2:A77)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77)-1),"")</x:f>
      </x:c>
      <x:c r="B77" t="str" cm="1">
        <x:f t="array" ref="B77">IF($A77="","",INDEX(Decisiones!$A$2:$A$237,MATCH(INDEX(Explorador_Integrantes!$GO$2:$GO$30,MATCH(Explorador_Integrantes!$X$2,Explorador_Integrantes!$GN$2:$GN$30,0)),Decisiones!$B$2:$B$237,0)+ROWS($A$2:A77)-1))</x:f>
      </x:c>
      <x:c r="C77" t="str" cm="1">
        <x:f t="array" ref="C77">IF($A77="","",INDEX(Decisiones!$H$2:$H$237,MATCH(INDEX(Explorador_Integrantes!$GO$2:$GO$30,MATCH(Explorador_Integrantes!$X$2,Explorador_Integrantes!$GN$2:$GN$30,0)),Decisiones!$B$2:$B$237,0)+ROWS($A$2:A77)-1))</x:f>
      </x:c>
      <x:c r="D77" t="str">
        <x:f>IF($B77="","",--(COUNTIFS(Votaciones!$A$2:$A$336,$B77,Votaciones!$B$2:$B$336,Explorador_Integrantes!$X$2,Votaciones!$D$2:$D$336,"Disenso restrictivo")&gt;0))</x:f>
      </x:c>
      <x:c r="E77" t="str">
        <x:f>IF($B77="","",--(COUNTIFS(Votaciones!$A$2:$A$336,$B77,Votaciones!$B$2:$B$336,Explorador_Integrantes!$X$2,Votaciones!$D$2:$D$336,"Disenso acomodaticio")&gt;0))</x:f>
      </x:c>
    </x:row>
    <x:row r="78">
      <x:c r="A78" s="112" t="str" cm="1">
        <x:f t="array" ref="A78">IF(ROWS($A$2:A78)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78)-1),"")</x:f>
      </x:c>
      <x:c r="B78" t="str" cm="1">
        <x:f t="array" ref="B78">IF($A78="","",INDEX(Decisiones!$A$2:$A$237,MATCH(INDEX(Explorador_Integrantes!$GO$2:$GO$30,MATCH(Explorador_Integrantes!$X$2,Explorador_Integrantes!$GN$2:$GN$30,0)),Decisiones!$B$2:$B$237,0)+ROWS($A$2:A78)-1))</x:f>
      </x:c>
      <x:c r="C78" t="str" cm="1">
        <x:f t="array" ref="C78">IF($A78="","",INDEX(Decisiones!$H$2:$H$237,MATCH(INDEX(Explorador_Integrantes!$GO$2:$GO$30,MATCH(Explorador_Integrantes!$X$2,Explorador_Integrantes!$GN$2:$GN$30,0)),Decisiones!$B$2:$B$237,0)+ROWS($A$2:A78)-1))</x:f>
      </x:c>
      <x:c r="D78" t="str">
        <x:f>IF($B78="","",--(COUNTIFS(Votaciones!$A$2:$A$336,$B78,Votaciones!$B$2:$B$336,Explorador_Integrantes!$X$2,Votaciones!$D$2:$D$336,"Disenso restrictivo")&gt;0))</x:f>
      </x:c>
      <x:c r="E78" t="str">
        <x:f>IF($B78="","",--(COUNTIFS(Votaciones!$A$2:$A$336,$B78,Votaciones!$B$2:$B$336,Explorador_Integrantes!$X$2,Votaciones!$D$2:$D$336,"Disenso acomodaticio")&gt;0))</x:f>
      </x:c>
    </x:row>
    <x:row r="79">
      <x:c r="A79" s="112" t="str" cm="1">
        <x:f t="array" ref="A79">IF(ROWS($A$2:A79)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79)-1),"")</x:f>
      </x:c>
      <x:c r="B79" t="str" cm="1">
        <x:f t="array" ref="B79">IF($A79="","",INDEX(Decisiones!$A$2:$A$237,MATCH(INDEX(Explorador_Integrantes!$GO$2:$GO$30,MATCH(Explorador_Integrantes!$X$2,Explorador_Integrantes!$GN$2:$GN$30,0)),Decisiones!$B$2:$B$237,0)+ROWS($A$2:A79)-1))</x:f>
      </x:c>
      <x:c r="C79" t="str" cm="1">
        <x:f t="array" ref="C79">IF($A79="","",INDEX(Decisiones!$H$2:$H$237,MATCH(INDEX(Explorador_Integrantes!$GO$2:$GO$30,MATCH(Explorador_Integrantes!$X$2,Explorador_Integrantes!$GN$2:$GN$30,0)),Decisiones!$B$2:$B$237,0)+ROWS($A$2:A79)-1))</x:f>
      </x:c>
      <x:c r="D79" t="str">
        <x:f>IF($B79="","",--(COUNTIFS(Votaciones!$A$2:$A$336,$B79,Votaciones!$B$2:$B$336,Explorador_Integrantes!$X$2,Votaciones!$D$2:$D$336,"Disenso restrictivo")&gt;0))</x:f>
      </x:c>
      <x:c r="E79" t="str">
        <x:f>IF($B79="","",--(COUNTIFS(Votaciones!$A$2:$A$336,$B79,Votaciones!$B$2:$B$336,Explorador_Integrantes!$X$2,Votaciones!$D$2:$D$336,"Disenso acomodaticio")&gt;0))</x:f>
      </x:c>
    </x:row>
    <x:row r="80">
      <x:c r="A80" s="112" t="str" cm="1">
        <x:f t="array" ref="A80">IF(ROWS($A$2:A80)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80)-1),"")</x:f>
      </x:c>
      <x:c r="B80" t="str" cm="1">
        <x:f t="array" ref="B80">IF($A80="","",INDEX(Decisiones!$A$2:$A$237,MATCH(INDEX(Explorador_Integrantes!$GO$2:$GO$30,MATCH(Explorador_Integrantes!$X$2,Explorador_Integrantes!$GN$2:$GN$30,0)),Decisiones!$B$2:$B$237,0)+ROWS($A$2:A80)-1))</x:f>
      </x:c>
      <x:c r="C80" t="str" cm="1">
        <x:f t="array" ref="C80">IF($A80="","",INDEX(Decisiones!$H$2:$H$237,MATCH(INDEX(Explorador_Integrantes!$GO$2:$GO$30,MATCH(Explorador_Integrantes!$X$2,Explorador_Integrantes!$GN$2:$GN$30,0)),Decisiones!$B$2:$B$237,0)+ROWS($A$2:A80)-1))</x:f>
      </x:c>
      <x:c r="D80" t="str">
        <x:f>IF($B80="","",--(COUNTIFS(Votaciones!$A$2:$A$336,$B80,Votaciones!$B$2:$B$336,Explorador_Integrantes!$X$2,Votaciones!$D$2:$D$336,"Disenso restrictivo")&gt;0))</x:f>
      </x:c>
      <x:c r="E80" t="str">
        <x:f>IF($B80="","",--(COUNTIFS(Votaciones!$A$2:$A$336,$B80,Votaciones!$B$2:$B$336,Explorador_Integrantes!$X$2,Votaciones!$D$2:$D$336,"Disenso acomodaticio")&gt;0))</x:f>
      </x:c>
    </x:row>
    <x:row r="81">
      <x:c r="A81" s="112" t="str" cm="1">
        <x:f t="array" ref="A81">IF(ROWS($A$2:A81)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81)-1),"")</x:f>
      </x:c>
      <x:c r="B81" t="str" cm="1">
        <x:f t="array" ref="B81">IF($A81="","",INDEX(Decisiones!$A$2:$A$237,MATCH(INDEX(Explorador_Integrantes!$GO$2:$GO$30,MATCH(Explorador_Integrantes!$X$2,Explorador_Integrantes!$GN$2:$GN$30,0)),Decisiones!$B$2:$B$237,0)+ROWS($A$2:A81)-1))</x:f>
      </x:c>
      <x:c r="C81" t="str" cm="1">
        <x:f t="array" ref="C81">IF($A81="","",INDEX(Decisiones!$H$2:$H$237,MATCH(INDEX(Explorador_Integrantes!$GO$2:$GO$30,MATCH(Explorador_Integrantes!$X$2,Explorador_Integrantes!$GN$2:$GN$30,0)),Decisiones!$B$2:$B$237,0)+ROWS($A$2:A81)-1))</x:f>
      </x:c>
      <x:c r="D81" t="str">
        <x:f>IF($B81="","",--(COUNTIFS(Votaciones!$A$2:$A$336,$B81,Votaciones!$B$2:$B$336,Explorador_Integrantes!$X$2,Votaciones!$D$2:$D$336,"Disenso restrictivo")&gt;0))</x:f>
      </x:c>
      <x:c r="E81" t="str">
        <x:f>IF($B81="","",--(COUNTIFS(Votaciones!$A$2:$A$336,$B81,Votaciones!$B$2:$B$336,Explorador_Integrantes!$X$2,Votaciones!$D$2:$D$336,"Disenso acomodaticio")&gt;0))</x:f>
      </x:c>
    </x:row>
    <x:row r="82">
      <x:c r="A82" s="112" t="str" cm="1">
        <x:f t="array" ref="A82">IF(ROWS($A$2:A82)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82)-1),"")</x:f>
      </x:c>
      <x:c r="B82" t="str" cm="1">
        <x:f t="array" ref="B82">IF($A82="","",INDEX(Decisiones!$A$2:$A$237,MATCH(INDEX(Explorador_Integrantes!$GO$2:$GO$30,MATCH(Explorador_Integrantes!$X$2,Explorador_Integrantes!$GN$2:$GN$30,0)),Decisiones!$B$2:$B$237,0)+ROWS($A$2:A82)-1))</x:f>
      </x:c>
      <x:c r="C82" t="str" cm="1">
        <x:f t="array" ref="C82">IF($A82="","",INDEX(Decisiones!$H$2:$H$237,MATCH(INDEX(Explorador_Integrantes!$GO$2:$GO$30,MATCH(Explorador_Integrantes!$X$2,Explorador_Integrantes!$GN$2:$GN$30,0)),Decisiones!$B$2:$B$237,0)+ROWS($A$2:A82)-1))</x:f>
      </x:c>
      <x:c r="D82" t="str">
        <x:f>IF($B82="","",--(COUNTIFS(Votaciones!$A$2:$A$336,$B82,Votaciones!$B$2:$B$336,Explorador_Integrantes!$X$2,Votaciones!$D$2:$D$336,"Disenso restrictivo")&gt;0))</x:f>
      </x:c>
      <x:c r="E82" t="str">
        <x:f>IF($B82="","",--(COUNTIFS(Votaciones!$A$2:$A$336,$B82,Votaciones!$B$2:$B$336,Explorador_Integrantes!$X$2,Votaciones!$D$2:$D$336,"Disenso acomodaticio")&gt;0))</x:f>
      </x:c>
    </x:row>
    <x:row r="83">
      <x:c r="A83" s="112" t="str" cm="1">
        <x:f t="array" ref="A83">IF(ROWS($A$2:A83)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83)-1),"")</x:f>
      </x:c>
      <x:c r="B83" t="str" cm="1">
        <x:f t="array" ref="B83">IF($A83="","",INDEX(Decisiones!$A$2:$A$237,MATCH(INDEX(Explorador_Integrantes!$GO$2:$GO$30,MATCH(Explorador_Integrantes!$X$2,Explorador_Integrantes!$GN$2:$GN$30,0)),Decisiones!$B$2:$B$237,0)+ROWS($A$2:A83)-1))</x:f>
      </x:c>
      <x:c r="C83" t="str" cm="1">
        <x:f t="array" ref="C83">IF($A83="","",INDEX(Decisiones!$H$2:$H$237,MATCH(INDEX(Explorador_Integrantes!$GO$2:$GO$30,MATCH(Explorador_Integrantes!$X$2,Explorador_Integrantes!$GN$2:$GN$30,0)),Decisiones!$B$2:$B$237,0)+ROWS($A$2:A83)-1))</x:f>
      </x:c>
      <x:c r="D83" t="str">
        <x:f>IF($B83="","",--(COUNTIFS(Votaciones!$A$2:$A$336,$B83,Votaciones!$B$2:$B$336,Explorador_Integrantes!$X$2,Votaciones!$D$2:$D$336,"Disenso restrictivo")&gt;0))</x:f>
      </x:c>
      <x:c r="E83" t="str">
        <x:f>IF($B83="","",--(COUNTIFS(Votaciones!$A$2:$A$336,$B83,Votaciones!$B$2:$B$336,Explorador_Integrantes!$X$2,Votaciones!$D$2:$D$336,"Disenso acomodaticio")&gt;0))</x:f>
      </x:c>
    </x:row>
    <x:row r="84">
      <x:c r="A84" s="112" t="str" cm="1">
        <x:f t="array" ref="A84">IF(ROWS($A$2:A84)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84)-1),"")</x:f>
      </x:c>
      <x:c r="B84" t="str" cm="1">
        <x:f t="array" ref="B84">IF($A84="","",INDEX(Decisiones!$A$2:$A$237,MATCH(INDEX(Explorador_Integrantes!$GO$2:$GO$30,MATCH(Explorador_Integrantes!$X$2,Explorador_Integrantes!$GN$2:$GN$30,0)),Decisiones!$B$2:$B$237,0)+ROWS($A$2:A84)-1))</x:f>
      </x:c>
      <x:c r="C84" t="str" cm="1">
        <x:f t="array" ref="C84">IF($A84="","",INDEX(Decisiones!$H$2:$H$237,MATCH(INDEX(Explorador_Integrantes!$GO$2:$GO$30,MATCH(Explorador_Integrantes!$X$2,Explorador_Integrantes!$GN$2:$GN$30,0)),Decisiones!$B$2:$B$237,0)+ROWS($A$2:A84)-1))</x:f>
      </x:c>
      <x:c r="D84" t="str">
        <x:f>IF($B84="","",--(COUNTIFS(Votaciones!$A$2:$A$336,$B84,Votaciones!$B$2:$B$336,Explorador_Integrantes!$X$2,Votaciones!$D$2:$D$336,"Disenso restrictivo")&gt;0))</x:f>
      </x:c>
      <x:c r="E84" t="str">
        <x:f>IF($B84="","",--(COUNTIFS(Votaciones!$A$2:$A$336,$B84,Votaciones!$B$2:$B$336,Explorador_Integrantes!$X$2,Votaciones!$D$2:$D$336,"Disenso acomodaticio")&gt;0))</x:f>
      </x:c>
    </x:row>
    <x:row r="85">
      <x:c r="A85" s="112" t="str" cm="1">
        <x:f t="array" ref="A85">IF(ROWS($A$2:A85)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85)-1),"")</x:f>
      </x:c>
      <x:c r="B85" t="str" cm="1">
        <x:f t="array" ref="B85">IF($A85="","",INDEX(Decisiones!$A$2:$A$237,MATCH(INDEX(Explorador_Integrantes!$GO$2:$GO$30,MATCH(Explorador_Integrantes!$X$2,Explorador_Integrantes!$GN$2:$GN$30,0)),Decisiones!$B$2:$B$237,0)+ROWS($A$2:A85)-1))</x:f>
      </x:c>
      <x:c r="C85" t="str" cm="1">
        <x:f t="array" ref="C85">IF($A85="","",INDEX(Decisiones!$H$2:$H$237,MATCH(INDEX(Explorador_Integrantes!$GO$2:$GO$30,MATCH(Explorador_Integrantes!$X$2,Explorador_Integrantes!$GN$2:$GN$30,0)),Decisiones!$B$2:$B$237,0)+ROWS($A$2:A85)-1))</x:f>
      </x:c>
      <x:c r="D85" t="str">
        <x:f>IF($B85="","",--(COUNTIFS(Votaciones!$A$2:$A$336,$B85,Votaciones!$B$2:$B$336,Explorador_Integrantes!$X$2,Votaciones!$D$2:$D$336,"Disenso restrictivo")&gt;0))</x:f>
      </x:c>
      <x:c r="E85" t="str">
        <x:f>IF($B85="","",--(COUNTIFS(Votaciones!$A$2:$A$336,$B85,Votaciones!$B$2:$B$336,Explorador_Integrantes!$X$2,Votaciones!$D$2:$D$336,"Disenso acomodaticio")&gt;0))</x:f>
      </x:c>
    </x:row>
    <x:row r="86">
      <x:c r="A86" s="112" t="str" cm="1">
        <x:f t="array" ref="A86">IF(ROWS($A$2:A86)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86)-1),"")</x:f>
      </x:c>
      <x:c r="B86" t="str" cm="1">
        <x:f t="array" ref="B86">IF($A86="","",INDEX(Decisiones!$A$2:$A$237,MATCH(INDEX(Explorador_Integrantes!$GO$2:$GO$30,MATCH(Explorador_Integrantes!$X$2,Explorador_Integrantes!$GN$2:$GN$30,0)),Decisiones!$B$2:$B$237,0)+ROWS($A$2:A86)-1))</x:f>
      </x:c>
      <x:c r="C86" t="str" cm="1">
        <x:f t="array" ref="C86">IF($A86="","",INDEX(Decisiones!$H$2:$H$237,MATCH(INDEX(Explorador_Integrantes!$GO$2:$GO$30,MATCH(Explorador_Integrantes!$X$2,Explorador_Integrantes!$GN$2:$GN$30,0)),Decisiones!$B$2:$B$237,0)+ROWS($A$2:A86)-1))</x:f>
      </x:c>
      <x:c r="D86" t="str">
        <x:f>IF($B86="","",--(COUNTIFS(Votaciones!$A$2:$A$336,$B86,Votaciones!$B$2:$B$336,Explorador_Integrantes!$X$2,Votaciones!$D$2:$D$336,"Disenso restrictivo")&gt;0))</x:f>
      </x:c>
      <x:c r="E86" t="str">
        <x:f>IF($B86="","",--(COUNTIFS(Votaciones!$A$2:$A$336,$B86,Votaciones!$B$2:$B$336,Explorador_Integrantes!$X$2,Votaciones!$D$2:$D$336,"Disenso acomodaticio")&gt;0))</x:f>
      </x:c>
    </x:row>
    <x:row r="87">
      <x:c r="A87" s="112" t="str" cm="1">
        <x:f t="array" ref="A87">IF(ROWS($A$2:A87)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87)-1),"")</x:f>
      </x:c>
      <x:c r="B87" t="str" cm="1">
        <x:f t="array" ref="B87">IF($A87="","",INDEX(Decisiones!$A$2:$A$237,MATCH(INDEX(Explorador_Integrantes!$GO$2:$GO$30,MATCH(Explorador_Integrantes!$X$2,Explorador_Integrantes!$GN$2:$GN$30,0)),Decisiones!$B$2:$B$237,0)+ROWS($A$2:A87)-1))</x:f>
      </x:c>
      <x:c r="C87" t="str" cm="1">
        <x:f t="array" ref="C87">IF($A87="","",INDEX(Decisiones!$H$2:$H$237,MATCH(INDEX(Explorador_Integrantes!$GO$2:$GO$30,MATCH(Explorador_Integrantes!$X$2,Explorador_Integrantes!$GN$2:$GN$30,0)),Decisiones!$B$2:$B$237,0)+ROWS($A$2:A87)-1))</x:f>
      </x:c>
      <x:c r="D87" t="str">
        <x:f>IF($B87="","",--(COUNTIFS(Votaciones!$A$2:$A$336,$B87,Votaciones!$B$2:$B$336,Explorador_Integrantes!$X$2,Votaciones!$D$2:$D$336,"Disenso restrictivo")&gt;0))</x:f>
      </x:c>
      <x:c r="E87" t="str">
        <x:f>IF($B87="","",--(COUNTIFS(Votaciones!$A$2:$A$336,$B87,Votaciones!$B$2:$B$336,Explorador_Integrantes!$X$2,Votaciones!$D$2:$D$336,"Disenso acomodaticio")&gt;0))</x:f>
      </x:c>
    </x:row>
    <x:row r="88">
      <x:c r="A88" s="112" t="str" cm="1">
        <x:f t="array" ref="A88">IF(ROWS($A$2:A88)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88)-1),"")</x:f>
      </x:c>
      <x:c r="B88" t="str" cm="1">
        <x:f t="array" ref="B88">IF($A88="","",INDEX(Decisiones!$A$2:$A$237,MATCH(INDEX(Explorador_Integrantes!$GO$2:$GO$30,MATCH(Explorador_Integrantes!$X$2,Explorador_Integrantes!$GN$2:$GN$30,0)),Decisiones!$B$2:$B$237,0)+ROWS($A$2:A88)-1))</x:f>
      </x:c>
      <x:c r="C88" t="str" cm="1">
        <x:f t="array" ref="C88">IF($A88="","",INDEX(Decisiones!$H$2:$H$237,MATCH(INDEX(Explorador_Integrantes!$GO$2:$GO$30,MATCH(Explorador_Integrantes!$X$2,Explorador_Integrantes!$GN$2:$GN$30,0)),Decisiones!$B$2:$B$237,0)+ROWS($A$2:A88)-1))</x:f>
      </x:c>
      <x:c r="D88" t="str">
        <x:f>IF($B88="","",--(COUNTIFS(Votaciones!$A$2:$A$336,$B88,Votaciones!$B$2:$B$336,Explorador_Integrantes!$X$2,Votaciones!$D$2:$D$336,"Disenso restrictivo")&gt;0))</x:f>
      </x:c>
      <x:c r="E88" t="str">
        <x:f>IF($B88="","",--(COUNTIFS(Votaciones!$A$2:$A$336,$B88,Votaciones!$B$2:$B$336,Explorador_Integrantes!$X$2,Votaciones!$D$2:$D$336,"Disenso acomodaticio")&gt;0))</x:f>
      </x:c>
    </x:row>
    <x:row r="89">
      <x:c r="A89" s="112" t="str" cm="1">
        <x:f t="array" ref="A89">IF(ROWS($A$2:A89)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89)-1),"")</x:f>
      </x:c>
      <x:c r="B89" t="str" cm="1">
        <x:f t="array" ref="B89">IF($A89="","",INDEX(Decisiones!$A$2:$A$237,MATCH(INDEX(Explorador_Integrantes!$GO$2:$GO$30,MATCH(Explorador_Integrantes!$X$2,Explorador_Integrantes!$GN$2:$GN$30,0)),Decisiones!$B$2:$B$237,0)+ROWS($A$2:A89)-1))</x:f>
      </x:c>
      <x:c r="C89" t="str" cm="1">
        <x:f t="array" ref="C89">IF($A89="","",INDEX(Decisiones!$H$2:$H$237,MATCH(INDEX(Explorador_Integrantes!$GO$2:$GO$30,MATCH(Explorador_Integrantes!$X$2,Explorador_Integrantes!$GN$2:$GN$30,0)),Decisiones!$B$2:$B$237,0)+ROWS($A$2:A89)-1))</x:f>
      </x:c>
      <x:c r="D89" t="str">
        <x:f>IF($B89="","",--(COUNTIFS(Votaciones!$A$2:$A$336,$B89,Votaciones!$B$2:$B$336,Explorador_Integrantes!$X$2,Votaciones!$D$2:$D$336,"Disenso restrictivo")&gt;0))</x:f>
      </x:c>
      <x:c r="E89" t="str">
        <x:f>IF($B89="","",--(COUNTIFS(Votaciones!$A$2:$A$336,$B89,Votaciones!$B$2:$B$336,Explorador_Integrantes!$X$2,Votaciones!$D$2:$D$336,"Disenso acomodaticio")&gt;0))</x:f>
      </x:c>
    </x:row>
    <x:row r="90">
      <x:c r="A90" s="112" t="str" cm="1">
        <x:f t="array" ref="A90">IF(ROWS($A$2:A90)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90)-1),"")</x:f>
      </x:c>
      <x:c r="B90" t="str" cm="1">
        <x:f t="array" ref="B90">IF($A90="","",INDEX(Decisiones!$A$2:$A$237,MATCH(INDEX(Explorador_Integrantes!$GO$2:$GO$30,MATCH(Explorador_Integrantes!$X$2,Explorador_Integrantes!$GN$2:$GN$30,0)),Decisiones!$B$2:$B$237,0)+ROWS($A$2:A90)-1))</x:f>
      </x:c>
      <x:c r="C90" t="str" cm="1">
        <x:f t="array" ref="C90">IF($A90="","",INDEX(Decisiones!$H$2:$H$237,MATCH(INDEX(Explorador_Integrantes!$GO$2:$GO$30,MATCH(Explorador_Integrantes!$X$2,Explorador_Integrantes!$GN$2:$GN$30,0)),Decisiones!$B$2:$B$237,0)+ROWS($A$2:A90)-1))</x:f>
      </x:c>
      <x:c r="D90" t="str">
        <x:f>IF($B90="","",--(COUNTIFS(Votaciones!$A$2:$A$336,$B90,Votaciones!$B$2:$B$336,Explorador_Integrantes!$X$2,Votaciones!$D$2:$D$336,"Disenso restrictivo")&gt;0))</x:f>
      </x:c>
      <x:c r="E90" t="str">
        <x:f>IF($B90="","",--(COUNTIFS(Votaciones!$A$2:$A$336,$B90,Votaciones!$B$2:$B$336,Explorador_Integrantes!$X$2,Votaciones!$D$2:$D$336,"Disenso acomodaticio")&gt;0))</x:f>
      </x:c>
    </x:row>
    <x:row r="91">
      <x:c r="A91" s="112" t="str" cm="1">
        <x:f t="array" ref="A91">IF(ROWS($A$2:A91)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91)-1),"")</x:f>
      </x:c>
      <x:c r="B91" t="str" cm="1">
        <x:f t="array" ref="B91">IF($A91="","",INDEX(Decisiones!$A$2:$A$237,MATCH(INDEX(Explorador_Integrantes!$GO$2:$GO$30,MATCH(Explorador_Integrantes!$X$2,Explorador_Integrantes!$GN$2:$GN$30,0)),Decisiones!$B$2:$B$237,0)+ROWS($A$2:A91)-1))</x:f>
      </x:c>
      <x:c r="C91" t="str" cm="1">
        <x:f t="array" ref="C91">IF($A91="","",INDEX(Decisiones!$H$2:$H$237,MATCH(INDEX(Explorador_Integrantes!$GO$2:$GO$30,MATCH(Explorador_Integrantes!$X$2,Explorador_Integrantes!$GN$2:$GN$30,0)),Decisiones!$B$2:$B$237,0)+ROWS($A$2:A91)-1))</x:f>
      </x:c>
      <x:c r="D91" t="str">
        <x:f>IF($B91="","",--(COUNTIFS(Votaciones!$A$2:$A$336,$B91,Votaciones!$B$2:$B$336,Explorador_Integrantes!$X$2,Votaciones!$D$2:$D$336,"Disenso restrictivo")&gt;0))</x:f>
      </x:c>
      <x:c r="E91" t="str">
        <x:f>IF($B91="","",--(COUNTIFS(Votaciones!$A$2:$A$336,$B91,Votaciones!$B$2:$B$336,Explorador_Integrantes!$X$2,Votaciones!$D$2:$D$336,"Disenso acomodaticio")&gt;0))</x:f>
      </x:c>
    </x:row>
    <x:row r="92">
      <x:c r="A92" s="112" t="str" cm="1">
        <x:f t="array" ref="A92">IF(ROWS($A$2:A92)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92)-1),"")</x:f>
      </x:c>
      <x:c r="B92" t="str" cm="1">
        <x:f t="array" ref="B92">IF($A92="","",INDEX(Decisiones!$A$2:$A$237,MATCH(INDEX(Explorador_Integrantes!$GO$2:$GO$30,MATCH(Explorador_Integrantes!$X$2,Explorador_Integrantes!$GN$2:$GN$30,0)),Decisiones!$B$2:$B$237,0)+ROWS($A$2:A92)-1))</x:f>
      </x:c>
      <x:c r="C92" t="str" cm="1">
        <x:f t="array" ref="C92">IF($A92="","",INDEX(Decisiones!$H$2:$H$237,MATCH(INDEX(Explorador_Integrantes!$GO$2:$GO$30,MATCH(Explorador_Integrantes!$X$2,Explorador_Integrantes!$GN$2:$GN$30,0)),Decisiones!$B$2:$B$237,0)+ROWS($A$2:A92)-1))</x:f>
      </x:c>
      <x:c r="D92" t="str">
        <x:f>IF($B92="","",--(COUNTIFS(Votaciones!$A$2:$A$336,$B92,Votaciones!$B$2:$B$336,Explorador_Integrantes!$X$2,Votaciones!$D$2:$D$336,"Disenso restrictivo")&gt;0))</x:f>
      </x:c>
      <x:c r="E92" t="str">
        <x:f>IF($B92="","",--(COUNTIFS(Votaciones!$A$2:$A$336,$B92,Votaciones!$B$2:$B$336,Explorador_Integrantes!$X$2,Votaciones!$D$2:$D$336,"Disenso acomodaticio")&gt;0))</x:f>
      </x:c>
    </x:row>
    <x:row r="93">
      <x:c r="A93" s="112" t="str" cm="1">
        <x:f t="array" ref="A93">IF(ROWS($A$2:A93)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93)-1),"")</x:f>
      </x:c>
      <x:c r="B93" t="str" cm="1">
        <x:f t="array" ref="B93">IF($A93="","",INDEX(Decisiones!$A$2:$A$237,MATCH(INDEX(Explorador_Integrantes!$GO$2:$GO$30,MATCH(Explorador_Integrantes!$X$2,Explorador_Integrantes!$GN$2:$GN$30,0)),Decisiones!$B$2:$B$237,0)+ROWS($A$2:A93)-1))</x:f>
      </x:c>
      <x:c r="C93" t="str" cm="1">
        <x:f t="array" ref="C93">IF($A93="","",INDEX(Decisiones!$H$2:$H$237,MATCH(INDEX(Explorador_Integrantes!$GO$2:$GO$30,MATCH(Explorador_Integrantes!$X$2,Explorador_Integrantes!$GN$2:$GN$30,0)),Decisiones!$B$2:$B$237,0)+ROWS($A$2:A93)-1))</x:f>
      </x:c>
      <x:c r="D93" t="str">
        <x:f>IF($B93="","",--(COUNTIFS(Votaciones!$A$2:$A$336,$B93,Votaciones!$B$2:$B$336,Explorador_Integrantes!$X$2,Votaciones!$D$2:$D$336,"Disenso restrictivo")&gt;0))</x:f>
      </x:c>
      <x:c r="E93" t="str">
        <x:f>IF($B93="","",--(COUNTIFS(Votaciones!$A$2:$A$336,$B93,Votaciones!$B$2:$B$336,Explorador_Integrantes!$X$2,Votaciones!$D$2:$D$336,"Disenso acomodaticio")&gt;0))</x:f>
      </x:c>
    </x:row>
    <x:row r="94">
      <x:c r="A94" s="112" t="str" cm="1">
        <x:f t="array" ref="A94">IF(ROWS($A$2:A94)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94)-1),"")</x:f>
      </x:c>
      <x:c r="B94" t="str" cm="1">
        <x:f t="array" ref="B94">IF($A94="","",INDEX(Decisiones!$A$2:$A$237,MATCH(INDEX(Explorador_Integrantes!$GO$2:$GO$30,MATCH(Explorador_Integrantes!$X$2,Explorador_Integrantes!$GN$2:$GN$30,0)),Decisiones!$B$2:$B$237,0)+ROWS($A$2:A94)-1))</x:f>
      </x:c>
      <x:c r="C94" t="str" cm="1">
        <x:f t="array" ref="C94">IF($A94="","",INDEX(Decisiones!$H$2:$H$237,MATCH(INDEX(Explorador_Integrantes!$GO$2:$GO$30,MATCH(Explorador_Integrantes!$X$2,Explorador_Integrantes!$GN$2:$GN$30,0)),Decisiones!$B$2:$B$237,0)+ROWS($A$2:A94)-1))</x:f>
      </x:c>
      <x:c r="D94" t="str">
        <x:f>IF($B94="","",--(COUNTIFS(Votaciones!$A$2:$A$336,$B94,Votaciones!$B$2:$B$336,Explorador_Integrantes!$X$2,Votaciones!$D$2:$D$336,"Disenso restrictivo")&gt;0))</x:f>
      </x:c>
      <x:c r="E94" t="str">
        <x:f>IF($B94="","",--(COUNTIFS(Votaciones!$A$2:$A$336,$B94,Votaciones!$B$2:$B$336,Explorador_Integrantes!$X$2,Votaciones!$D$2:$D$336,"Disenso acomodaticio")&gt;0))</x:f>
      </x:c>
    </x:row>
    <x:row r="95">
      <x:c r="A95" s="112" t="str" cm="1">
        <x:f t="array" ref="A95">IF(ROWS($A$2:A95)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95)-1),"")</x:f>
      </x:c>
      <x:c r="B95" t="str" cm="1">
        <x:f t="array" ref="B95">IF($A95="","",INDEX(Decisiones!$A$2:$A$237,MATCH(INDEX(Explorador_Integrantes!$GO$2:$GO$30,MATCH(Explorador_Integrantes!$X$2,Explorador_Integrantes!$GN$2:$GN$30,0)),Decisiones!$B$2:$B$237,0)+ROWS($A$2:A95)-1))</x:f>
      </x:c>
      <x:c r="C95" t="str" cm="1">
        <x:f t="array" ref="C95">IF($A95="","",INDEX(Decisiones!$H$2:$H$237,MATCH(INDEX(Explorador_Integrantes!$GO$2:$GO$30,MATCH(Explorador_Integrantes!$X$2,Explorador_Integrantes!$GN$2:$GN$30,0)),Decisiones!$B$2:$B$237,0)+ROWS($A$2:A95)-1))</x:f>
      </x:c>
      <x:c r="D95" t="str">
        <x:f>IF($B95="","",--(COUNTIFS(Votaciones!$A$2:$A$336,$B95,Votaciones!$B$2:$B$336,Explorador_Integrantes!$X$2,Votaciones!$D$2:$D$336,"Disenso restrictivo")&gt;0))</x:f>
      </x:c>
      <x:c r="E95" t="str">
        <x:f>IF($B95="","",--(COUNTIFS(Votaciones!$A$2:$A$336,$B95,Votaciones!$B$2:$B$336,Explorador_Integrantes!$X$2,Votaciones!$D$2:$D$336,"Disenso acomodaticio")&gt;0))</x:f>
      </x:c>
    </x:row>
    <x:row r="96">
      <x:c r="A96" s="112" t="str" cm="1">
        <x:f t="array" ref="A96">IF(ROWS($A$2:A96)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96)-1),"")</x:f>
      </x:c>
      <x:c r="B96" t="str" cm="1">
        <x:f t="array" ref="B96">IF($A96="","",INDEX(Decisiones!$A$2:$A$237,MATCH(INDEX(Explorador_Integrantes!$GO$2:$GO$30,MATCH(Explorador_Integrantes!$X$2,Explorador_Integrantes!$GN$2:$GN$30,0)),Decisiones!$B$2:$B$237,0)+ROWS($A$2:A96)-1))</x:f>
      </x:c>
      <x:c r="C96" t="str" cm="1">
        <x:f t="array" ref="C96">IF($A96="","",INDEX(Decisiones!$H$2:$H$237,MATCH(INDEX(Explorador_Integrantes!$GO$2:$GO$30,MATCH(Explorador_Integrantes!$X$2,Explorador_Integrantes!$GN$2:$GN$30,0)),Decisiones!$B$2:$B$237,0)+ROWS($A$2:A96)-1))</x:f>
      </x:c>
      <x:c r="D96" t="str">
        <x:f>IF($B96="","",--(COUNTIFS(Votaciones!$A$2:$A$336,$B96,Votaciones!$B$2:$B$336,Explorador_Integrantes!$X$2,Votaciones!$D$2:$D$336,"Disenso restrictivo")&gt;0))</x:f>
      </x:c>
      <x:c r="E96" t="str">
        <x:f>IF($B96="","",--(COUNTIFS(Votaciones!$A$2:$A$336,$B96,Votaciones!$B$2:$B$336,Explorador_Integrantes!$X$2,Votaciones!$D$2:$D$336,"Disenso acomodaticio")&gt;0))</x:f>
      </x:c>
    </x:row>
    <x:row r="97">
      <x:c r="A97" s="112" t="str" cm="1">
        <x:f t="array" ref="A97">IF(ROWS($A$2:A97)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97)-1),"")</x:f>
      </x:c>
      <x:c r="B97" t="str" cm="1">
        <x:f t="array" ref="B97">IF($A97="","",INDEX(Decisiones!$A$2:$A$237,MATCH(INDEX(Explorador_Integrantes!$GO$2:$GO$30,MATCH(Explorador_Integrantes!$X$2,Explorador_Integrantes!$GN$2:$GN$30,0)),Decisiones!$B$2:$B$237,0)+ROWS($A$2:A97)-1))</x:f>
      </x:c>
      <x:c r="C97" t="str" cm="1">
        <x:f t="array" ref="C97">IF($A97="","",INDEX(Decisiones!$H$2:$H$237,MATCH(INDEX(Explorador_Integrantes!$GO$2:$GO$30,MATCH(Explorador_Integrantes!$X$2,Explorador_Integrantes!$GN$2:$GN$30,0)),Decisiones!$B$2:$B$237,0)+ROWS($A$2:A97)-1))</x:f>
      </x:c>
      <x:c r="D97" t="str">
        <x:f>IF($B97="","",--(COUNTIFS(Votaciones!$A$2:$A$336,$B97,Votaciones!$B$2:$B$336,Explorador_Integrantes!$X$2,Votaciones!$D$2:$D$336,"Disenso restrictivo")&gt;0))</x:f>
      </x:c>
      <x:c r="E97" t="str">
        <x:f>IF($B97="","",--(COUNTIFS(Votaciones!$A$2:$A$336,$B97,Votaciones!$B$2:$B$336,Explorador_Integrantes!$X$2,Votaciones!$D$2:$D$336,"Disenso acomodaticio")&gt;0))</x:f>
      </x:c>
    </x:row>
    <x:row r="98">
      <x:c r="A98" s="112" t="str" cm="1">
        <x:f t="array" ref="A98">IF(ROWS($A$2:A98)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98)-1),"")</x:f>
      </x:c>
      <x:c r="B98" t="str" cm="1">
        <x:f t="array" ref="B98">IF($A98="","",INDEX(Decisiones!$A$2:$A$237,MATCH(INDEX(Explorador_Integrantes!$GO$2:$GO$30,MATCH(Explorador_Integrantes!$X$2,Explorador_Integrantes!$GN$2:$GN$30,0)),Decisiones!$B$2:$B$237,0)+ROWS($A$2:A98)-1))</x:f>
      </x:c>
      <x:c r="C98" t="str" cm="1">
        <x:f t="array" ref="C98">IF($A98="","",INDEX(Decisiones!$H$2:$H$237,MATCH(INDEX(Explorador_Integrantes!$GO$2:$GO$30,MATCH(Explorador_Integrantes!$X$2,Explorador_Integrantes!$GN$2:$GN$30,0)),Decisiones!$B$2:$B$237,0)+ROWS($A$2:A98)-1))</x:f>
      </x:c>
      <x:c r="D98" t="str">
        <x:f>IF($B98="","",--(COUNTIFS(Votaciones!$A$2:$A$336,$B98,Votaciones!$B$2:$B$336,Explorador_Integrantes!$X$2,Votaciones!$D$2:$D$336,"Disenso restrictivo")&gt;0))</x:f>
      </x:c>
      <x:c r="E98" t="str">
        <x:f>IF($B98="","",--(COUNTIFS(Votaciones!$A$2:$A$336,$B98,Votaciones!$B$2:$B$336,Explorador_Integrantes!$X$2,Votaciones!$D$2:$D$336,"Disenso acomodaticio")&gt;0))</x:f>
      </x:c>
    </x:row>
    <x:row r="99">
      <x:c r="A99" s="112" t="str" cm="1">
        <x:f t="array" ref="A99">IF(ROWS($A$2:A99)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99)-1),"")</x:f>
      </x:c>
      <x:c r="B99" t="str" cm="1">
        <x:f t="array" ref="B99">IF($A99="","",INDEX(Decisiones!$A$2:$A$237,MATCH(INDEX(Explorador_Integrantes!$GO$2:$GO$30,MATCH(Explorador_Integrantes!$X$2,Explorador_Integrantes!$GN$2:$GN$30,0)),Decisiones!$B$2:$B$237,0)+ROWS($A$2:A99)-1))</x:f>
      </x:c>
      <x:c r="C99" t="str" cm="1">
        <x:f t="array" ref="C99">IF($A99="","",INDEX(Decisiones!$H$2:$H$237,MATCH(INDEX(Explorador_Integrantes!$GO$2:$GO$30,MATCH(Explorador_Integrantes!$X$2,Explorador_Integrantes!$GN$2:$GN$30,0)),Decisiones!$B$2:$B$237,0)+ROWS($A$2:A99)-1))</x:f>
      </x:c>
      <x:c r="D99" t="str">
        <x:f>IF($B99="","",--(COUNTIFS(Votaciones!$A$2:$A$336,$B99,Votaciones!$B$2:$B$336,Explorador_Integrantes!$X$2,Votaciones!$D$2:$D$336,"Disenso restrictivo")&gt;0))</x:f>
      </x:c>
      <x:c r="E99" t="str">
        <x:f>IF($B99="","",--(COUNTIFS(Votaciones!$A$2:$A$336,$B99,Votaciones!$B$2:$B$336,Explorador_Integrantes!$X$2,Votaciones!$D$2:$D$336,"Disenso acomodaticio")&gt;0))</x:f>
      </x:c>
    </x:row>
    <x:row r="100">
      <x:c r="A100" s="112" t="str" cm="1">
        <x:f t="array" ref="A100">IF(ROWS($A$2:A100)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100)-1),"")</x:f>
      </x:c>
      <x:c r="B100" t="str" cm="1">
        <x:f t="array" ref="B100">IF($A100="","",INDEX(Decisiones!$A$2:$A$237,MATCH(INDEX(Explorador_Integrantes!$GO$2:$GO$30,MATCH(Explorador_Integrantes!$X$2,Explorador_Integrantes!$GN$2:$GN$30,0)),Decisiones!$B$2:$B$237,0)+ROWS($A$2:A100)-1))</x:f>
      </x:c>
      <x:c r="C100" t="str" cm="1">
        <x:f t="array" ref="C100">IF($A100="","",INDEX(Decisiones!$H$2:$H$237,MATCH(INDEX(Explorador_Integrantes!$GO$2:$GO$30,MATCH(Explorador_Integrantes!$X$2,Explorador_Integrantes!$GN$2:$GN$30,0)),Decisiones!$B$2:$B$237,0)+ROWS($A$2:A100)-1))</x:f>
      </x:c>
      <x:c r="D100" t="str">
        <x:f>IF($B100="","",--(COUNTIFS(Votaciones!$A$2:$A$336,$B100,Votaciones!$B$2:$B$336,Explorador_Integrantes!$X$2,Votaciones!$D$2:$D$336,"Disenso restrictivo")&gt;0))</x:f>
      </x:c>
      <x:c r="E100" t="str">
        <x:f>IF($B100="","",--(COUNTIFS(Votaciones!$A$2:$A$336,$B100,Votaciones!$B$2:$B$336,Explorador_Integrantes!$X$2,Votaciones!$D$2:$D$336,"Disenso acomodaticio")&gt;0))</x:f>
      </x:c>
    </x:row>
    <x:row r="101">
      <x:c r="A101" s="112" t="str" cm="1">
        <x:f t="array" ref="A101">IF(ROWS($A$2:A101)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101)-1),"")</x:f>
      </x:c>
      <x:c r="B101" t="str" cm="1">
        <x:f t="array" ref="B101">IF($A101="","",INDEX(Decisiones!$A$2:$A$237,MATCH(INDEX(Explorador_Integrantes!$GO$2:$GO$30,MATCH(Explorador_Integrantes!$X$2,Explorador_Integrantes!$GN$2:$GN$30,0)),Decisiones!$B$2:$B$237,0)+ROWS($A$2:A101)-1))</x:f>
      </x:c>
      <x:c r="C101" t="str" cm="1">
        <x:f t="array" ref="C101">IF($A101="","",INDEX(Decisiones!$H$2:$H$237,MATCH(INDEX(Explorador_Integrantes!$GO$2:$GO$30,MATCH(Explorador_Integrantes!$X$2,Explorador_Integrantes!$GN$2:$GN$30,0)),Decisiones!$B$2:$B$237,0)+ROWS($A$2:A101)-1))</x:f>
      </x:c>
      <x:c r="D101" t="str">
        <x:f>IF($B101="","",--(COUNTIFS(Votaciones!$A$2:$A$336,$B101,Votaciones!$B$2:$B$336,Explorador_Integrantes!$X$2,Votaciones!$D$2:$D$336,"Disenso restrictivo")&gt;0))</x:f>
      </x:c>
      <x:c r="E101" t="str">
        <x:f>IF($B101="","",--(COUNTIFS(Votaciones!$A$2:$A$336,$B101,Votaciones!$B$2:$B$336,Explorador_Integrantes!$X$2,Votaciones!$D$2:$D$336,"Disenso acomodaticio")&gt;0))</x:f>
      </x:c>
    </x:row>
    <x:row r="102">
      <x:c r="A102" s="112" t="str" cm="1">
        <x:f t="array" ref="A102">IF(ROWS($A$2:A102)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102)-1),"")</x:f>
      </x:c>
      <x:c r="B102" t="str" cm="1">
        <x:f t="array" ref="B102">IF($A102="","",INDEX(Decisiones!$A$2:$A$237,MATCH(INDEX(Explorador_Integrantes!$GO$2:$GO$30,MATCH(Explorador_Integrantes!$X$2,Explorador_Integrantes!$GN$2:$GN$30,0)),Decisiones!$B$2:$B$237,0)+ROWS($A$2:A102)-1))</x:f>
      </x:c>
      <x:c r="C102" t="str" cm="1">
        <x:f t="array" ref="C102">IF($A102="","",INDEX(Decisiones!$H$2:$H$237,MATCH(INDEX(Explorador_Integrantes!$GO$2:$GO$30,MATCH(Explorador_Integrantes!$X$2,Explorador_Integrantes!$GN$2:$GN$30,0)),Decisiones!$B$2:$B$237,0)+ROWS($A$2:A102)-1))</x:f>
      </x:c>
      <x:c r="D102" t="str">
        <x:f>IF($B102="","",--(COUNTIFS(Votaciones!$A$2:$A$336,$B102,Votaciones!$B$2:$B$336,Explorador_Integrantes!$X$2,Votaciones!$D$2:$D$336,"Disenso restrictivo")&gt;0))</x:f>
      </x:c>
      <x:c r="E102" t="str">
        <x:f>IF($B102="","",--(COUNTIFS(Votaciones!$A$2:$A$336,$B102,Votaciones!$B$2:$B$336,Explorador_Integrantes!$X$2,Votaciones!$D$2:$D$336,"Disenso acomodaticio")&gt;0))</x:f>
      </x:c>
    </x:row>
    <x:row r="103">
      <x:c r="A103" s="112" t="str" cm="1">
        <x:f t="array" ref="A103">IF(ROWS($A$2:A103)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103)-1),"")</x:f>
      </x:c>
      <x:c r="B103" t="str" cm="1">
        <x:f t="array" ref="B103">IF($A103="","",INDEX(Decisiones!$A$2:$A$237,MATCH(INDEX(Explorador_Integrantes!$GO$2:$GO$30,MATCH(Explorador_Integrantes!$X$2,Explorador_Integrantes!$GN$2:$GN$30,0)),Decisiones!$B$2:$B$237,0)+ROWS($A$2:A103)-1))</x:f>
      </x:c>
      <x:c r="C103" t="str" cm="1">
        <x:f t="array" ref="C103">IF($A103="","",INDEX(Decisiones!$H$2:$H$237,MATCH(INDEX(Explorador_Integrantes!$GO$2:$GO$30,MATCH(Explorador_Integrantes!$X$2,Explorador_Integrantes!$GN$2:$GN$30,0)),Decisiones!$B$2:$B$237,0)+ROWS($A$2:A103)-1))</x:f>
      </x:c>
      <x:c r="D103" t="str">
        <x:f>IF($B103="","",--(COUNTIFS(Votaciones!$A$2:$A$336,$B103,Votaciones!$B$2:$B$336,Explorador_Integrantes!$X$2,Votaciones!$D$2:$D$336,"Disenso restrictivo")&gt;0))</x:f>
      </x:c>
      <x:c r="E103" t="str">
        <x:f>IF($B103="","",--(COUNTIFS(Votaciones!$A$2:$A$336,$B103,Votaciones!$B$2:$B$336,Explorador_Integrantes!$X$2,Votaciones!$D$2:$D$336,"Disenso acomodaticio")&gt;0))</x:f>
      </x:c>
    </x:row>
    <x:row r="104">
      <x:c r="A104" s="112" t="str" cm="1">
        <x:f t="array" ref="A104">IF(ROWS($A$2:A104)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104)-1),"")</x:f>
      </x:c>
      <x:c r="B104" t="str" cm="1">
        <x:f t="array" ref="B104">IF($A104="","",INDEX(Decisiones!$A$2:$A$237,MATCH(INDEX(Explorador_Integrantes!$GO$2:$GO$30,MATCH(Explorador_Integrantes!$X$2,Explorador_Integrantes!$GN$2:$GN$30,0)),Decisiones!$B$2:$B$237,0)+ROWS($A$2:A104)-1))</x:f>
      </x:c>
      <x:c r="C104" t="str" cm="1">
        <x:f t="array" ref="C104">IF($A104="","",INDEX(Decisiones!$H$2:$H$237,MATCH(INDEX(Explorador_Integrantes!$GO$2:$GO$30,MATCH(Explorador_Integrantes!$X$2,Explorador_Integrantes!$GN$2:$GN$30,0)),Decisiones!$B$2:$B$237,0)+ROWS($A$2:A104)-1))</x:f>
      </x:c>
      <x:c r="D104" t="str">
        <x:f>IF($B104="","",--(COUNTIFS(Votaciones!$A$2:$A$336,$B104,Votaciones!$B$2:$B$336,Explorador_Integrantes!$X$2,Votaciones!$D$2:$D$336,"Disenso restrictivo")&gt;0))</x:f>
      </x:c>
      <x:c r="E104" t="str">
        <x:f>IF($B104="","",--(COUNTIFS(Votaciones!$A$2:$A$336,$B104,Votaciones!$B$2:$B$336,Explorador_Integrantes!$X$2,Votaciones!$D$2:$D$336,"Disenso acomodaticio")&gt;0))</x:f>
      </x:c>
    </x:row>
    <x:row r="105">
      <x:c r="A105" s="112" t="str" cm="1">
        <x:f t="array" ref="A105">IF(ROWS($A$2:A105)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105)-1),"")</x:f>
      </x:c>
      <x:c r="B105" t="str" cm="1">
        <x:f t="array" ref="B105">IF($A105="","",INDEX(Decisiones!$A$2:$A$237,MATCH(INDEX(Explorador_Integrantes!$GO$2:$GO$30,MATCH(Explorador_Integrantes!$X$2,Explorador_Integrantes!$GN$2:$GN$30,0)),Decisiones!$B$2:$B$237,0)+ROWS($A$2:A105)-1))</x:f>
      </x:c>
      <x:c r="C105" t="str" cm="1">
        <x:f t="array" ref="C105">IF($A105="","",INDEX(Decisiones!$H$2:$H$237,MATCH(INDEX(Explorador_Integrantes!$GO$2:$GO$30,MATCH(Explorador_Integrantes!$X$2,Explorador_Integrantes!$GN$2:$GN$30,0)),Decisiones!$B$2:$B$237,0)+ROWS($A$2:A105)-1))</x:f>
      </x:c>
      <x:c r="D105" t="str">
        <x:f>IF($B105="","",--(COUNTIFS(Votaciones!$A$2:$A$336,$B105,Votaciones!$B$2:$B$336,Explorador_Integrantes!$X$2,Votaciones!$D$2:$D$336,"Disenso restrictivo")&gt;0))</x:f>
      </x:c>
      <x:c r="E105" t="str">
        <x:f>IF($B105="","",--(COUNTIFS(Votaciones!$A$2:$A$336,$B105,Votaciones!$B$2:$B$336,Explorador_Integrantes!$X$2,Votaciones!$D$2:$D$336,"Disenso acomodaticio")&gt;0))</x:f>
      </x:c>
    </x:row>
    <x:row r="106">
      <x:c r="A106" s="112" t="str" cm="1">
        <x:f t="array" ref="A106">IF(ROWS($A$2:A106)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106)-1),"")</x:f>
      </x:c>
      <x:c r="B106" t="str" cm="1">
        <x:f t="array" ref="B106">IF($A106="","",INDEX(Decisiones!$A$2:$A$237,MATCH(INDEX(Explorador_Integrantes!$GO$2:$GO$30,MATCH(Explorador_Integrantes!$X$2,Explorador_Integrantes!$GN$2:$GN$30,0)),Decisiones!$B$2:$B$237,0)+ROWS($A$2:A106)-1))</x:f>
      </x:c>
      <x:c r="C106" t="str" cm="1">
        <x:f t="array" ref="C106">IF($A106="","",INDEX(Decisiones!$H$2:$H$237,MATCH(INDEX(Explorador_Integrantes!$GO$2:$GO$30,MATCH(Explorador_Integrantes!$X$2,Explorador_Integrantes!$GN$2:$GN$30,0)),Decisiones!$B$2:$B$237,0)+ROWS($A$2:A106)-1))</x:f>
      </x:c>
      <x:c r="D106" t="str">
        <x:f>IF($B106="","",--(COUNTIFS(Votaciones!$A$2:$A$336,$B106,Votaciones!$B$2:$B$336,Explorador_Integrantes!$X$2,Votaciones!$D$2:$D$336,"Disenso restrictivo")&gt;0))</x:f>
      </x:c>
      <x:c r="E106" t="str">
        <x:f>IF($B106="","",--(COUNTIFS(Votaciones!$A$2:$A$336,$B106,Votaciones!$B$2:$B$336,Explorador_Integrantes!$X$2,Votaciones!$D$2:$D$336,"Disenso acomodaticio")&gt;0))</x:f>
      </x:c>
    </x:row>
    <x:row r="107">
      <x:c r="A107" s="112" t="str" cm="1">
        <x:f t="array" ref="A107">IF(ROWS($A$2:A107)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107)-1),"")</x:f>
      </x:c>
      <x:c r="B107" t="str" cm="1">
        <x:f t="array" ref="B107">IF($A107="","",INDEX(Decisiones!$A$2:$A$237,MATCH(INDEX(Explorador_Integrantes!$GO$2:$GO$30,MATCH(Explorador_Integrantes!$X$2,Explorador_Integrantes!$GN$2:$GN$30,0)),Decisiones!$B$2:$B$237,0)+ROWS($A$2:A107)-1))</x:f>
      </x:c>
      <x:c r="C107" t="str" cm="1">
        <x:f t="array" ref="C107">IF($A107="","",INDEX(Decisiones!$H$2:$H$237,MATCH(INDEX(Explorador_Integrantes!$GO$2:$GO$30,MATCH(Explorador_Integrantes!$X$2,Explorador_Integrantes!$GN$2:$GN$30,0)),Decisiones!$B$2:$B$237,0)+ROWS($A$2:A107)-1))</x:f>
      </x:c>
      <x:c r="D107" t="str">
        <x:f>IF($B107="","",--(COUNTIFS(Votaciones!$A$2:$A$336,$B107,Votaciones!$B$2:$B$336,Explorador_Integrantes!$X$2,Votaciones!$D$2:$D$336,"Disenso restrictivo")&gt;0))</x:f>
      </x:c>
      <x:c r="E107" t="str">
        <x:f>IF($B107="","",--(COUNTIFS(Votaciones!$A$2:$A$336,$B107,Votaciones!$B$2:$B$336,Explorador_Integrantes!$X$2,Votaciones!$D$2:$D$336,"Disenso acomodaticio")&gt;0))</x:f>
      </x:c>
    </x:row>
    <x:row r="108">
      <x:c r="A108" s="112" t="str" cm="1">
        <x:f t="array" ref="A108">IF(ROWS($A$2:A108)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108)-1),"")</x:f>
      </x:c>
      <x:c r="B108" t="str" cm="1">
        <x:f t="array" ref="B108">IF($A108="","",INDEX(Decisiones!$A$2:$A$237,MATCH(INDEX(Explorador_Integrantes!$GO$2:$GO$30,MATCH(Explorador_Integrantes!$X$2,Explorador_Integrantes!$GN$2:$GN$30,0)),Decisiones!$B$2:$B$237,0)+ROWS($A$2:A108)-1))</x:f>
      </x:c>
      <x:c r="C108" t="str" cm="1">
        <x:f t="array" ref="C108">IF($A108="","",INDEX(Decisiones!$H$2:$H$237,MATCH(INDEX(Explorador_Integrantes!$GO$2:$GO$30,MATCH(Explorador_Integrantes!$X$2,Explorador_Integrantes!$GN$2:$GN$30,0)),Decisiones!$B$2:$B$237,0)+ROWS($A$2:A108)-1))</x:f>
      </x:c>
      <x:c r="D108" t="str">
        <x:f>IF($B108="","",--(COUNTIFS(Votaciones!$A$2:$A$336,$B108,Votaciones!$B$2:$B$336,Explorador_Integrantes!$X$2,Votaciones!$D$2:$D$336,"Disenso restrictivo")&gt;0))</x:f>
      </x:c>
      <x:c r="E108" t="str">
        <x:f>IF($B108="","",--(COUNTIFS(Votaciones!$A$2:$A$336,$B108,Votaciones!$B$2:$B$336,Explorador_Integrantes!$X$2,Votaciones!$D$2:$D$336,"Disenso acomodaticio")&gt;0))</x:f>
      </x:c>
    </x:row>
    <x:row r="109">
      <x:c r="A109" s="112" t="str" cm="1">
        <x:f t="array" ref="A109">IF(ROWS($A$2:A109)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109)-1),"")</x:f>
      </x:c>
      <x:c r="B109" t="str" cm="1">
        <x:f t="array" ref="B109">IF($A109="","",INDEX(Decisiones!$A$2:$A$237,MATCH(INDEX(Explorador_Integrantes!$GO$2:$GO$30,MATCH(Explorador_Integrantes!$X$2,Explorador_Integrantes!$GN$2:$GN$30,0)),Decisiones!$B$2:$B$237,0)+ROWS($A$2:A109)-1))</x:f>
      </x:c>
      <x:c r="C109" t="str" cm="1">
        <x:f t="array" ref="C109">IF($A109="","",INDEX(Decisiones!$H$2:$H$237,MATCH(INDEX(Explorador_Integrantes!$GO$2:$GO$30,MATCH(Explorador_Integrantes!$X$2,Explorador_Integrantes!$GN$2:$GN$30,0)),Decisiones!$B$2:$B$237,0)+ROWS($A$2:A109)-1))</x:f>
      </x:c>
      <x:c r="D109" t="str">
        <x:f>IF($B109="","",--(COUNTIFS(Votaciones!$A$2:$A$336,$B109,Votaciones!$B$2:$B$336,Explorador_Integrantes!$X$2,Votaciones!$D$2:$D$336,"Disenso restrictivo")&gt;0))</x:f>
      </x:c>
      <x:c r="E109" t="str">
        <x:f>IF($B109="","",--(COUNTIFS(Votaciones!$A$2:$A$336,$B109,Votaciones!$B$2:$B$336,Explorador_Integrantes!$X$2,Votaciones!$D$2:$D$336,"Disenso acomodaticio")&gt;0))</x:f>
      </x:c>
    </x:row>
    <x:row r="110">
      <x:c r="A110" s="112" t="str" cm="1">
        <x:f t="array" ref="A110">IF(ROWS($A$2:A110)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110)-1),"")</x:f>
      </x:c>
      <x:c r="B110" t="str" cm="1">
        <x:f t="array" ref="B110">IF($A110="","",INDEX(Decisiones!$A$2:$A$237,MATCH(INDEX(Explorador_Integrantes!$GO$2:$GO$30,MATCH(Explorador_Integrantes!$X$2,Explorador_Integrantes!$GN$2:$GN$30,0)),Decisiones!$B$2:$B$237,0)+ROWS($A$2:A110)-1))</x:f>
      </x:c>
      <x:c r="C110" t="str" cm="1">
        <x:f t="array" ref="C110">IF($A110="","",INDEX(Decisiones!$H$2:$H$237,MATCH(INDEX(Explorador_Integrantes!$GO$2:$GO$30,MATCH(Explorador_Integrantes!$X$2,Explorador_Integrantes!$GN$2:$GN$30,0)),Decisiones!$B$2:$B$237,0)+ROWS($A$2:A110)-1))</x:f>
      </x:c>
      <x:c r="D110" t="str">
        <x:f>IF($B110="","",--(COUNTIFS(Votaciones!$A$2:$A$336,$B110,Votaciones!$B$2:$B$336,Explorador_Integrantes!$X$2,Votaciones!$D$2:$D$336,"Disenso restrictivo")&gt;0))</x:f>
      </x:c>
      <x:c r="E110" t="str">
        <x:f>IF($B110="","",--(COUNTIFS(Votaciones!$A$2:$A$336,$B110,Votaciones!$B$2:$B$336,Explorador_Integrantes!$X$2,Votaciones!$D$2:$D$336,"Disenso acomodaticio")&gt;0))</x:f>
      </x:c>
    </x:row>
    <x:row r="111">
      <x:c r="A111" s="112" t="str" cm="1">
        <x:f t="array" ref="A111">IF(ROWS($A$2:A111)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111)-1),"")</x:f>
      </x:c>
      <x:c r="B111" t="str" cm="1">
        <x:f t="array" ref="B111">IF($A111="","",INDEX(Decisiones!$A$2:$A$237,MATCH(INDEX(Explorador_Integrantes!$GO$2:$GO$30,MATCH(Explorador_Integrantes!$X$2,Explorador_Integrantes!$GN$2:$GN$30,0)),Decisiones!$B$2:$B$237,0)+ROWS($A$2:A111)-1))</x:f>
      </x:c>
      <x:c r="C111" t="str" cm="1">
        <x:f t="array" ref="C111">IF($A111="","",INDEX(Decisiones!$H$2:$H$237,MATCH(INDEX(Explorador_Integrantes!$GO$2:$GO$30,MATCH(Explorador_Integrantes!$X$2,Explorador_Integrantes!$GN$2:$GN$30,0)),Decisiones!$B$2:$B$237,0)+ROWS($A$2:A111)-1))</x:f>
      </x:c>
      <x:c r="D111" t="str">
        <x:f>IF($B111="","",--(COUNTIFS(Votaciones!$A$2:$A$336,$B111,Votaciones!$B$2:$B$336,Explorador_Integrantes!$X$2,Votaciones!$D$2:$D$336,"Disenso restrictivo")&gt;0))</x:f>
      </x:c>
      <x:c r="E111" t="str">
        <x:f>IF($B111="","",--(COUNTIFS(Votaciones!$A$2:$A$336,$B111,Votaciones!$B$2:$B$336,Explorador_Integrantes!$X$2,Votaciones!$D$2:$D$336,"Disenso acomodaticio")&gt;0))</x:f>
      </x:c>
    </x:row>
    <x:row r="112">
      <x:c r="A112" s="112" t="str" cm="1">
        <x:f t="array" ref="A112">IF(ROWS($A$2:A112)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112)-1),"")</x:f>
      </x:c>
      <x:c r="B112" t="str" cm="1">
        <x:f t="array" ref="B112">IF($A112="","",INDEX(Decisiones!$A$2:$A$237,MATCH(INDEX(Explorador_Integrantes!$GO$2:$GO$30,MATCH(Explorador_Integrantes!$X$2,Explorador_Integrantes!$GN$2:$GN$30,0)),Decisiones!$B$2:$B$237,0)+ROWS($A$2:A112)-1))</x:f>
      </x:c>
      <x:c r="C112" t="str" cm="1">
        <x:f t="array" ref="C112">IF($A112="","",INDEX(Decisiones!$H$2:$H$237,MATCH(INDEX(Explorador_Integrantes!$GO$2:$GO$30,MATCH(Explorador_Integrantes!$X$2,Explorador_Integrantes!$GN$2:$GN$30,0)),Decisiones!$B$2:$B$237,0)+ROWS($A$2:A112)-1))</x:f>
      </x:c>
      <x:c r="D112" t="str">
        <x:f>IF($B112="","",--(COUNTIFS(Votaciones!$A$2:$A$336,$B112,Votaciones!$B$2:$B$336,Explorador_Integrantes!$X$2,Votaciones!$D$2:$D$336,"Disenso restrictivo")&gt;0))</x:f>
      </x:c>
      <x:c r="E112" t="str">
        <x:f>IF($B112="","",--(COUNTIFS(Votaciones!$A$2:$A$336,$B112,Votaciones!$B$2:$B$336,Explorador_Integrantes!$X$2,Votaciones!$D$2:$D$336,"Disenso acomodaticio")&gt;0))</x:f>
      </x:c>
    </x:row>
    <x:row r="113">
      <x:c r="A113" s="112" t="str" cm="1">
        <x:f t="array" ref="A113">IF(ROWS($A$2:A113)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113)-1),"")</x:f>
      </x:c>
      <x:c r="B113" t="str" cm="1">
        <x:f t="array" ref="B113">IF($A113="","",INDEX(Decisiones!$A$2:$A$237,MATCH(INDEX(Explorador_Integrantes!$GO$2:$GO$30,MATCH(Explorador_Integrantes!$X$2,Explorador_Integrantes!$GN$2:$GN$30,0)),Decisiones!$B$2:$B$237,0)+ROWS($A$2:A113)-1))</x:f>
      </x:c>
      <x:c r="C113" t="str" cm="1">
        <x:f t="array" ref="C113">IF($A113="","",INDEX(Decisiones!$H$2:$H$237,MATCH(INDEX(Explorador_Integrantes!$GO$2:$GO$30,MATCH(Explorador_Integrantes!$X$2,Explorador_Integrantes!$GN$2:$GN$30,0)),Decisiones!$B$2:$B$237,0)+ROWS($A$2:A113)-1))</x:f>
      </x:c>
      <x:c r="D113" t="str">
        <x:f>IF($B113="","",--(COUNTIFS(Votaciones!$A$2:$A$336,$B113,Votaciones!$B$2:$B$336,Explorador_Integrantes!$X$2,Votaciones!$D$2:$D$336,"Disenso restrictivo")&gt;0))</x:f>
      </x:c>
      <x:c r="E113" t="str">
        <x:f>IF($B113="","",--(COUNTIFS(Votaciones!$A$2:$A$336,$B113,Votaciones!$B$2:$B$336,Explorador_Integrantes!$X$2,Votaciones!$D$2:$D$336,"Disenso acomodaticio")&gt;0))</x:f>
      </x:c>
    </x:row>
    <x:row r="114">
      <x:c r="A114" s="112" t="str" cm="1">
        <x:f t="array" ref="A114">IF(ROWS($A$2:A114)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114)-1),"")</x:f>
      </x:c>
      <x:c r="B114" t="str" cm="1">
        <x:f t="array" ref="B114">IF($A114="","",INDEX(Decisiones!$A$2:$A$237,MATCH(INDEX(Explorador_Integrantes!$GO$2:$GO$30,MATCH(Explorador_Integrantes!$X$2,Explorador_Integrantes!$GN$2:$GN$30,0)),Decisiones!$B$2:$B$237,0)+ROWS($A$2:A114)-1))</x:f>
      </x:c>
      <x:c r="C114" t="str" cm="1">
        <x:f t="array" ref="C114">IF($A114="","",INDEX(Decisiones!$H$2:$H$237,MATCH(INDEX(Explorador_Integrantes!$GO$2:$GO$30,MATCH(Explorador_Integrantes!$X$2,Explorador_Integrantes!$GN$2:$GN$30,0)),Decisiones!$B$2:$B$237,0)+ROWS($A$2:A114)-1))</x:f>
      </x:c>
      <x:c r="D114" t="str">
        <x:f>IF($B114="","",--(COUNTIFS(Votaciones!$A$2:$A$336,$B114,Votaciones!$B$2:$B$336,Explorador_Integrantes!$X$2,Votaciones!$D$2:$D$336,"Disenso restrictivo")&gt;0))</x:f>
      </x:c>
      <x:c r="E114" t="str">
        <x:f>IF($B114="","",--(COUNTIFS(Votaciones!$A$2:$A$336,$B114,Votaciones!$B$2:$B$336,Explorador_Integrantes!$X$2,Votaciones!$D$2:$D$336,"Disenso acomodaticio")&gt;0))</x:f>
      </x:c>
    </x:row>
    <x:row r="115">
      <x:c r="A115" s="112" t="str" cm="1">
        <x:f t="array" ref="A115">IF(ROWS($A$2:A115)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115)-1),"")</x:f>
      </x:c>
      <x:c r="B115" t="str" cm="1">
        <x:f t="array" ref="B115">IF($A115="","",INDEX(Decisiones!$A$2:$A$237,MATCH(INDEX(Explorador_Integrantes!$GO$2:$GO$30,MATCH(Explorador_Integrantes!$X$2,Explorador_Integrantes!$GN$2:$GN$30,0)),Decisiones!$B$2:$B$237,0)+ROWS($A$2:A115)-1))</x:f>
      </x:c>
      <x:c r="C115" t="str" cm="1">
        <x:f t="array" ref="C115">IF($A115="","",INDEX(Decisiones!$H$2:$H$237,MATCH(INDEX(Explorador_Integrantes!$GO$2:$GO$30,MATCH(Explorador_Integrantes!$X$2,Explorador_Integrantes!$GN$2:$GN$30,0)),Decisiones!$B$2:$B$237,0)+ROWS($A$2:A115)-1))</x:f>
      </x:c>
      <x:c r="D115" t="str">
        <x:f>IF($B115="","",--(COUNTIFS(Votaciones!$A$2:$A$336,$B115,Votaciones!$B$2:$B$336,Explorador_Integrantes!$X$2,Votaciones!$D$2:$D$336,"Disenso restrictivo")&gt;0))</x:f>
      </x:c>
      <x:c r="E115" t="str">
        <x:f>IF($B115="","",--(COUNTIFS(Votaciones!$A$2:$A$336,$B115,Votaciones!$B$2:$B$336,Explorador_Integrantes!$X$2,Votaciones!$D$2:$D$336,"Disenso acomodaticio")&gt;0))</x:f>
      </x:c>
    </x:row>
    <x:row r="116">
      <x:c r="A116" s="112" t="str" cm="1">
        <x:f t="array" ref="A116">IF(ROWS($A$2:A116)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116)-1),"")</x:f>
      </x:c>
      <x:c r="B116" t="str" cm="1">
        <x:f t="array" ref="B116">IF($A116="","",INDEX(Decisiones!$A$2:$A$237,MATCH(INDEX(Explorador_Integrantes!$GO$2:$GO$30,MATCH(Explorador_Integrantes!$X$2,Explorador_Integrantes!$GN$2:$GN$30,0)),Decisiones!$B$2:$B$237,0)+ROWS($A$2:A116)-1))</x:f>
      </x:c>
      <x:c r="C116" t="str" cm="1">
        <x:f t="array" ref="C116">IF($A116="","",INDEX(Decisiones!$H$2:$H$237,MATCH(INDEX(Explorador_Integrantes!$GO$2:$GO$30,MATCH(Explorador_Integrantes!$X$2,Explorador_Integrantes!$GN$2:$GN$30,0)),Decisiones!$B$2:$B$237,0)+ROWS($A$2:A116)-1))</x:f>
      </x:c>
      <x:c r="D116" t="str">
        <x:f>IF($B116="","",--(COUNTIFS(Votaciones!$A$2:$A$336,$B116,Votaciones!$B$2:$B$336,Explorador_Integrantes!$X$2,Votaciones!$D$2:$D$336,"Disenso restrictivo")&gt;0))</x:f>
      </x:c>
      <x:c r="E116" t="str">
        <x:f>IF($B116="","",--(COUNTIFS(Votaciones!$A$2:$A$336,$B116,Votaciones!$B$2:$B$336,Explorador_Integrantes!$X$2,Votaciones!$D$2:$D$336,"Disenso acomodaticio")&gt;0))</x:f>
      </x:c>
    </x:row>
    <x:row r="117">
      <x:c r="A117" s="112" t="str" cm="1">
        <x:f t="array" ref="A117">IF(ROWS($A$2:A117)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117)-1),"")</x:f>
      </x:c>
      <x:c r="B117" t="str" cm="1">
        <x:f t="array" ref="B117">IF($A117="","",INDEX(Decisiones!$A$2:$A$237,MATCH(INDEX(Explorador_Integrantes!$GO$2:$GO$30,MATCH(Explorador_Integrantes!$X$2,Explorador_Integrantes!$GN$2:$GN$30,0)),Decisiones!$B$2:$B$237,0)+ROWS($A$2:A117)-1))</x:f>
      </x:c>
      <x:c r="C117" t="str" cm="1">
        <x:f t="array" ref="C117">IF($A117="","",INDEX(Decisiones!$H$2:$H$237,MATCH(INDEX(Explorador_Integrantes!$GO$2:$GO$30,MATCH(Explorador_Integrantes!$X$2,Explorador_Integrantes!$GN$2:$GN$30,0)),Decisiones!$B$2:$B$237,0)+ROWS($A$2:A117)-1))</x:f>
      </x:c>
      <x:c r="D117" t="str">
        <x:f>IF($B117="","",--(COUNTIFS(Votaciones!$A$2:$A$336,$B117,Votaciones!$B$2:$B$336,Explorador_Integrantes!$X$2,Votaciones!$D$2:$D$336,"Disenso restrictivo")&gt;0))</x:f>
      </x:c>
      <x:c r="E117" t="str">
        <x:f>IF($B117="","",--(COUNTIFS(Votaciones!$A$2:$A$336,$B117,Votaciones!$B$2:$B$336,Explorador_Integrantes!$X$2,Votaciones!$D$2:$D$336,"Disenso acomodaticio")&gt;0))</x:f>
      </x:c>
    </x:row>
    <x:row r="118">
      <x:c r="A118" s="112" t="str" cm="1">
        <x:f t="array" ref="A118">IF(ROWS($A$2:A118)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118)-1),"")</x:f>
      </x:c>
      <x:c r="B118" t="str" cm="1">
        <x:f t="array" ref="B118">IF($A118="","",INDEX(Decisiones!$A$2:$A$237,MATCH(INDEX(Explorador_Integrantes!$GO$2:$GO$30,MATCH(Explorador_Integrantes!$X$2,Explorador_Integrantes!$GN$2:$GN$30,0)),Decisiones!$B$2:$B$237,0)+ROWS($A$2:A118)-1))</x:f>
      </x:c>
      <x:c r="C118" t="str" cm="1">
        <x:f t="array" ref="C118">IF($A118="","",INDEX(Decisiones!$H$2:$H$237,MATCH(INDEX(Explorador_Integrantes!$GO$2:$GO$30,MATCH(Explorador_Integrantes!$X$2,Explorador_Integrantes!$GN$2:$GN$30,0)),Decisiones!$B$2:$B$237,0)+ROWS($A$2:A118)-1))</x:f>
      </x:c>
      <x:c r="D118" t="str">
        <x:f>IF($B118="","",--(COUNTIFS(Votaciones!$A$2:$A$336,$B118,Votaciones!$B$2:$B$336,Explorador_Integrantes!$X$2,Votaciones!$D$2:$D$336,"Disenso restrictivo")&gt;0))</x:f>
      </x:c>
      <x:c r="E118" t="str">
        <x:f>IF($B118="","",--(COUNTIFS(Votaciones!$A$2:$A$336,$B118,Votaciones!$B$2:$B$336,Explorador_Integrantes!$X$2,Votaciones!$D$2:$D$336,"Disenso acomodaticio")&gt;0))</x:f>
      </x:c>
    </x:row>
    <x:row r="119">
      <x:c r="A119" s="112" t="str" cm="1">
        <x:f t="array" ref="A119">IF(ROWS($A$2:A119)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119)-1),"")</x:f>
      </x:c>
      <x:c r="B119" t="str" cm="1">
        <x:f t="array" ref="B119">IF($A119="","",INDEX(Decisiones!$A$2:$A$237,MATCH(INDEX(Explorador_Integrantes!$GO$2:$GO$30,MATCH(Explorador_Integrantes!$X$2,Explorador_Integrantes!$GN$2:$GN$30,0)),Decisiones!$B$2:$B$237,0)+ROWS($A$2:A119)-1))</x:f>
      </x:c>
      <x:c r="C119" t="str" cm="1">
        <x:f t="array" ref="C119">IF($A119="","",INDEX(Decisiones!$H$2:$H$237,MATCH(INDEX(Explorador_Integrantes!$GO$2:$GO$30,MATCH(Explorador_Integrantes!$X$2,Explorador_Integrantes!$GN$2:$GN$30,0)),Decisiones!$B$2:$B$237,0)+ROWS($A$2:A119)-1))</x:f>
      </x:c>
      <x:c r="D119" t="str">
        <x:f>IF($B119="","",--(COUNTIFS(Votaciones!$A$2:$A$336,$B119,Votaciones!$B$2:$B$336,Explorador_Integrantes!$X$2,Votaciones!$D$2:$D$336,"Disenso restrictivo")&gt;0))</x:f>
      </x:c>
      <x:c r="E119" t="str">
        <x:f>IF($B119="","",--(COUNTIFS(Votaciones!$A$2:$A$336,$B119,Votaciones!$B$2:$B$336,Explorador_Integrantes!$X$2,Votaciones!$D$2:$D$336,"Disenso acomodaticio")&gt;0))</x:f>
      </x:c>
    </x:row>
    <x:row r="120">
      <x:c r="A120" s="112" t="str" cm="1">
        <x:f t="array" ref="A120">IF(ROWS($A$2:A120)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120)-1),"")</x:f>
      </x:c>
      <x:c r="B120" t="str" cm="1">
        <x:f t="array" ref="B120">IF($A120="","",INDEX(Decisiones!$A$2:$A$237,MATCH(INDEX(Explorador_Integrantes!$GO$2:$GO$30,MATCH(Explorador_Integrantes!$X$2,Explorador_Integrantes!$GN$2:$GN$30,0)),Decisiones!$B$2:$B$237,0)+ROWS($A$2:A120)-1))</x:f>
      </x:c>
      <x:c r="C120" t="str" cm="1">
        <x:f t="array" ref="C120">IF($A120="","",INDEX(Decisiones!$H$2:$H$237,MATCH(INDEX(Explorador_Integrantes!$GO$2:$GO$30,MATCH(Explorador_Integrantes!$X$2,Explorador_Integrantes!$GN$2:$GN$30,0)),Decisiones!$B$2:$B$237,0)+ROWS($A$2:A120)-1))</x:f>
      </x:c>
      <x:c r="D120" t="str">
        <x:f>IF($B120="","",--(COUNTIFS(Votaciones!$A$2:$A$336,$B120,Votaciones!$B$2:$B$336,Explorador_Integrantes!$X$2,Votaciones!$D$2:$D$336,"Disenso restrictivo")&gt;0))</x:f>
      </x:c>
      <x:c r="E120" t="str">
        <x:f>IF($B120="","",--(COUNTIFS(Votaciones!$A$2:$A$336,$B120,Votaciones!$B$2:$B$336,Explorador_Integrantes!$X$2,Votaciones!$D$2:$D$336,"Disenso acomodaticio")&gt;0))</x:f>
      </x:c>
    </x:row>
    <x:row r="121">
      <x:c r="A121" s="112" t="str" cm="1">
        <x:f t="array" ref="A121">IF(ROWS($A$2:A121)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121)-1),"")</x:f>
      </x:c>
      <x:c r="B121" t="str" cm="1">
        <x:f t="array" ref="B121">IF($A121="","",INDEX(Decisiones!$A$2:$A$237,MATCH(INDEX(Explorador_Integrantes!$GO$2:$GO$30,MATCH(Explorador_Integrantes!$X$2,Explorador_Integrantes!$GN$2:$GN$30,0)),Decisiones!$B$2:$B$237,0)+ROWS($A$2:A121)-1))</x:f>
      </x:c>
      <x:c r="C121" t="str" cm="1">
        <x:f t="array" ref="C121">IF($A121="","",INDEX(Decisiones!$H$2:$H$237,MATCH(INDEX(Explorador_Integrantes!$GO$2:$GO$30,MATCH(Explorador_Integrantes!$X$2,Explorador_Integrantes!$GN$2:$GN$30,0)),Decisiones!$B$2:$B$237,0)+ROWS($A$2:A121)-1))</x:f>
      </x:c>
      <x:c r="D121" t="str">
        <x:f>IF($B121="","",--(COUNTIFS(Votaciones!$A$2:$A$336,$B121,Votaciones!$B$2:$B$336,Explorador_Integrantes!$X$2,Votaciones!$D$2:$D$336,"Disenso restrictivo")&gt;0))</x:f>
      </x:c>
      <x:c r="E121" t="str">
        <x:f>IF($B121="","",--(COUNTIFS(Votaciones!$A$2:$A$336,$B121,Votaciones!$B$2:$B$336,Explorador_Integrantes!$X$2,Votaciones!$D$2:$D$336,"Disenso acomodaticio")&gt;0))</x:f>
      </x:c>
    </x:row>
    <x:row r="122">
      <x:c r="A122" s="112" t="str" cm="1">
        <x:f t="array" ref="A122">IF(ROWS($A$2:A122)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122)-1),"")</x:f>
      </x:c>
      <x:c r="B122" t="str" cm="1">
        <x:f t="array" ref="B122">IF($A122="","",INDEX(Decisiones!$A$2:$A$237,MATCH(INDEX(Explorador_Integrantes!$GO$2:$GO$30,MATCH(Explorador_Integrantes!$X$2,Explorador_Integrantes!$GN$2:$GN$30,0)),Decisiones!$B$2:$B$237,0)+ROWS($A$2:A122)-1))</x:f>
      </x:c>
      <x:c r="C122" t="str" cm="1">
        <x:f t="array" ref="C122">IF($A122="","",INDEX(Decisiones!$H$2:$H$237,MATCH(INDEX(Explorador_Integrantes!$GO$2:$GO$30,MATCH(Explorador_Integrantes!$X$2,Explorador_Integrantes!$GN$2:$GN$30,0)),Decisiones!$B$2:$B$237,0)+ROWS($A$2:A122)-1))</x:f>
      </x:c>
      <x:c r="D122" t="str">
        <x:f>IF($B122="","",--(COUNTIFS(Votaciones!$A$2:$A$336,$B122,Votaciones!$B$2:$B$336,Explorador_Integrantes!$X$2,Votaciones!$D$2:$D$336,"Disenso restrictivo")&gt;0))</x:f>
      </x:c>
      <x:c r="E122" t="str">
        <x:f>IF($B122="","",--(COUNTIFS(Votaciones!$A$2:$A$336,$B122,Votaciones!$B$2:$B$336,Explorador_Integrantes!$X$2,Votaciones!$D$2:$D$336,"Disenso acomodaticio")&gt;0))</x:f>
      </x:c>
    </x:row>
    <x:row r="123">
      <x:c r="A123" s="112" t="str" cm="1">
        <x:f t="array" ref="A123">IF(ROWS($A$2:A123)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123)-1),"")</x:f>
      </x:c>
      <x:c r="B123" t="str" cm="1">
        <x:f t="array" ref="B123">IF($A123="","",INDEX(Decisiones!$A$2:$A$237,MATCH(INDEX(Explorador_Integrantes!$GO$2:$GO$30,MATCH(Explorador_Integrantes!$X$2,Explorador_Integrantes!$GN$2:$GN$30,0)),Decisiones!$B$2:$B$237,0)+ROWS($A$2:A123)-1))</x:f>
      </x:c>
      <x:c r="C123" t="str" cm="1">
        <x:f t="array" ref="C123">IF($A123="","",INDEX(Decisiones!$H$2:$H$237,MATCH(INDEX(Explorador_Integrantes!$GO$2:$GO$30,MATCH(Explorador_Integrantes!$X$2,Explorador_Integrantes!$GN$2:$GN$30,0)),Decisiones!$B$2:$B$237,0)+ROWS($A$2:A123)-1))</x:f>
      </x:c>
      <x:c r="D123" t="str">
        <x:f>IF($B123="","",--(COUNTIFS(Votaciones!$A$2:$A$336,$B123,Votaciones!$B$2:$B$336,Explorador_Integrantes!$X$2,Votaciones!$D$2:$D$336,"Disenso restrictivo")&gt;0))</x:f>
      </x:c>
      <x:c r="E123" t="str">
        <x:f>IF($B123="","",--(COUNTIFS(Votaciones!$A$2:$A$336,$B123,Votaciones!$B$2:$B$336,Explorador_Integrantes!$X$2,Votaciones!$D$2:$D$336,"Disenso acomodaticio")&gt;0))</x:f>
      </x:c>
    </x:row>
    <x:row r="124">
      <x:c r="A124" s="112" t="str" cm="1">
        <x:f t="array" ref="A124">IF(ROWS($A$2:A124)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124)-1),"")</x:f>
      </x:c>
      <x:c r="B124" t="str" cm="1">
        <x:f t="array" ref="B124">IF($A124="","",INDEX(Decisiones!$A$2:$A$237,MATCH(INDEX(Explorador_Integrantes!$GO$2:$GO$30,MATCH(Explorador_Integrantes!$X$2,Explorador_Integrantes!$GN$2:$GN$30,0)),Decisiones!$B$2:$B$237,0)+ROWS($A$2:A124)-1))</x:f>
      </x:c>
      <x:c r="C124" t="str" cm="1">
        <x:f t="array" ref="C124">IF($A124="","",INDEX(Decisiones!$H$2:$H$237,MATCH(INDEX(Explorador_Integrantes!$GO$2:$GO$30,MATCH(Explorador_Integrantes!$X$2,Explorador_Integrantes!$GN$2:$GN$30,0)),Decisiones!$B$2:$B$237,0)+ROWS($A$2:A124)-1))</x:f>
      </x:c>
      <x:c r="D124" t="str">
        <x:f>IF($B124="","",--(COUNTIFS(Votaciones!$A$2:$A$336,$B124,Votaciones!$B$2:$B$336,Explorador_Integrantes!$X$2,Votaciones!$D$2:$D$336,"Disenso restrictivo")&gt;0))</x:f>
      </x:c>
      <x:c r="E124" t="str">
        <x:f>IF($B124="","",--(COUNTIFS(Votaciones!$A$2:$A$336,$B124,Votaciones!$B$2:$B$336,Explorador_Integrantes!$X$2,Votaciones!$D$2:$D$336,"Disenso acomodaticio")&gt;0))</x:f>
      </x:c>
    </x:row>
    <x:row r="125">
      <x:c r="A125" s="112" t="str" cm="1">
        <x:f t="array" ref="A125">IF(ROWS($A$2:A125)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125)-1),"")</x:f>
      </x:c>
      <x:c r="B125" t="str" cm="1">
        <x:f t="array" ref="B125">IF($A125="","",INDEX(Decisiones!$A$2:$A$237,MATCH(INDEX(Explorador_Integrantes!$GO$2:$GO$30,MATCH(Explorador_Integrantes!$X$2,Explorador_Integrantes!$GN$2:$GN$30,0)),Decisiones!$B$2:$B$237,0)+ROWS($A$2:A125)-1))</x:f>
      </x:c>
      <x:c r="C125" t="str" cm="1">
        <x:f t="array" ref="C125">IF($A125="","",INDEX(Decisiones!$H$2:$H$237,MATCH(INDEX(Explorador_Integrantes!$GO$2:$GO$30,MATCH(Explorador_Integrantes!$X$2,Explorador_Integrantes!$GN$2:$GN$30,0)),Decisiones!$B$2:$B$237,0)+ROWS($A$2:A125)-1))</x:f>
      </x:c>
      <x:c r="D125" t="str">
        <x:f>IF($B125="","",--(COUNTIFS(Votaciones!$A$2:$A$336,$B125,Votaciones!$B$2:$B$336,Explorador_Integrantes!$X$2,Votaciones!$D$2:$D$336,"Disenso restrictivo")&gt;0))</x:f>
      </x:c>
      <x:c r="E125" t="str">
        <x:f>IF($B125="","",--(COUNTIFS(Votaciones!$A$2:$A$336,$B125,Votaciones!$B$2:$B$336,Explorador_Integrantes!$X$2,Votaciones!$D$2:$D$336,"Disenso acomodaticio")&gt;0))</x:f>
      </x:c>
    </x:row>
    <x:row r="126">
      <x:c r="A126" s="112" t="str" cm="1">
        <x:f t="array" ref="A126">IF(ROWS($A$2:A126)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126)-1),"")</x:f>
      </x:c>
      <x:c r="B126" t="str" cm="1">
        <x:f t="array" ref="B126">IF($A126="","",INDEX(Decisiones!$A$2:$A$237,MATCH(INDEX(Explorador_Integrantes!$GO$2:$GO$30,MATCH(Explorador_Integrantes!$X$2,Explorador_Integrantes!$GN$2:$GN$30,0)),Decisiones!$B$2:$B$237,0)+ROWS($A$2:A126)-1))</x:f>
      </x:c>
      <x:c r="C126" t="str" cm="1">
        <x:f t="array" ref="C126">IF($A126="","",INDEX(Decisiones!$H$2:$H$237,MATCH(INDEX(Explorador_Integrantes!$GO$2:$GO$30,MATCH(Explorador_Integrantes!$X$2,Explorador_Integrantes!$GN$2:$GN$30,0)),Decisiones!$B$2:$B$237,0)+ROWS($A$2:A126)-1))</x:f>
      </x:c>
      <x:c r="D126" t="str">
        <x:f>IF($B126="","",--(COUNTIFS(Votaciones!$A$2:$A$336,$B126,Votaciones!$B$2:$B$336,Explorador_Integrantes!$X$2,Votaciones!$D$2:$D$336,"Disenso restrictivo")&gt;0))</x:f>
      </x:c>
      <x:c r="E126" t="str">
        <x:f>IF($B126="","",--(COUNTIFS(Votaciones!$A$2:$A$336,$B126,Votaciones!$B$2:$B$336,Explorador_Integrantes!$X$2,Votaciones!$D$2:$D$336,"Disenso acomodaticio")&gt;0))</x:f>
      </x:c>
    </x:row>
    <x:row r="127">
      <x:c r="A127" s="112" t="str" cm="1">
        <x:f t="array" ref="A127">IF(ROWS($A$2:A127)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127)-1),"")</x:f>
      </x:c>
      <x:c r="B127" t="str" cm="1">
        <x:f t="array" ref="B127">IF($A127="","",INDEX(Decisiones!$A$2:$A$237,MATCH(INDEX(Explorador_Integrantes!$GO$2:$GO$30,MATCH(Explorador_Integrantes!$X$2,Explorador_Integrantes!$GN$2:$GN$30,0)),Decisiones!$B$2:$B$237,0)+ROWS($A$2:A127)-1))</x:f>
      </x:c>
      <x:c r="C127" t="str" cm="1">
        <x:f t="array" ref="C127">IF($A127="","",INDEX(Decisiones!$H$2:$H$237,MATCH(INDEX(Explorador_Integrantes!$GO$2:$GO$30,MATCH(Explorador_Integrantes!$X$2,Explorador_Integrantes!$GN$2:$GN$30,0)),Decisiones!$B$2:$B$237,0)+ROWS($A$2:A127)-1))</x:f>
      </x:c>
      <x:c r="D127" t="str">
        <x:f>IF($B127="","",--(COUNTIFS(Votaciones!$A$2:$A$336,$B127,Votaciones!$B$2:$B$336,Explorador_Integrantes!$X$2,Votaciones!$D$2:$D$336,"Disenso restrictivo")&gt;0))</x:f>
      </x:c>
      <x:c r="E127" t="str">
        <x:f>IF($B127="","",--(COUNTIFS(Votaciones!$A$2:$A$336,$B127,Votaciones!$B$2:$B$336,Explorador_Integrantes!$X$2,Votaciones!$D$2:$D$336,"Disenso acomodaticio")&gt;0))</x:f>
      </x:c>
    </x:row>
    <x:row r="128">
      <x:c r="A128" s="112" t="str" cm="1">
        <x:f t="array" ref="A128">IF(ROWS($A$2:A128)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128)-1),"")</x:f>
      </x:c>
      <x:c r="B128" t="str" cm="1">
        <x:f t="array" ref="B128">IF($A128="","",INDEX(Decisiones!$A$2:$A$237,MATCH(INDEX(Explorador_Integrantes!$GO$2:$GO$30,MATCH(Explorador_Integrantes!$X$2,Explorador_Integrantes!$GN$2:$GN$30,0)),Decisiones!$B$2:$B$237,0)+ROWS($A$2:A128)-1))</x:f>
      </x:c>
      <x:c r="C128" t="str" cm="1">
        <x:f t="array" ref="C128">IF($A128="","",INDEX(Decisiones!$H$2:$H$237,MATCH(INDEX(Explorador_Integrantes!$GO$2:$GO$30,MATCH(Explorador_Integrantes!$X$2,Explorador_Integrantes!$GN$2:$GN$30,0)),Decisiones!$B$2:$B$237,0)+ROWS($A$2:A128)-1))</x:f>
      </x:c>
      <x:c r="D128" t="str">
        <x:f>IF($B128="","",--(COUNTIFS(Votaciones!$A$2:$A$336,$B128,Votaciones!$B$2:$B$336,Explorador_Integrantes!$X$2,Votaciones!$D$2:$D$336,"Disenso restrictivo")&gt;0))</x:f>
      </x:c>
      <x:c r="E128" t="str">
        <x:f>IF($B128="","",--(COUNTIFS(Votaciones!$A$2:$A$336,$B128,Votaciones!$B$2:$B$336,Explorador_Integrantes!$X$2,Votaciones!$D$2:$D$336,"Disenso acomodaticio")&gt;0))</x:f>
      </x:c>
    </x:row>
    <x:row r="129">
      <x:c r="A129" s="112" t="str" cm="1">
        <x:f t="array" ref="A129">IF(ROWS($A$2:A129)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129)-1),"")</x:f>
      </x:c>
      <x:c r="B129" t="str" cm="1">
        <x:f t="array" ref="B129">IF($A129="","",INDEX(Decisiones!$A$2:$A$237,MATCH(INDEX(Explorador_Integrantes!$GO$2:$GO$30,MATCH(Explorador_Integrantes!$X$2,Explorador_Integrantes!$GN$2:$GN$30,0)),Decisiones!$B$2:$B$237,0)+ROWS($A$2:A129)-1))</x:f>
      </x:c>
      <x:c r="C129" t="str" cm="1">
        <x:f t="array" ref="C129">IF($A129="","",INDEX(Decisiones!$H$2:$H$237,MATCH(INDEX(Explorador_Integrantes!$GO$2:$GO$30,MATCH(Explorador_Integrantes!$X$2,Explorador_Integrantes!$GN$2:$GN$30,0)),Decisiones!$B$2:$B$237,0)+ROWS($A$2:A129)-1))</x:f>
      </x:c>
      <x:c r="D129" t="str">
        <x:f>IF($B129="","",--(COUNTIFS(Votaciones!$A$2:$A$336,$B129,Votaciones!$B$2:$B$336,Explorador_Integrantes!$X$2,Votaciones!$D$2:$D$336,"Disenso restrictivo")&gt;0))</x:f>
      </x:c>
      <x:c r="E129" t="str">
        <x:f>IF($B129="","",--(COUNTIFS(Votaciones!$A$2:$A$336,$B129,Votaciones!$B$2:$B$336,Explorador_Integrantes!$X$2,Votaciones!$D$2:$D$336,"Disenso acomodaticio")&gt;0))</x:f>
      </x:c>
    </x:row>
    <x:row r="130">
      <x:c r="A130" s="112" t="str" cm="1">
        <x:f t="array" ref="A130">IF(ROWS($A$2:A130)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130)-1),"")</x:f>
      </x:c>
      <x:c r="B130" t="str" cm="1">
        <x:f t="array" ref="B130">IF($A130="","",INDEX(Decisiones!$A$2:$A$237,MATCH(INDEX(Explorador_Integrantes!$GO$2:$GO$30,MATCH(Explorador_Integrantes!$X$2,Explorador_Integrantes!$GN$2:$GN$30,0)),Decisiones!$B$2:$B$237,0)+ROWS($A$2:A130)-1))</x:f>
      </x:c>
      <x:c r="C130" t="str" cm="1">
        <x:f t="array" ref="C130">IF($A130="","",INDEX(Decisiones!$H$2:$H$237,MATCH(INDEX(Explorador_Integrantes!$GO$2:$GO$30,MATCH(Explorador_Integrantes!$X$2,Explorador_Integrantes!$GN$2:$GN$30,0)),Decisiones!$B$2:$B$237,0)+ROWS($A$2:A130)-1))</x:f>
      </x:c>
      <x:c r="D130" t="str">
        <x:f>IF($B130="","",--(COUNTIFS(Votaciones!$A$2:$A$336,$B130,Votaciones!$B$2:$B$336,Explorador_Integrantes!$X$2,Votaciones!$D$2:$D$336,"Disenso restrictivo")&gt;0))</x:f>
      </x:c>
      <x:c r="E130" t="str">
        <x:f>IF($B130="","",--(COUNTIFS(Votaciones!$A$2:$A$336,$B130,Votaciones!$B$2:$B$336,Explorador_Integrantes!$X$2,Votaciones!$D$2:$D$336,"Disenso acomodaticio")&gt;0))</x:f>
      </x:c>
    </x:row>
    <x:row r="131">
      <x:c r="A131" s="112" t="str" cm="1">
        <x:f t="array" ref="A131">IF(ROWS($A$2:A131)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131)-1),"")</x:f>
      </x:c>
      <x:c r="B131" t="str" cm="1">
        <x:f t="array" ref="B131">IF($A131="","",INDEX(Decisiones!$A$2:$A$237,MATCH(INDEX(Explorador_Integrantes!$GO$2:$GO$30,MATCH(Explorador_Integrantes!$X$2,Explorador_Integrantes!$GN$2:$GN$30,0)),Decisiones!$B$2:$B$237,0)+ROWS($A$2:A131)-1))</x:f>
      </x:c>
      <x:c r="C131" t="str" cm="1">
        <x:f t="array" ref="C131">IF($A131="","",INDEX(Decisiones!$H$2:$H$237,MATCH(INDEX(Explorador_Integrantes!$GO$2:$GO$30,MATCH(Explorador_Integrantes!$X$2,Explorador_Integrantes!$GN$2:$GN$30,0)),Decisiones!$B$2:$B$237,0)+ROWS($A$2:A131)-1))</x:f>
      </x:c>
      <x:c r="D131" t="str">
        <x:f>IF($B131="","",--(COUNTIFS(Votaciones!$A$2:$A$336,$B131,Votaciones!$B$2:$B$336,Explorador_Integrantes!$X$2,Votaciones!$D$2:$D$336,"Disenso restrictivo")&gt;0))</x:f>
      </x:c>
      <x:c r="E131" t="str">
        <x:f>IF($B131="","",--(COUNTIFS(Votaciones!$A$2:$A$336,$B131,Votaciones!$B$2:$B$336,Explorador_Integrantes!$X$2,Votaciones!$D$2:$D$336,"Disenso acomodaticio")&gt;0))</x:f>
      </x:c>
    </x:row>
    <x:row r="132">
      <x:c r="A132" s="112" t="str" cm="1">
        <x:f t="array" ref="A132">IF(ROWS($A$2:A132)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132)-1),"")</x:f>
      </x:c>
      <x:c r="B132" t="str" cm="1">
        <x:f t="array" ref="B132">IF($A132="","",INDEX(Decisiones!$A$2:$A$237,MATCH(INDEX(Explorador_Integrantes!$GO$2:$GO$30,MATCH(Explorador_Integrantes!$X$2,Explorador_Integrantes!$GN$2:$GN$30,0)),Decisiones!$B$2:$B$237,0)+ROWS($A$2:A132)-1))</x:f>
      </x:c>
      <x:c r="C132" t="str" cm="1">
        <x:f t="array" ref="C132">IF($A132="","",INDEX(Decisiones!$H$2:$H$237,MATCH(INDEX(Explorador_Integrantes!$GO$2:$GO$30,MATCH(Explorador_Integrantes!$X$2,Explorador_Integrantes!$GN$2:$GN$30,0)),Decisiones!$B$2:$B$237,0)+ROWS($A$2:A132)-1))</x:f>
      </x:c>
      <x:c r="D132" t="str">
        <x:f>IF($B132="","",--(COUNTIFS(Votaciones!$A$2:$A$336,$B132,Votaciones!$B$2:$B$336,Explorador_Integrantes!$X$2,Votaciones!$D$2:$D$336,"Disenso restrictivo")&gt;0))</x:f>
      </x:c>
      <x:c r="E132" t="str">
        <x:f>IF($B132="","",--(COUNTIFS(Votaciones!$A$2:$A$336,$B132,Votaciones!$B$2:$B$336,Explorador_Integrantes!$X$2,Votaciones!$D$2:$D$336,"Disenso acomodaticio")&gt;0))</x:f>
      </x:c>
    </x:row>
    <x:row r="133">
      <x:c r="A133" s="112" t="str" cm="1">
        <x:f t="array" ref="A133">IF(ROWS($A$2:A133)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133)-1),"")</x:f>
      </x:c>
      <x:c r="B133" t="str" cm="1">
        <x:f t="array" ref="B133">IF($A133="","",INDEX(Decisiones!$A$2:$A$237,MATCH(INDEX(Explorador_Integrantes!$GO$2:$GO$30,MATCH(Explorador_Integrantes!$X$2,Explorador_Integrantes!$GN$2:$GN$30,0)),Decisiones!$B$2:$B$237,0)+ROWS($A$2:A133)-1))</x:f>
      </x:c>
      <x:c r="C133" t="str" cm="1">
        <x:f t="array" ref="C133">IF($A133="","",INDEX(Decisiones!$H$2:$H$237,MATCH(INDEX(Explorador_Integrantes!$GO$2:$GO$30,MATCH(Explorador_Integrantes!$X$2,Explorador_Integrantes!$GN$2:$GN$30,0)),Decisiones!$B$2:$B$237,0)+ROWS($A$2:A133)-1))</x:f>
      </x:c>
      <x:c r="D133" t="str">
        <x:f>IF($B133="","",--(COUNTIFS(Votaciones!$A$2:$A$336,$B133,Votaciones!$B$2:$B$336,Explorador_Integrantes!$X$2,Votaciones!$D$2:$D$336,"Disenso restrictivo")&gt;0))</x:f>
      </x:c>
      <x:c r="E133" t="str">
        <x:f>IF($B133="","",--(COUNTIFS(Votaciones!$A$2:$A$336,$B133,Votaciones!$B$2:$B$336,Explorador_Integrantes!$X$2,Votaciones!$D$2:$D$336,"Disenso acomodaticio")&gt;0))</x:f>
      </x:c>
    </x:row>
    <x:row r="134">
      <x:c r="A134" s="112" t="str" cm="1">
        <x:f t="array" ref="A134">IF(ROWS($A$2:A134)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134)-1),"")</x:f>
      </x:c>
      <x:c r="B134" t="str" cm="1">
        <x:f t="array" ref="B134">IF($A134="","",INDEX(Decisiones!$A$2:$A$237,MATCH(INDEX(Explorador_Integrantes!$GO$2:$GO$30,MATCH(Explorador_Integrantes!$X$2,Explorador_Integrantes!$GN$2:$GN$30,0)),Decisiones!$B$2:$B$237,0)+ROWS($A$2:A134)-1))</x:f>
      </x:c>
      <x:c r="C134" t="str" cm="1">
        <x:f t="array" ref="C134">IF($A134="","",INDEX(Decisiones!$H$2:$H$237,MATCH(INDEX(Explorador_Integrantes!$GO$2:$GO$30,MATCH(Explorador_Integrantes!$X$2,Explorador_Integrantes!$GN$2:$GN$30,0)),Decisiones!$B$2:$B$237,0)+ROWS($A$2:A134)-1))</x:f>
      </x:c>
      <x:c r="D134" t="str">
        <x:f>IF($B134="","",--(COUNTIFS(Votaciones!$A$2:$A$336,$B134,Votaciones!$B$2:$B$336,Explorador_Integrantes!$X$2,Votaciones!$D$2:$D$336,"Disenso restrictivo")&gt;0))</x:f>
      </x:c>
      <x:c r="E134" t="str">
        <x:f>IF($B134="","",--(COUNTIFS(Votaciones!$A$2:$A$336,$B134,Votaciones!$B$2:$B$336,Explorador_Integrantes!$X$2,Votaciones!$D$2:$D$336,"Disenso acomodaticio")&gt;0))</x:f>
      </x:c>
    </x:row>
    <x:row r="135">
      <x:c r="A135" s="112" t="str" cm="1">
        <x:f t="array" ref="A135">IF(ROWS($A$2:A135)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135)-1),"")</x:f>
      </x:c>
      <x:c r="B135" t="str" cm="1">
        <x:f t="array" ref="B135">IF($A135="","",INDEX(Decisiones!$A$2:$A$237,MATCH(INDEX(Explorador_Integrantes!$GO$2:$GO$30,MATCH(Explorador_Integrantes!$X$2,Explorador_Integrantes!$GN$2:$GN$30,0)),Decisiones!$B$2:$B$237,0)+ROWS($A$2:A135)-1))</x:f>
      </x:c>
      <x:c r="C135" t="str" cm="1">
        <x:f t="array" ref="C135">IF($A135="","",INDEX(Decisiones!$H$2:$H$237,MATCH(INDEX(Explorador_Integrantes!$GO$2:$GO$30,MATCH(Explorador_Integrantes!$X$2,Explorador_Integrantes!$GN$2:$GN$30,0)),Decisiones!$B$2:$B$237,0)+ROWS($A$2:A135)-1))</x:f>
      </x:c>
      <x:c r="D135" t="str">
        <x:f>IF($B135="","",--(COUNTIFS(Votaciones!$A$2:$A$336,$B135,Votaciones!$B$2:$B$336,Explorador_Integrantes!$X$2,Votaciones!$D$2:$D$336,"Disenso restrictivo")&gt;0))</x:f>
      </x:c>
      <x:c r="E135" t="str">
        <x:f>IF($B135="","",--(COUNTIFS(Votaciones!$A$2:$A$336,$B135,Votaciones!$B$2:$B$336,Explorador_Integrantes!$X$2,Votaciones!$D$2:$D$336,"Disenso acomodaticio")&gt;0))</x:f>
      </x:c>
    </x:row>
    <x:row r="136">
      <x:c r="A136" s="112" t="str" cm="1">
        <x:f t="array" ref="A136">IF(ROWS($A$2:A136)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136)-1),"")</x:f>
      </x:c>
      <x:c r="B136" t="str" cm="1">
        <x:f t="array" ref="B136">IF($A136="","",INDEX(Decisiones!$A$2:$A$237,MATCH(INDEX(Explorador_Integrantes!$GO$2:$GO$30,MATCH(Explorador_Integrantes!$X$2,Explorador_Integrantes!$GN$2:$GN$30,0)),Decisiones!$B$2:$B$237,0)+ROWS($A$2:A136)-1))</x:f>
      </x:c>
      <x:c r="C136" t="str" cm="1">
        <x:f t="array" ref="C136">IF($A136="","",INDEX(Decisiones!$H$2:$H$237,MATCH(INDEX(Explorador_Integrantes!$GO$2:$GO$30,MATCH(Explorador_Integrantes!$X$2,Explorador_Integrantes!$GN$2:$GN$30,0)),Decisiones!$B$2:$B$237,0)+ROWS($A$2:A136)-1))</x:f>
      </x:c>
      <x:c r="D136" t="str">
        <x:f>IF($B136="","",--(COUNTIFS(Votaciones!$A$2:$A$336,$B136,Votaciones!$B$2:$B$336,Explorador_Integrantes!$X$2,Votaciones!$D$2:$D$336,"Disenso restrictivo")&gt;0))</x:f>
      </x:c>
      <x:c r="E136" t="str">
        <x:f>IF($B136="","",--(COUNTIFS(Votaciones!$A$2:$A$336,$B136,Votaciones!$B$2:$B$336,Explorador_Integrantes!$X$2,Votaciones!$D$2:$D$336,"Disenso acomodaticio")&gt;0))</x:f>
      </x:c>
    </x:row>
    <x:row r="137">
      <x:c r="A137" s="112" t="str" cm="1">
        <x:f t="array" ref="A137">IF(ROWS($A$2:A137)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137)-1),"")</x:f>
      </x:c>
      <x:c r="B137" t="str" cm="1">
        <x:f t="array" ref="B137">IF($A137="","",INDEX(Decisiones!$A$2:$A$237,MATCH(INDEX(Explorador_Integrantes!$GO$2:$GO$30,MATCH(Explorador_Integrantes!$X$2,Explorador_Integrantes!$GN$2:$GN$30,0)),Decisiones!$B$2:$B$237,0)+ROWS($A$2:A137)-1))</x:f>
      </x:c>
      <x:c r="C137" t="str" cm="1">
        <x:f t="array" ref="C137">IF($A137="","",INDEX(Decisiones!$H$2:$H$237,MATCH(INDEX(Explorador_Integrantes!$GO$2:$GO$30,MATCH(Explorador_Integrantes!$X$2,Explorador_Integrantes!$GN$2:$GN$30,0)),Decisiones!$B$2:$B$237,0)+ROWS($A$2:A137)-1))</x:f>
      </x:c>
      <x:c r="D137" t="str">
        <x:f>IF($B137="","",--(COUNTIFS(Votaciones!$A$2:$A$336,$B137,Votaciones!$B$2:$B$336,Explorador_Integrantes!$X$2,Votaciones!$D$2:$D$336,"Disenso restrictivo")&gt;0))</x:f>
      </x:c>
      <x:c r="E137" t="str">
        <x:f>IF($B137="","",--(COUNTIFS(Votaciones!$A$2:$A$336,$B137,Votaciones!$B$2:$B$336,Explorador_Integrantes!$X$2,Votaciones!$D$2:$D$336,"Disenso acomodaticio")&gt;0))</x:f>
      </x:c>
    </x:row>
    <x:row r="138">
      <x:c r="A138" s="112" t="str" cm="1">
        <x:f t="array" ref="A138">IF(ROWS($A$2:A138)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138)-1),"")</x:f>
      </x:c>
      <x:c r="B138" t="str" cm="1">
        <x:f t="array" ref="B138">IF($A138="","",INDEX(Decisiones!$A$2:$A$237,MATCH(INDEX(Explorador_Integrantes!$GO$2:$GO$30,MATCH(Explorador_Integrantes!$X$2,Explorador_Integrantes!$GN$2:$GN$30,0)),Decisiones!$B$2:$B$237,0)+ROWS($A$2:A138)-1))</x:f>
      </x:c>
      <x:c r="C138" t="str" cm="1">
        <x:f t="array" ref="C138">IF($A138="","",INDEX(Decisiones!$H$2:$H$237,MATCH(INDEX(Explorador_Integrantes!$GO$2:$GO$30,MATCH(Explorador_Integrantes!$X$2,Explorador_Integrantes!$GN$2:$GN$30,0)),Decisiones!$B$2:$B$237,0)+ROWS($A$2:A138)-1))</x:f>
      </x:c>
      <x:c r="D138" t="str">
        <x:f>IF($B138="","",--(COUNTIFS(Votaciones!$A$2:$A$336,$B138,Votaciones!$B$2:$B$336,Explorador_Integrantes!$X$2,Votaciones!$D$2:$D$336,"Disenso restrictivo")&gt;0))</x:f>
      </x:c>
      <x:c r="E138" t="str">
        <x:f>IF($B138="","",--(COUNTIFS(Votaciones!$A$2:$A$336,$B138,Votaciones!$B$2:$B$336,Explorador_Integrantes!$X$2,Votaciones!$D$2:$D$336,"Disenso acomodaticio")&gt;0))</x:f>
      </x:c>
    </x:row>
    <x:row r="139">
      <x:c r="A139" s="112" t="str" cm="1">
        <x:f t="array" ref="A139">IF(ROWS($A$2:A139)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139)-1),"")</x:f>
      </x:c>
      <x:c r="B139" t="str" cm="1">
        <x:f t="array" ref="B139">IF($A139="","",INDEX(Decisiones!$A$2:$A$237,MATCH(INDEX(Explorador_Integrantes!$GO$2:$GO$30,MATCH(Explorador_Integrantes!$X$2,Explorador_Integrantes!$GN$2:$GN$30,0)),Decisiones!$B$2:$B$237,0)+ROWS($A$2:A139)-1))</x:f>
      </x:c>
      <x:c r="C139" t="str" cm="1">
        <x:f t="array" ref="C139">IF($A139="","",INDEX(Decisiones!$H$2:$H$237,MATCH(INDEX(Explorador_Integrantes!$GO$2:$GO$30,MATCH(Explorador_Integrantes!$X$2,Explorador_Integrantes!$GN$2:$GN$30,0)),Decisiones!$B$2:$B$237,0)+ROWS($A$2:A139)-1))</x:f>
      </x:c>
      <x:c r="D139" t="str">
        <x:f>IF($B139="","",--(COUNTIFS(Votaciones!$A$2:$A$336,$B139,Votaciones!$B$2:$B$336,Explorador_Integrantes!$X$2,Votaciones!$D$2:$D$336,"Disenso restrictivo")&gt;0))</x:f>
      </x:c>
      <x:c r="E139" t="str">
        <x:f>IF($B139="","",--(COUNTIFS(Votaciones!$A$2:$A$336,$B139,Votaciones!$B$2:$B$336,Explorador_Integrantes!$X$2,Votaciones!$D$2:$D$336,"Disenso acomodaticio")&gt;0))</x:f>
      </x:c>
    </x:row>
    <x:row r="140">
      <x:c r="A140" s="112" t="str" cm="1">
        <x:f t="array" ref="A140">IF(ROWS($A$2:A140)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140)-1),"")</x:f>
      </x:c>
      <x:c r="B140" t="str" cm="1">
        <x:f t="array" ref="B140">IF($A140="","",INDEX(Decisiones!$A$2:$A$237,MATCH(INDEX(Explorador_Integrantes!$GO$2:$GO$30,MATCH(Explorador_Integrantes!$X$2,Explorador_Integrantes!$GN$2:$GN$30,0)),Decisiones!$B$2:$B$237,0)+ROWS($A$2:A140)-1))</x:f>
      </x:c>
      <x:c r="C140" t="str" cm="1">
        <x:f t="array" ref="C140">IF($A140="","",INDEX(Decisiones!$H$2:$H$237,MATCH(INDEX(Explorador_Integrantes!$GO$2:$GO$30,MATCH(Explorador_Integrantes!$X$2,Explorador_Integrantes!$GN$2:$GN$30,0)),Decisiones!$B$2:$B$237,0)+ROWS($A$2:A140)-1))</x:f>
      </x:c>
      <x:c r="D140" t="str">
        <x:f>IF($B140="","",--(COUNTIFS(Votaciones!$A$2:$A$336,$B140,Votaciones!$B$2:$B$336,Explorador_Integrantes!$X$2,Votaciones!$D$2:$D$336,"Disenso restrictivo")&gt;0))</x:f>
      </x:c>
      <x:c r="E140" t="str">
        <x:f>IF($B140="","",--(COUNTIFS(Votaciones!$A$2:$A$336,$B140,Votaciones!$B$2:$B$336,Explorador_Integrantes!$X$2,Votaciones!$D$2:$D$336,"Disenso acomodaticio")&gt;0))</x:f>
      </x:c>
    </x:row>
    <x:row r="141">
      <x:c r="A141" s="112" t="str" cm="1">
        <x:f t="array" ref="A141">IF(ROWS($A$2:A141)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141)-1),"")</x:f>
      </x:c>
      <x:c r="B141" t="str" cm="1">
        <x:f t="array" ref="B141">IF($A141="","",INDEX(Decisiones!$A$2:$A$237,MATCH(INDEX(Explorador_Integrantes!$GO$2:$GO$30,MATCH(Explorador_Integrantes!$X$2,Explorador_Integrantes!$GN$2:$GN$30,0)),Decisiones!$B$2:$B$237,0)+ROWS($A$2:A141)-1))</x:f>
      </x:c>
      <x:c r="C141" t="str" cm="1">
        <x:f t="array" ref="C141">IF($A141="","",INDEX(Decisiones!$H$2:$H$237,MATCH(INDEX(Explorador_Integrantes!$GO$2:$GO$30,MATCH(Explorador_Integrantes!$X$2,Explorador_Integrantes!$GN$2:$GN$30,0)),Decisiones!$B$2:$B$237,0)+ROWS($A$2:A141)-1))</x:f>
      </x:c>
      <x:c r="D141" t="str">
        <x:f>IF($B141="","",--(COUNTIFS(Votaciones!$A$2:$A$336,$B141,Votaciones!$B$2:$B$336,Explorador_Integrantes!$X$2,Votaciones!$D$2:$D$336,"Disenso restrictivo")&gt;0))</x:f>
      </x:c>
      <x:c r="E141" t="str">
        <x:f>IF($B141="","",--(COUNTIFS(Votaciones!$A$2:$A$336,$B141,Votaciones!$B$2:$B$336,Explorador_Integrantes!$X$2,Votaciones!$D$2:$D$336,"Disenso acomodaticio")&gt;0))</x:f>
      </x:c>
    </x:row>
    <x:row r="142">
      <x:c r="A142" s="112" t="str" cm="1">
        <x:f t="array" ref="A142">IF(ROWS($A$2:A142)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142)-1),"")</x:f>
      </x:c>
      <x:c r="B142" t="str" cm="1">
        <x:f t="array" ref="B142">IF($A142="","",INDEX(Decisiones!$A$2:$A$237,MATCH(INDEX(Explorador_Integrantes!$GO$2:$GO$30,MATCH(Explorador_Integrantes!$X$2,Explorador_Integrantes!$GN$2:$GN$30,0)),Decisiones!$B$2:$B$237,0)+ROWS($A$2:A142)-1))</x:f>
      </x:c>
      <x:c r="C142" t="str" cm="1">
        <x:f t="array" ref="C142">IF($A142="","",INDEX(Decisiones!$H$2:$H$237,MATCH(INDEX(Explorador_Integrantes!$GO$2:$GO$30,MATCH(Explorador_Integrantes!$X$2,Explorador_Integrantes!$GN$2:$GN$30,0)),Decisiones!$B$2:$B$237,0)+ROWS($A$2:A142)-1))</x:f>
      </x:c>
      <x:c r="D142" t="str">
        <x:f>IF($B142="","",--(COUNTIFS(Votaciones!$A$2:$A$336,$B142,Votaciones!$B$2:$B$336,Explorador_Integrantes!$X$2,Votaciones!$D$2:$D$336,"Disenso restrictivo")&gt;0))</x:f>
      </x:c>
      <x:c r="E142" t="str">
        <x:f>IF($B142="","",--(COUNTIFS(Votaciones!$A$2:$A$336,$B142,Votaciones!$B$2:$B$336,Explorador_Integrantes!$X$2,Votaciones!$D$2:$D$336,"Disenso acomodaticio")&gt;0))</x:f>
      </x:c>
    </x:row>
    <x:row r="143">
      <x:c r="A143" s="112" t="str" cm="1">
        <x:f t="array" ref="A143">IF(ROWS($A$2:A143)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143)-1),"")</x:f>
      </x:c>
      <x:c r="B143" t="str" cm="1">
        <x:f t="array" ref="B143">IF($A143="","",INDEX(Decisiones!$A$2:$A$237,MATCH(INDEX(Explorador_Integrantes!$GO$2:$GO$30,MATCH(Explorador_Integrantes!$X$2,Explorador_Integrantes!$GN$2:$GN$30,0)),Decisiones!$B$2:$B$237,0)+ROWS($A$2:A143)-1))</x:f>
      </x:c>
      <x:c r="C143" t="str" cm="1">
        <x:f t="array" ref="C143">IF($A143="","",INDEX(Decisiones!$H$2:$H$237,MATCH(INDEX(Explorador_Integrantes!$GO$2:$GO$30,MATCH(Explorador_Integrantes!$X$2,Explorador_Integrantes!$GN$2:$GN$30,0)),Decisiones!$B$2:$B$237,0)+ROWS($A$2:A143)-1))</x:f>
      </x:c>
      <x:c r="D143" t="str">
        <x:f>IF($B143="","",--(COUNTIFS(Votaciones!$A$2:$A$336,$B143,Votaciones!$B$2:$B$336,Explorador_Integrantes!$X$2,Votaciones!$D$2:$D$336,"Disenso restrictivo")&gt;0))</x:f>
      </x:c>
      <x:c r="E143" t="str">
        <x:f>IF($B143="","",--(COUNTIFS(Votaciones!$A$2:$A$336,$B143,Votaciones!$B$2:$B$336,Explorador_Integrantes!$X$2,Votaciones!$D$2:$D$336,"Disenso acomodaticio")&gt;0))</x:f>
      </x:c>
    </x:row>
    <x:row r="144">
      <x:c r="A144" s="112" t="str" cm="1">
        <x:f t="array" ref="A144">IF(ROWS($A$2:A144)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144)-1),"")</x:f>
      </x:c>
      <x:c r="B144" t="str" cm="1">
        <x:f t="array" ref="B144">IF($A144="","",INDEX(Decisiones!$A$2:$A$237,MATCH(INDEX(Explorador_Integrantes!$GO$2:$GO$30,MATCH(Explorador_Integrantes!$X$2,Explorador_Integrantes!$GN$2:$GN$30,0)),Decisiones!$B$2:$B$237,0)+ROWS($A$2:A144)-1))</x:f>
      </x:c>
      <x:c r="C144" t="str" cm="1">
        <x:f t="array" ref="C144">IF($A144="","",INDEX(Decisiones!$H$2:$H$237,MATCH(INDEX(Explorador_Integrantes!$GO$2:$GO$30,MATCH(Explorador_Integrantes!$X$2,Explorador_Integrantes!$GN$2:$GN$30,0)),Decisiones!$B$2:$B$237,0)+ROWS($A$2:A144)-1))</x:f>
      </x:c>
      <x:c r="D144" t="str">
        <x:f>IF($B144="","",--(COUNTIFS(Votaciones!$A$2:$A$336,$B144,Votaciones!$B$2:$B$336,Explorador_Integrantes!$X$2,Votaciones!$D$2:$D$336,"Disenso restrictivo")&gt;0))</x:f>
      </x:c>
      <x:c r="E144" t="str">
        <x:f>IF($B144="","",--(COUNTIFS(Votaciones!$A$2:$A$336,$B144,Votaciones!$B$2:$B$336,Explorador_Integrantes!$X$2,Votaciones!$D$2:$D$336,"Disenso acomodaticio")&gt;0))</x:f>
      </x:c>
    </x:row>
    <x:row r="145">
      <x:c r="A145" s="112" t="str" cm="1">
        <x:f t="array" ref="A145">IF(ROWS($A$2:A145)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145)-1),"")</x:f>
      </x:c>
      <x:c r="B145" t="str" cm="1">
        <x:f t="array" ref="B145">IF($A145="","",INDEX(Decisiones!$A$2:$A$237,MATCH(INDEX(Explorador_Integrantes!$GO$2:$GO$30,MATCH(Explorador_Integrantes!$X$2,Explorador_Integrantes!$GN$2:$GN$30,0)),Decisiones!$B$2:$B$237,0)+ROWS($A$2:A145)-1))</x:f>
      </x:c>
      <x:c r="C145" t="str" cm="1">
        <x:f t="array" ref="C145">IF($A145="","",INDEX(Decisiones!$H$2:$H$237,MATCH(INDEX(Explorador_Integrantes!$GO$2:$GO$30,MATCH(Explorador_Integrantes!$X$2,Explorador_Integrantes!$GN$2:$GN$30,0)),Decisiones!$B$2:$B$237,0)+ROWS($A$2:A145)-1))</x:f>
      </x:c>
      <x:c r="D145" t="str">
        <x:f>IF($B145="","",--(COUNTIFS(Votaciones!$A$2:$A$336,$B145,Votaciones!$B$2:$B$336,Explorador_Integrantes!$X$2,Votaciones!$D$2:$D$336,"Disenso restrictivo")&gt;0))</x:f>
      </x:c>
      <x:c r="E145" t="str">
        <x:f>IF($B145="","",--(COUNTIFS(Votaciones!$A$2:$A$336,$B145,Votaciones!$B$2:$B$336,Explorador_Integrantes!$X$2,Votaciones!$D$2:$D$336,"Disenso acomodaticio")&gt;0))</x:f>
      </x:c>
    </x:row>
    <x:row r="146">
      <x:c r="A146" s="112" t="str" cm="1">
        <x:f t="array" ref="A146">IF(ROWS($A$2:A146)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146)-1),"")</x:f>
      </x:c>
      <x:c r="B146" t="str" cm="1">
        <x:f t="array" ref="B146">IF($A146="","",INDEX(Decisiones!$A$2:$A$237,MATCH(INDEX(Explorador_Integrantes!$GO$2:$GO$30,MATCH(Explorador_Integrantes!$X$2,Explorador_Integrantes!$GN$2:$GN$30,0)),Decisiones!$B$2:$B$237,0)+ROWS($A$2:A146)-1))</x:f>
      </x:c>
      <x:c r="C146" t="str" cm="1">
        <x:f t="array" ref="C146">IF($A146="","",INDEX(Decisiones!$H$2:$H$237,MATCH(INDEX(Explorador_Integrantes!$GO$2:$GO$30,MATCH(Explorador_Integrantes!$X$2,Explorador_Integrantes!$GN$2:$GN$30,0)),Decisiones!$B$2:$B$237,0)+ROWS($A$2:A146)-1))</x:f>
      </x:c>
      <x:c r="D146" t="str">
        <x:f>IF($B146="","",--(COUNTIFS(Votaciones!$A$2:$A$336,$B146,Votaciones!$B$2:$B$336,Explorador_Integrantes!$X$2,Votaciones!$D$2:$D$336,"Disenso restrictivo")&gt;0))</x:f>
      </x:c>
      <x:c r="E146" t="str">
        <x:f>IF($B146="","",--(COUNTIFS(Votaciones!$A$2:$A$336,$B146,Votaciones!$B$2:$B$336,Explorador_Integrantes!$X$2,Votaciones!$D$2:$D$336,"Disenso acomodaticio")&gt;0))</x:f>
      </x:c>
    </x:row>
    <x:row r="147">
      <x:c r="A147" s="112" t="str" cm="1">
        <x:f t="array" ref="A147">IF(ROWS($A$2:A147)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147)-1),"")</x:f>
      </x:c>
      <x:c r="B147" t="str" cm="1">
        <x:f t="array" ref="B147">IF($A147="","",INDEX(Decisiones!$A$2:$A$237,MATCH(INDEX(Explorador_Integrantes!$GO$2:$GO$30,MATCH(Explorador_Integrantes!$X$2,Explorador_Integrantes!$GN$2:$GN$30,0)),Decisiones!$B$2:$B$237,0)+ROWS($A$2:A147)-1))</x:f>
      </x:c>
      <x:c r="C147" t="str" cm="1">
        <x:f t="array" ref="C147">IF($A147="","",INDEX(Decisiones!$H$2:$H$237,MATCH(INDEX(Explorador_Integrantes!$GO$2:$GO$30,MATCH(Explorador_Integrantes!$X$2,Explorador_Integrantes!$GN$2:$GN$30,0)),Decisiones!$B$2:$B$237,0)+ROWS($A$2:A147)-1))</x:f>
      </x:c>
      <x:c r="D147" t="str">
        <x:f>IF($B147="","",--(COUNTIFS(Votaciones!$A$2:$A$336,$B147,Votaciones!$B$2:$B$336,Explorador_Integrantes!$X$2,Votaciones!$D$2:$D$336,"Disenso restrictivo")&gt;0))</x:f>
      </x:c>
      <x:c r="E147" t="str">
        <x:f>IF($B147="","",--(COUNTIFS(Votaciones!$A$2:$A$336,$B147,Votaciones!$B$2:$B$336,Explorador_Integrantes!$X$2,Votaciones!$D$2:$D$336,"Disenso acomodaticio")&gt;0))</x:f>
      </x:c>
    </x:row>
    <x:row r="148">
      <x:c r="A148" s="112" t="str" cm="1">
        <x:f t="array" ref="A148">IF(ROWS($A$2:A148)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148)-1),"")</x:f>
      </x:c>
      <x:c r="B148" t="str" cm="1">
        <x:f t="array" ref="B148">IF($A148="","",INDEX(Decisiones!$A$2:$A$237,MATCH(INDEX(Explorador_Integrantes!$GO$2:$GO$30,MATCH(Explorador_Integrantes!$X$2,Explorador_Integrantes!$GN$2:$GN$30,0)),Decisiones!$B$2:$B$237,0)+ROWS($A$2:A148)-1))</x:f>
      </x:c>
      <x:c r="C148" t="str" cm="1">
        <x:f t="array" ref="C148">IF($A148="","",INDEX(Decisiones!$H$2:$H$237,MATCH(INDEX(Explorador_Integrantes!$GO$2:$GO$30,MATCH(Explorador_Integrantes!$X$2,Explorador_Integrantes!$GN$2:$GN$30,0)),Decisiones!$B$2:$B$237,0)+ROWS($A$2:A148)-1))</x:f>
      </x:c>
      <x:c r="D148" t="str">
        <x:f>IF($B148="","",--(COUNTIFS(Votaciones!$A$2:$A$336,$B148,Votaciones!$B$2:$B$336,Explorador_Integrantes!$X$2,Votaciones!$D$2:$D$336,"Disenso restrictivo")&gt;0))</x:f>
      </x:c>
      <x:c r="E148" t="str">
        <x:f>IF($B148="","",--(COUNTIFS(Votaciones!$A$2:$A$336,$B148,Votaciones!$B$2:$B$336,Explorador_Integrantes!$X$2,Votaciones!$D$2:$D$336,"Disenso acomodaticio")&gt;0))</x:f>
      </x:c>
    </x:row>
    <x:row r="149">
      <x:c r="A149" s="112" t="str" cm="1">
        <x:f t="array" ref="A149">IF(ROWS($A$2:A149)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149)-1),"")</x:f>
      </x:c>
      <x:c r="B149" t="str" cm="1">
        <x:f t="array" ref="B149">IF($A149="","",INDEX(Decisiones!$A$2:$A$237,MATCH(INDEX(Explorador_Integrantes!$GO$2:$GO$30,MATCH(Explorador_Integrantes!$X$2,Explorador_Integrantes!$GN$2:$GN$30,0)),Decisiones!$B$2:$B$237,0)+ROWS($A$2:A149)-1))</x:f>
      </x:c>
      <x:c r="C149" t="str" cm="1">
        <x:f t="array" ref="C149">IF($A149="","",INDEX(Decisiones!$H$2:$H$237,MATCH(INDEX(Explorador_Integrantes!$GO$2:$GO$30,MATCH(Explorador_Integrantes!$X$2,Explorador_Integrantes!$GN$2:$GN$30,0)),Decisiones!$B$2:$B$237,0)+ROWS($A$2:A149)-1))</x:f>
      </x:c>
      <x:c r="D149" t="str">
        <x:f>IF($B149="","",--(COUNTIFS(Votaciones!$A$2:$A$336,$B149,Votaciones!$B$2:$B$336,Explorador_Integrantes!$X$2,Votaciones!$D$2:$D$336,"Disenso restrictivo")&gt;0))</x:f>
      </x:c>
      <x:c r="E149" t="str">
        <x:f>IF($B149="","",--(COUNTIFS(Votaciones!$A$2:$A$336,$B149,Votaciones!$B$2:$B$336,Explorador_Integrantes!$X$2,Votaciones!$D$2:$D$336,"Disenso acomodaticio")&gt;0))</x:f>
      </x:c>
    </x:row>
    <x:row r="150">
      <x:c r="A150" s="112" t="str" cm="1">
        <x:f t="array" ref="A150">IF(ROWS($A$2:A150)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150)-1),"")</x:f>
      </x:c>
      <x:c r="B150" t="str" cm="1">
        <x:f t="array" ref="B150">IF($A150="","",INDEX(Decisiones!$A$2:$A$237,MATCH(INDEX(Explorador_Integrantes!$GO$2:$GO$30,MATCH(Explorador_Integrantes!$X$2,Explorador_Integrantes!$GN$2:$GN$30,0)),Decisiones!$B$2:$B$237,0)+ROWS($A$2:A150)-1))</x:f>
      </x:c>
      <x:c r="C150" t="str" cm="1">
        <x:f t="array" ref="C150">IF($A150="","",INDEX(Decisiones!$H$2:$H$237,MATCH(INDEX(Explorador_Integrantes!$GO$2:$GO$30,MATCH(Explorador_Integrantes!$X$2,Explorador_Integrantes!$GN$2:$GN$30,0)),Decisiones!$B$2:$B$237,0)+ROWS($A$2:A150)-1))</x:f>
      </x:c>
      <x:c r="D150" t="str">
        <x:f>IF($B150="","",--(COUNTIFS(Votaciones!$A$2:$A$336,$B150,Votaciones!$B$2:$B$336,Explorador_Integrantes!$X$2,Votaciones!$D$2:$D$336,"Disenso restrictivo")&gt;0))</x:f>
      </x:c>
      <x:c r="E150" t="str">
        <x:f>IF($B150="","",--(COUNTIFS(Votaciones!$A$2:$A$336,$B150,Votaciones!$B$2:$B$336,Explorador_Integrantes!$X$2,Votaciones!$D$2:$D$336,"Disenso acomodaticio")&gt;0))</x:f>
      </x:c>
    </x:row>
    <x:row r="151">
      <x:c r="A151" s="112" t="str" cm="1">
        <x:f t="array" ref="A151">IF(ROWS($A$2:A151)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151)-1),"")</x:f>
      </x:c>
      <x:c r="B151" t="str" cm="1">
        <x:f t="array" ref="B151">IF($A151="","",INDEX(Decisiones!$A$2:$A$237,MATCH(INDEX(Explorador_Integrantes!$GO$2:$GO$30,MATCH(Explorador_Integrantes!$X$2,Explorador_Integrantes!$GN$2:$GN$30,0)),Decisiones!$B$2:$B$237,0)+ROWS($A$2:A151)-1))</x:f>
      </x:c>
      <x:c r="C151" t="str" cm="1">
        <x:f t="array" ref="C151">IF($A151="","",INDEX(Decisiones!$H$2:$H$237,MATCH(INDEX(Explorador_Integrantes!$GO$2:$GO$30,MATCH(Explorador_Integrantes!$X$2,Explorador_Integrantes!$GN$2:$GN$30,0)),Decisiones!$B$2:$B$237,0)+ROWS($A$2:A151)-1))</x:f>
      </x:c>
      <x:c r="D151" t="str">
        <x:f>IF($B151="","",--(COUNTIFS(Votaciones!$A$2:$A$336,$B151,Votaciones!$B$2:$B$336,Explorador_Integrantes!$X$2,Votaciones!$D$2:$D$336,"Disenso restrictivo")&gt;0))</x:f>
      </x:c>
      <x:c r="E151" t="str">
        <x:f>IF($B151="","",--(COUNTIFS(Votaciones!$A$2:$A$336,$B151,Votaciones!$B$2:$B$336,Explorador_Integrantes!$X$2,Votaciones!$D$2:$D$336,"Disenso acomodaticio")&gt;0))</x:f>
      </x:c>
    </x:row>
    <x:row r="152">
      <x:c r="A152" s="112" t="str" cm="1">
        <x:f t="array" ref="A152">IF(ROWS($A$2:A152)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152)-1),"")</x:f>
      </x:c>
      <x:c r="B152" t="str" cm="1">
        <x:f t="array" ref="B152">IF($A152="","",INDEX(Decisiones!$A$2:$A$237,MATCH(INDEX(Explorador_Integrantes!$GO$2:$GO$30,MATCH(Explorador_Integrantes!$X$2,Explorador_Integrantes!$GN$2:$GN$30,0)),Decisiones!$B$2:$B$237,0)+ROWS($A$2:A152)-1))</x:f>
      </x:c>
      <x:c r="C152" t="str" cm="1">
        <x:f t="array" ref="C152">IF($A152="","",INDEX(Decisiones!$H$2:$H$237,MATCH(INDEX(Explorador_Integrantes!$GO$2:$GO$30,MATCH(Explorador_Integrantes!$X$2,Explorador_Integrantes!$GN$2:$GN$30,0)),Decisiones!$B$2:$B$237,0)+ROWS($A$2:A152)-1))</x:f>
      </x:c>
      <x:c r="D152" t="str">
        <x:f>IF($B152="","",--(COUNTIFS(Votaciones!$A$2:$A$336,$B152,Votaciones!$B$2:$B$336,Explorador_Integrantes!$X$2,Votaciones!$D$2:$D$336,"Disenso restrictivo")&gt;0))</x:f>
      </x:c>
      <x:c r="E152" t="str">
        <x:f>IF($B152="","",--(COUNTIFS(Votaciones!$A$2:$A$336,$B152,Votaciones!$B$2:$B$336,Explorador_Integrantes!$X$2,Votaciones!$D$2:$D$336,"Disenso acomodaticio")&gt;0))</x:f>
      </x:c>
    </x:row>
    <x:row r="153">
      <x:c r="A153" s="112" t="str" cm="1">
        <x:f t="array" ref="A153">IF(ROWS($A$2:A153)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153)-1),"")</x:f>
      </x:c>
      <x:c r="B153" t="str" cm="1">
        <x:f t="array" ref="B153">IF($A153="","",INDEX(Decisiones!$A$2:$A$237,MATCH(INDEX(Explorador_Integrantes!$GO$2:$GO$30,MATCH(Explorador_Integrantes!$X$2,Explorador_Integrantes!$GN$2:$GN$30,0)),Decisiones!$B$2:$B$237,0)+ROWS($A$2:A153)-1))</x:f>
      </x:c>
      <x:c r="C153" t="str" cm="1">
        <x:f t="array" ref="C153">IF($A153="","",INDEX(Decisiones!$H$2:$H$237,MATCH(INDEX(Explorador_Integrantes!$GO$2:$GO$30,MATCH(Explorador_Integrantes!$X$2,Explorador_Integrantes!$GN$2:$GN$30,0)),Decisiones!$B$2:$B$237,0)+ROWS($A$2:A153)-1))</x:f>
      </x:c>
      <x:c r="D153" t="str">
        <x:f>IF($B153="","",--(COUNTIFS(Votaciones!$A$2:$A$336,$B153,Votaciones!$B$2:$B$336,Explorador_Integrantes!$X$2,Votaciones!$D$2:$D$336,"Disenso restrictivo")&gt;0))</x:f>
      </x:c>
      <x:c r="E153" t="str">
        <x:f>IF($B153="","",--(COUNTIFS(Votaciones!$A$2:$A$336,$B153,Votaciones!$B$2:$B$336,Explorador_Integrantes!$X$2,Votaciones!$D$2:$D$336,"Disenso acomodaticio")&gt;0))</x:f>
      </x:c>
    </x:row>
    <x:row r="154">
      <x:c r="A154" s="112" t="str" cm="1">
        <x:f t="array" ref="A154">IF(ROWS($A$2:A154)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154)-1),"")</x:f>
      </x:c>
      <x:c r="B154" t="str" cm="1">
        <x:f t="array" ref="B154">IF($A154="","",INDEX(Decisiones!$A$2:$A$237,MATCH(INDEX(Explorador_Integrantes!$GO$2:$GO$30,MATCH(Explorador_Integrantes!$X$2,Explorador_Integrantes!$GN$2:$GN$30,0)),Decisiones!$B$2:$B$237,0)+ROWS($A$2:A154)-1))</x:f>
      </x:c>
      <x:c r="C154" t="str" cm="1">
        <x:f t="array" ref="C154">IF($A154="","",INDEX(Decisiones!$H$2:$H$237,MATCH(INDEX(Explorador_Integrantes!$GO$2:$GO$30,MATCH(Explorador_Integrantes!$X$2,Explorador_Integrantes!$GN$2:$GN$30,0)),Decisiones!$B$2:$B$237,0)+ROWS($A$2:A154)-1))</x:f>
      </x:c>
      <x:c r="D154" t="str">
        <x:f>IF($B154="","",--(COUNTIFS(Votaciones!$A$2:$A$336,$B154,Votaciones!$B$2:$B$336,Explorador_Integrantes!$X$2,Votaciones!$D$2:$D$336,"Disenso restrictivo")&gt;0))</x:f>
      </x:c>
      <x:c r="E154" t="str">
        <x:f>IF($B154="","",--(COUNTIFS(Votaciones!$A$2:$A$336,$B154,Votaciones!$B$2:$B$336,Explorador_Integrantes!$X$2,Votaciones!$D$2:$D$336,"Disenso acomodaticio")&gt;0))</x:f>
      </x:c>
    </x:row>
    <x:row r="155">
      <x:c r="A155" s="112" t="str" cm="1">
        <x:f t="array" ref="A155">IF(ROWS($A$2:A155)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155)-1),"")</x:f>
      </x:c>
      <x:c r="B155" t="str" cm="1">
        <x:f t="array" ref="B155">IF($A155="","",INDEX(Decisiones!$A$2:$A$237,MATCH(INDEX(Explorador_Integrantes!$GO$2:$GO$30,MATCH(Explorador_Integrantes!$X$2,Explorador_Integrantes!$GN$2:$GN$30,0)),Decisiones!$B$2:$B$237,0)+ROWS($A$2:A155)-1))</x:f>
      </x:c>
      <x:c r="C155" t="str" cm="1">
        <x:f t="array" ref="C155">IF($A155="","",INDEX(Decisiones!$H$2:$H$237,MATCH(INDEX(Explorador_Integrantes!$GO$2:$GO$30,MATCH(Explorador_Integrantes!$X$2,Explorador_Integrantes!$GN$2:$GN$30,0)),Decisiones!$B$2:$B$237,0)+ROWS($A$2:A155)-1))</x:f>
      </x:c>
      <x:c r="D155" t="str">
        <x:f>IF($B155="","",--(COUNTIFS(Votaciones!$A$2:$A$336,$B155,Votaciones!$B$2:$B$336,Explorador_Integrantes!$X$2,Votaciones!$D$2:$D$336,"Disenso restrictivo")&gt;0))</x:f>
      </x:c>
      <x:c r="E155" t="str">
        <x:f>IF($B155="","",--(COUNTIFS(Votaciones!$A$2:$A$336,$B155,Votaciones!$B$2:$B$336,Explorador_Integrantes!$X$2,Votaciones!$D$2:$D$336,"Disenso acomodaticio")&gt;0))</x:f>
      </x:c>
    </x:row>
    <x:row r="156">
      <x:c r="A156" s="112" t="str" cm="1">
        <x:f t="array" ref="A156">IF(ROWS($A$2:A156)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156)-1),"")</x:f>
      </x:c>
      <x:c r="B156" t="str" cm="1">
        <x:f t="array" ref="B156">IF($A156="","",INDEX(Decisiones!$A$2:$A$237,MATCH(INDEX(Explorador_Integrantes!$GO$2:$GO$30,MATCH(Explorador_Integrantes!$X$2,Explorador_Integrantes!$GN$2:$GN$30,0)),Decisiones!$B$2:$B$237,0)+ROWS($A$2:A156)-1))</x:f>
      </x:c>
      <x:c r="C156" t="str" cm="1">
        <x:f t="array" ref="C156">IF($A156="","",INDEX(Decisiones!$H$2:$H$237,MATCH(INDEX(Explorador_Integrantes!$GO$2:$GO$30,MATCH(Explorador_Integrantes!$X$2,Explorador_Integrantes!$GN$2:$GN$30,0)),Decisiones!$B$2:$B$237,0)+ROWS($A$2:A156)-1))</x:f>
      </x:c>
      <x:c r="D156" t="str">
        <x:f>IF($B156="","",--(COUNTIFS(Votaciones!$A$2:$A$336,$B156,Votaciones!$B$2:$B$336,Explorador_Integrantes!$X$2,Votaciones!$D$2:$D$336,"Disenso restrictivo")&gt;0))</x:f>
      </x:c>
      <x:c r="E156" t="str">
        <x:f>IF($B156="","",--(COUNTIFS(Votaciones!$A$2:$A$336,$B156,Votaciones!$B$2:$B$336,Explorador_Integrantes!$X$2,Votaciones!$D$2:$D$336,"Disenso acomodaticio")&gt;0))</x:f>
      </x:c>
    </x:row>
    <x:row r="157">
      <x:c r="A157" s="112" t="str" cm="1">
        <x:f t="array" ref="A157">IF(ROWS($A$2:A157)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157)-1),"")</x:f>
      </x:c>
      <x:c r="B157" t="str" cm="1">
        <x:f t="array" ref="B157">IF($A157="","",INDEX(Decisiones!$A$2:$A$237,MATCH(INDEX(Explorador_Integrantes!$GO$2:$GO$30,MATCH(Explorador_Integrantes!$X$2,Explorador_Integrantes!$GN$2:$GN$30,0)),Decisiones!$B$2:$B$237,0)+ROWS($A$2:A157)-1))</x:f>
      </x:c>
      <x:c r="C157" t="str" cm="1">
        <x:f t="array" ref="C157">IF($A157="","",INDEX(Decisiones!$H$2:$H$237,MATCH(INDEX(Explorador_Integrantes!$GO$2:$GO$30,MATCH(Explorador_Integrantes!$X$2,Explorador_Integrantes!$GN$2:$GN$30,0)),Decisiones!$B$2:$B$237,0)+ROWS($A$2:A157)-1))</x:f>
      </x:c>
      <x:c r="D157" t="str">
        <x:f>IF($B157="","",--(COUNTIFS(Votaciones!$A$2:$A$336,$B157,Votaciones!$B$2:$B$336,Explorador_Integrantes!$X$2,Votaciones!$D$2:$D$336,"Disenso restrictivo")&gt;0))</x:f>
      </x:c>
      <x:c r="E157" t="str">
        <x:f>IF($B157="","",--(COUNTIFS(Votaciones!$A$2:$A$336,$B157,Votaciones!$B$2:$B$336,Explorador_Integrantes!$X$2,Votaciones!$D$2:$D$336,"Disenso acomodaticio")&gt;0))</x:f>
      </x:c>
    </x:row>
    <x:row r="158">
      <x:c r="A158" s="112" t="str" cm="1">
        <x:f t="array" ref="A158">IF(ROWS($A$2:A158)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158)-1),"")</x:f>
      </x:c>
      <x:c r="B158" t="str" cm="1">
        <x:f t="array" ref="B158">IF($A158="","",INDEX(Decisiones!$A$2:$A$237,MATCH(INDEX(Explorador_Integrantes!$GO$2:$GO$30,MATCH(Explorador_Integrantes!$X$2,Explorador_Integrantes!$GN$2:$GN$30,0)),Decisiones!$B$2:$B$237,0)+ROWS($A$2:A158)-1))</x:f>
      </x:c>
      <x:c r="C158" t="str" cm="1">
        <x:f t="array" ref="C158">IF($A158="","",INDEX(Decisiones!$H$2:$H$237,MATCH(INDEX(Explorador_Integrantes!$GO$2:$GO$30,MATCH(Explorador_Integrantes!$X$2,Explorador_Integrantes!$GN$2:$GN$30,0)),Decisiones!$B$2:$B$237,0)+ROWS($A$2:A158)-1))</x:f>
      </x:c>
      <x:c r="D158" t="str">
        <x:f>IF($B158="","",--(COUNTIFS(Votaciones!$A$2:$A$336,$B158,Votaciones!$B$2:$B$336,Explorador_Integrantes!$X$2,Votaciones!$D$2:$D$336,"Disenso restrictivo")&gt;0))</x:f>
      </x:c>
      <x:c r="E158" t="str">
        <x:f>IF($B158="","",--(COUNTIFS(Votaciones!$A$2:$A$336,$B158,Votaciones!$B$2:$B$336,Explorador_Integrantes!$X$2,Votaciones!$D$2:$D$336,"Disenso acomodaticio")&gt;0))</x:f>
      </x:c>
    </x:row>
    <x:row r="159">
      <x:c r="A159" s="112" t="str" cm="1">
        <x:f t="array" ref="A159">IF(ROWS($A$2:A159)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159)-1),"")</x:f>
      </x:c>
      <x:c r="B159" t="str" cm="1">
        <x:f t="array" ref="B159">IF($A159="","",INDEX(Decisiones!$A$2:$A$237,MATCH(INDEX(Explorador_Integrantes!$GO$2:$GO$30,MATCH(Explorador_Integrantes!$X$2,Explorador_Integrantes!$GN$2:$GN$30,0)),Decisiones!$B$2:$B$237,0)+ROWS($A$2:A159)-1))</x:f>
      </x:c>
      <x:c r="C159" t="str" cm="1">
        <x:f t="array" ref="C159">IF($A159="","",INDEX(Decisiones!$H$2:$H$237,MATCH(INDEX(Explorador_Integrantes!$GO$2:$GO$30,MATCH(Explorador_Integrantes!$X$2,Explorador_Integrantes!$GN$2:$GN$30,0)),Decisiones!$B$2:$B$237,0)+ROWS($A$2:A159)-1))</x:f>
      </x:c>
      <x:c r="D159" t="str">
        <x:f>IF($B159="","",--(COUNTIFS(Votaciones!$A$2:$A$336,$B159,Votaciones!$B$2:$B$336,Explorador_Integrantes!$X$2,Votaciones!$D$2:$D$336,"Disenso restrictivo")&gt;0))</x:f>
      </x:c>
      <x:c r="E159" t="str">
        <x:f>IF($B159="","",--(COUNTIFS(Votaciones!$A$2:$A$336,$B159,Votaciones!$B$2:$B$336,Explorador_Integrantes!$X$2,Votaciones!$D$2:$D$336,"Disenso acomodaticio")&gt;0))</x:f>
      </x:c>
    </x:row>
    <x:row r="160">
      <x:c r="A160" s="112" t="str" cm="1">
        <x:f t="array" ref="A160">IF(ROWS($A$2:A160)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160)-1),"")</x:f>
      </x:c>
      <x:c r="B160" t="str" cm="1">
        <x:f t="array" ref="B160">IF($A160="","",INDEX(Decisiones!$A$2:$A$237,MATCH(INDEX(Explorador_Integrantes!$GO$2:$GO$30,MATCH(Explorador_Integrantes!$X$2,Explorador_Integrantes!$GN$2:$GN$30,0)),Decisiones!$B$2:$B$237,0)+ROWS($A$2:A160)-1))</x:f>
      </x:c>
      <x:c r="C160" t="str" cm="1">
        <x:f t="array" ref="C160">IF($A160="","",INDEX(Decisiones!$H$2:$H$237,MATCH(INDEX(Explorador_Integrantes!$GO$2:$GO$30,MATCH(Explorador_Integrantes!$X$2,Explorador_Integrantes!$GN$2:$GN$30,0)),Decisiones!$B$2:$B$237,0)+ROWS($A$2:A160)-1))</x:f>
      </x:c>
      <x:c r="D160" t="str">
        <x:f>IF($B160="","",--(COUNTIFS(Votaciones!$A$2:$A$336,$B160,Votaciones!$B$2:$B$336,Explorador_Integrantes!$X$2,Votaciones!$D$2:$D$336,"Disenso restrictivo")&gt;0))</x:f>
      </x:c>
      <x:c r="E160" t="str">
        <x:f>IF($B160="","",--(COUNTIFS(Votaciones!$A$2:$A$336,$B160,Votaciones!$B$2:$B$336,Explorador_Integrantes!$X$2,Votaciones!$D$2:$D$336,"Disenso acomodaticio")&gt;0))</x:f>
      </x:c>
    </x:row>
    <x:row r="161">
      <x:c r="A161" s="112" t="str" cm="1">
        <x:f t="array" ref="A161">IF(ROWS($A$2:A161)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161)-1),"")</x:f>
      </x:c>
      <x:c r="B161" t="str" cm="1">
        <x:f t="array" ref="B161">IF($A161="","",INDEX(Decisiones!$A$2:$A$237,MATCH(INDEX(Explorador_Integrantes!$GO$2:$GO$30,MATCH(Explorador_Integrantes!$X$2,Explorador_Integrantes!$GN$2:$GN$30,0)),Decisiones!$B$2:$B$237,0)+ROWS($A$2:A161)-1))</x:f>
      </x:c>
      <x:c r="C161" t="str" cm="1">
        <x:f t="array" ref="C161">IF($A161="","",INDEX(Decisiones!$H$2:$H$237,MATCH(INDEX(Explorador_Integrantes!$GO$2:$GO$30,MATCH(Explorador_Integrantes!$X$2,Explorador_Integrantes!$GN$2:$GN$30,0)),Decisiones!$B$2:$B$237,0)+ROWS($A$2:A161)-1))</x:f>
      </x:c>
      <x:c r="D161" t="str">
        <x:f>IF($B161="","",--(COUNTIFS(Votaciones!$A$2:$A$336,$B161,Votaciones!$B$2:$B$336,Explorador_Integrantes!$X$2,Votaciones!$D$2:$D$336,"Disenso restrictivo")&gt;0))</x:f>
      </x:c>
      <x:c r="E161" t="str">
        <x:f>IF($B161="","",--(COUNTIFS(Votaciones!$A$2:$A$336,$B161,Votaciones!$B$2:$B$336,Explorador_Integrantes!$X$2,Votaciones!$D$2:$D$336,"Disenso acomodaticio")&gt;0))</x:f>
      </x:c>
    </x:row>
    <x:row r="162">
      <x:c r="A162" s="112" t="str" cm="1">
        <x:f t="array" ref="A162">IF(ROWS($A$2:A162)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162)-1),"")</x:f>
      </x:c>
      <x:c r="B162" t="str" cm="1">
        <x:f t="array" ref="B162">IF($A162="","",INDEX(Decisiones!$A$2:$A$237,MATCH(INDEX(Explorador_Integrantes!$GO$2:$GO$30,MATCH(Explorador_Integrantes!$X$2,Explorador_Integrantes!$GN$2:$GN$30,0)),Decisiones!$B$2:$B$237,0)+ROWS($A$2:A162)-1))</x:f>
      </x:c>
      <x:c r="C162" t="str" cm="1">
        <x:f t="array" ref="C162">IF($A162="","",INDEX(Decisiones!$H$2:$H$237,MATCH(INDEX(Explorador_Integrantes!$GO$2:$GO$30,MATCH(Explorador_Integrantes!$X$2,Explorador_Integrantes!$GN$2:$GN$30,0)),Decisiones!$B$2:$B$237,0)+ROWS($A$2:A162)-1))</x:f>
      </x:c>
      <x:c r="D162" t="str">
        <x:f>IF($B162="","",--(COUNTIFS(Votaciones!$A$2:$A$336,$B162,Votaciones!$B$2:$B$336,Explorador_Integrantes!$X$2,Votaciones!$D$2:$D$336,"Disenso restrictivo")&gt;0))</x:f>
      </x:c>
      <x:c r="E162" t="str">
        <x:f>IF($B162="","",--(COUNTIFS(Votaciones!$A$2:$A$336,$B162,Votaciones!$B$2:$B$336,Explorador_Integrantes!$X$2,Votaciones!$D$2:$D$336,"Disenso acomodaticio")&gt;0))</x:f>
      </x:c>
    </x:row>
    <x:row r="163">
      <x:c r="A163" s="112" t="str" cm="1">
        <x:f t="array" ref="A163">IF(ROWS($A$2:A163)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163)-1),"")</x:f>
      </x:c>
      <x:c r="B163" t="str" cm="1">
        <x:f t="array" ref="B163">IF($A163="","",INDEX(Decisiones!$A$2:$A$237,MATCH(INDEX(Explorador_Integrantes!$GO$2:$GO$30,MATCH(Explorador_Integrantes!$X$2,Explorador_Integrantes!$GN$2:$GN$30,0)),Decisiones!$B$2:$B$237,0)+ROWS($A$2:A163)-1))</x:f>
      </x:c>
      <x:c r="C163" t="str" cm="1">
        <x:f t="array" ref="C163">IF($A163="","",INDEX(Decisiones!$H$2:$H$237,MATCH(INDEX(Explorador_Integrantes!$GO$2:$GO$30,MATCH(Explorador_Integrantes!$X$2,Explorador_Integrantes!$GN$2:$GN$30,0)),Decisiones!$B$2:$B$237,0)+ROWS($A$2:A163)-1))</x:f>
      </x:c>
      <x:c r="D163" t="str">
        <x:f>IF($B163="","",--(COUNTIFS(Votaciones!$A$2:$A$336,$B163,Votaciones!$B$2:$B$336,Explorador_Integrantes!$X$2,Votaciones!$D$2:$D$336,"Disenso restrictivo")&gt;0))</x:f>
      </x:c>
      <x:c r="E163" t="str">
        <x:f>IF($B163="","",--(COUNTIFS(Votaciones!$A$2:$A$336,$B163,Votaciones!$B$2:$B$336,Explorador_Integrantes!$X$2,Votaciones!$D$2:$D$336,"Disenso acomodaticio")&gt;0))</x:f>
      </x:c>
    </x:row>
    <x:row r="164">
      <x:c r="A164" s="112" t="str" cm="1">
        <x:f t="array" ref="A164">IF(ROWS($A$2:A164)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164)-1),"")</x:f>
      </x:c>
      <x:c r="B164" t="str" cm="1">
        <x:f t="array" ref="B164">IF($A164="","",INDEX(Decisiones!$A$2:$A$237,MATCH(INDEX(Explorador_Integrantes!$GO$2:$GO$30,MATCH(Explorador_Integrantes!$X$2,Explorador_Integrantes!$GN$2:$GN$30,0)),Decisiones!$B$2:$B$237,0)+ROWS($A$2:A164)-1))</x:f>
      </x:c>
      <x:c r="C164" t="str" cm="1">
        <x:f t="array" ref="C164">IF($A164="","",INDEX(Decisiones!$H$2:$H$237,MATCH(INDEX(Explorador_Integrantes!$GO$2:$GO$30,MATCH(Explorador_Integrantes!$X$2,Explorador_Integrantes!$GN$2:$GN$30,0)),Decisiones!$B$2:$B$237,0)+ROWS($A$2:A164)-1))</x:f>
      </x:c>
      <x:c r="D164" t="str">
        <x:f>IF($B164="","",--(COUNTIFS(Votaciones!$A$2:$A$336,$B164,Votaciones!$B$2:$B$336,Explorador_Integrantes!$X$2,Votaciones!$D$2:$D$336,"Disenso restrictivo")&gt;0))</x:f>
      </x:c>
      <x:c r="E164" t="str">
        <x:f>IF($B164="","",--(COUNTIFS(Votaciones!$A$2:$A$336,$B164,Votaciones!$B$2:$B$336,Explorador_Integrantes!$X$2,Votaciones!$D$2:$D$336,"Disenso acomodaticio")&gt;0))</x:f>
      </x:c>
    </x:row>
    <x:row r="165">
      <x:c r="A165" s="112" t="str" cm="1">
        <x:f t="array" ref="A165">IF(ROWS($A$2:A165)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165)-1),"")</x:f>
      </x:c>
      <x:c r="B165" t="str" cm="1">
        <x:f t="array" ref="B165">IF($A165="","",INDEX(Decisiones!$A$2:$A$237,MATCH(INDEX(Explorador_Integrantes!$GO$2:$GO$30,MATCH(Explorador_Integrantes!$X$2,Explorador_Integrantes!$GN$2:$GN$30,0)),Decisiones!$B$2:$B$237,0)+ROWS($A$2:A165)-1))</x:f>
      </x:c>
      <x:c r="C165" t="str" cm="1">
        <x:f t="array" ref="C165">IF($A165="","",INDEX(Decisiones!$H$2:$H$237,MATCH(INDEX(Explorador_Integrantes!$GO$2:$GO$30,MATCH(Explorador_Integrantes!$X$2,Explorador_Integrantes!$GN$2:$GN$30,0)),Decisiones!$B$2:$B$237,0)+ROWS($A$2:A165)-1))</x:f>
      </x:c>
      <x:c r="D165" t="str">
        <x:f>IF($B165="","",--(COUNTIFS(Votaciones!$A$2:$A$336,$B165,Votaciones!$B$2:$B$336,Explorador_Integrantes!$X$2,Votaciones!$D$2:$D$336,"Disenso restrictivo")&gt;0))</x:f>
      </x:c>
      <x:c r="E165" t="str">
        <x:f>IF($B165="","",--(COUNTIFS(Votaciones!$A$2:$A$336,$B165,Votaciones!$B$2:$B$336,Explorador_Integrantes!$X$2,Votaciones!$D$2:$D$336,"Disenso acomodaticio")&gt;0))</x:f>
      </x:c>
    </x:row>
    <x:row r="166">
      <x:c r="A166" s="112" t="str" cm="1">
        <x:f t="array" ref="A166">IF(ROWS($A$2:A166)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166)-1),"")</x:f>
      </x:c>
      <x:c r="B166" t="str" cm="1">
        <x:f t="array" ref="B166">IF($A166="","",INDEX(Decisiones!$A$2:$A$237,MATCH(INDEX(Explorador_Integrantes!$GO$2:$GO$30,MATCH(Explorador_Integrantes!$X$2,Explorador_Integrantes!$GN$2:$GN$30,0)),Decisiones!$B$2:$B$237,0)+ROWS($A$2:A166)-1))</x:f>
      </x:c>
      <x:c r="C166" t="str" cm="1">
        <x:f t="array" ref="C166">IF($A166="","",INDEX(Decisiones!$H$2:$H$237,MATCH(INDEX(Explorador_Integrantes!$GO$2:$GO$30,MATCH(Explorador_Integrantes!$X$2,Explorador_Integrantes!$GN$2:$GN$30,0)),Decisiones!$B$2:$B$237,0)+ROWS($A$2:A166)-1))</x:f>
      </x:c>
      <x:c r="D166" t="str">
        <x:f>IF($B166="","",--(COUNTIFS(Votaciones!$A$2:$A$336,$B166,Votaciones!$B$2:$B$336,Explorador_Integrantes!$X$2,Votaciones!$D$2:$D$336,"Disenso restrictivo")&gt;0))</x:f>
      </x:c>
      <x:c r="E166" t="str">
        <x:f>IF($B166="","",--(COUNTIFS(Votaciones!$A$2:$A$336,$B166,Votaciones!$B$2:$B$336,Explorador_Integrantes!$X$2,Votaciones!$D$2:$D$336,"Disenso acomodaticio")&gt;0))</x:f>
      </x:c>
    </x:row>
    <x:row r="167">
      <x:c r="A167" s="112" t="str" cm="1">
        <x:f t="array" ref="A167">IF(ROWS($A$2:A167)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167)-1),"")</x:f>
      </x:c>
      <x:c r="B167" t="str" cm="1">
        <x:f t="array" ref="B167">IF($A167="","",INDEX(Decisiones!$A$2:$A$237,MATCH(INDEX(Explorador_Integrantes!$GO$2:$GO$30,MATCH(Explorador_Integrantes!$X$2,Explorador_Integrantes!$GN$2:$GN$30,0)),Decisiones!$B$2:$B$237,0)+ROWS($A$2:A167)-1))</x:f>
      </x:c>
      <x:c r="C167" t="str" cm="1">
        <x:f t="array" ref="C167">IF($A167="","",INDEX(Decisiones!$H$2:$H$237,MATCH(INDEX(Explorador_Integrantes!$GO$2:$GO$30,MATCH(Explorador_Integrantes!$X$2,Explorador_Integrantes!$GN$2:$GN$30,0)),Decisiones!$B$2:$B$237,0)+ROWS($A$2:A167)-1))</x:f>
      </x:c>
      <x:c r="D167" t="str">
        <x:f>IF($B167="","",--(COUNTIFS(Votaciones!$A$2:$A$336,$B167,Votaciones!$B$2:$B$336,Explorador_Integrantes!$X$2,Votaciones!$D$2:$D$336,"Disenso restrictivo")&gt;0))</x:f>
      </x:c>
      <x:c r="E167" t="str">
        <x:f>IF($B167="","",--(COUNTIFS(Votaciones!$A$2:$A$336,$B167,Votaciones!$B$2:$B$336,Explorador_Integrantes!$X$2,Votaciones!$D$2:$D$336,"Disenso acomodaticio")&gt;0))</x:f>
      </x:c>
    </x:row>
    <x:row r="168">
      <x:c r="A168" s="112" t="str" cm="1">
        <x:f t="array" ref="A168">IF(ROWS($A$2:A168)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168)-1),"")</x:f>
      </x:c>
      <x:c r="B168" t="str" cm="1">
        <x:f t="array" ref="B168">IF($A168="","",INDEX(Decisiones!$A$2:$A$237,MATCH(INDEX(Explorador_Integrantes!$GO$2:$GO$30,MATCH(Explorador_Integrantes!$X$2,Explorador_Integrantes!$GN$2:$GN$30,0)),Decisiones!$B$2:$B$237,0)+ROWS($A$2:A168)-1))</x:f>
      </x:c>
      <x:c r="C168" t="str" cm="1">
        <x:f t="array" ref="C168">IF($A168="","",INDEX(Decisiones!$H$2:$H$237,MATCH(INDEX(Explorador_Integrantes!$GO$2:$GO$30,MATCH(Explorador_Integrantes!$X$2,Explorador_Integrantes!$GN$2:$GN$30,0)),Decisiones!$B$2:$B$237,0)+ROWS($A$2:A168)-1))</x:f>
      </x:c>
      <x:c r="D168" t="str">
        <x:f>IF($B168="","",--(COUNTIFS(Votaciones!$A$2:$A$336,$B168,Votaciones!$B$2:$B$336,Explorador_Integrantes!$X$2,Votaciones!$D$2:$D$336,"Disenso restrictivo")&gt;0))</x:f>
      </x:c>
      <x:c r="E168" t="str">
        <x:f>IF($B168="","",--(COUNTIFS(Votaciones!$A$2:$A$336,$B168,Votaciones!$B$2:$B$336,Explorador_Integrantes!$X$2,Votaciones!$D$2:$D$336,"Disenso acomodaticio")&gt;0))</x:f>
      </x:c>
    </x:row>
    <x:row r="169">
      <x:c r="A169" s="112" t="str" cm="1">
        <x:f t="array" ref="A169">IF(ROWS($A$2:A169)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169)-1),"")</x:f>
      </x:c>
      <x:c r="B169" t="str" cm="1">
        <x:f t="array" ref="B169">IF($A169="","",INDEX(Decisiones!$A$2:$A$237,MATCH(INDEX(Explorador_Integrantes!$GO$2:$GO$30,MATCH(Explorador_Integrantes!$X$2,Explorador_Integrantes!$GN$2:$GN$30,0)),Decisiones!$B$2:$B$237,0)+ROWS($A$2:A169)-1))</x:f>
      </x:c>
      <x:c r="C169" t="str" cm="1">
        <x:f t="array" ref="C169">IF($A169="","",INDEX(Decisiones!$H$2:$H$237,MATCH(INDEX(Explorador_Integrantes!$GO$2:$GO$30,MATCH(Explorador_Integrantes!$X$2,Explorador_Integrantes!$GN$2:$GN$30,0)),Decisiones!$B$2:$B$237,0)+ROWS($A$2:A169)-1))</x:f>
      </x:c>
      <x:c r="D169" t="str">
        <x:f>IF($B169="","",--(COUNTIFS(Votaciones!$A$2:$A$336,$B169,Votaciones!$B$2:$B$336,Explorador_Integrantes!$X$2,Votaciones!$D$2:$D$336,"Disenso restrictivo")&gt;0))</x:f>
      </x:c>
      <x:c r="E169" t="str">
        <x:f>IF($B169="","",--(COUNTIFS(Votaciones!$A$2:$A$336,$B169,Votaciones!$B$2:$B$336,Explorador_Integrantes!$X$2,Votaciones!$D$2:$D$336,"Disenso acomodaticio")&gt;0))</x:f>
      </x:c>
    </x:row>
    <x:row r="170">
      <x:c r="A170" s="112" t="str" cm="1">
        <x:f t="array" ref="A170">IF(ROWS($A$2:A170)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170)-1),"")</x:f>
      </x:c>
      <x:c r="B170" t="str" cm="1">
        <x:f t="array" ref="B170">IF($A170="","",INDEX(Decisiones!$A$2:$A$237,MATCH(INDEX(Explorador_Integrantes!$GO$2:$GO$30,MATCH(Explorador_Integrantes!$X$2,Explorador_Integrantes!$GN$2:$GN$30,0)),Decisiones!$B$2:$B$237,0)+ROWS($A$2:A170)-1))</x:f>
      </x:c>
      <x:c r="C170" t="str" cm="1">
        <x:f t="array" ref="C170">IF($A170="","",INDEX(Decisiones!$H$2:$H$237,MATCH(INDEX(Explorador_Integrantes!$GO$2:$GO$30,MATCH(Explorador_Integrantes!$X$2,Explorador_Integrantes!$GN$2:$GN$30,0)),Decisiones!$B$2:$B$237,0)+ROWS($A$2:A170)-1))</x:f>
      </x:c>
      <x:c r="D170" t="str">
        <x:f>IF($B170="","",--(COUNTIFS(Votaciones!$A$2:$A$336,$B170,Votaciones!$B$2:$B$336,Explorador_Integrantes!$X$2,Votaciones!$D$2:$D$336,"Disenso restrictivo")&gt;0))</x:f>
      </x:c>
      <x:c r="E170" t="str">
        <x:f>IF($B170="","",--(COUNTIFS(Votaciones!$A$2:$A$336,$B170,Votaciones!$B$2:$B$336,Explorador_Integrantes!$X$2,Votaciones!$D$2:$D$336,"Disenso acomodaticio")&gt;0))</x:f>
      </x:c>
    </x:row>
    <x:row r="171">
      <x:c r="A171" s="112" t="str" cm="1">
        <x:f t="array" ref="A171">IF(ROWS($A$2:A171)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171)-1),"")</x:f>
      </x:c>
      <x:c r="B171" t="str" cm="1">
        <x:f t="array" ref="B171">IF($A171="","",INDEX(Decisiones!$A$2:$A$237,MATCH(INDEX(Explorador_Integrantes!$GO$2:$GO$30,MATCH(Explorador_Integrantes!$X$2,Explorador_Integrantes!$GN$2:$GN$30,0)),Decisiones!$B$2:$B$237,0)+ROWS($A$2:A171)-1))</x:f>
      </x:c>
      <x:c r="C171" t="str" cm="1">
        <x:f t="array" ref="C171">IF($A171="","",INDEX(Decisiones!$H$2:$H$237,MATCH(INDEX(Explorador_Integrantes!$GO$2:$GO$30,MATCH(Explorador_Integrantes!$X$2,Explorador_Integrantes!$GN$2:$GN$30,0)),Decisiones!$B$2:$B$237,0)+ROWS($A$2:A171)-1))</x:f>
      </x:c>
      <x:c r="D171" t="str">
        <x:f>IF($B171="","",--(COUNTIFS(Votaciones!$A$2:$A$336,$B171,Votaciones!$B$2:$B$336,Explorador_Integrantes!$X$2,Votaciones!$D$2:$D$336,"Disenso restrictivo")&gt;0))</x:f>
      </x:c>
      <x:c r="E171" t="str">
        <x:f>IF($B171="","",--(COUNTIFS(Votaciones!$A$2:$A$336,$B171,Votaciones!$B$2:$B$336,Explorador_Integrantes!$X$2,Votaciones!$D$2:$D$336,"Disenso acomodaticio")&gt;0))</x:f>
      </x:c>
    </x:row>
    <x:row r="172">
      <x:c r="A172" s="112" t="str" cm="1">
        <x:f t="array" ref="A172">IF(ROWS($A$2:A172)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172)-1),"")</x:f>
      </x:c>
      <x:c r="B172" t="str" cm="1">
        <x:f t="array" ref="B172">IF($A172="","",INDEX(Decisiones!$A$2:$A$237,MATCH(INDEX(Explorador_Integrantes!$GO$2:$GO$30,MATCH(Explorador_Integrantes!$X$2,Explorador_Integrantes!$GN$2:$GN$30,0)),Decisiones!$B$2:$B$237,0)+ROWS($A$2:A172)-1))</x:f>
      </x:c>
      <x:c r="C172" t="str" cm="1">
        <x:f t="array" ref="C172">IF($A172="","",INDEX(Decisiones!$H$2:$H$237,MATCH(INDEX(Explorador_Integrantes!$GO$2:$GO$30,MATCH(Explorador_Integrantes!$X$2,Explorador_Integrantes!$GN$2:$GN$30,0)),Decisiones!$B$2:$B$237,0)+ROWS($A$2:A172)-1))</x:f>
      </x:c>
      <x:c r="D172" t="str">
        <x:f>IF($B172="","",--(COUNTIFS(Votaciones!$A$2:$A$336,$B172,Votaciones!$B$2:$B$336,Explorador_Integrantes!$X$2,Votaciones!$D$2:$D$336,"Disenso restrictivo")&gt;0))</x:f>
      </x:c>
      <x:c r="E172" t="str">
        <x:f>IF($B172="","",--(COUNTIFS(Votaciones!$A$2:$A$336,$B172,Votaciones!$B$2:$B$336,Explorador_Integrantes!$X$2,Votaciones!$D$2:$D$336,"Disenso acomodaticio")&gt;0))</x:f>
      </x:c>
    </x:row>
    <x:row r="173">
      <x:c r="A173" s="112" t="str" cm="1">
        <x:f t="array" ref="A173">IF(ROWS($A$2:A173)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173)-1),"")</x:f>
      </x:c>
      <x:c r="B173" t="str" cm="1">
        <x:f t="array" ref="B173">IF($A173="","",INDEX(Decisiones!$A$2:$A$237,MATCH(INDEX(Explorador_Integrantes!$GO$2:$GO$30,MATCH(Explorador_Integrantes!$X$2,Explorador_Integrantes!$GN$2:$GN$30,0)),Decisiones!$B$2:$B$237,0)+ROWS($A$2:A173)-1))</x:f>
      </x:c>
      <x:c r="C173" t="str" cm="1">
        <x:f t="array" ref="C173">IF($A173="","",INDEX(Decisiones!$H$2:$H$237,MATCH(INDEX(Explorador_Integrantes!$GO$2:$GO$30,MATCH(Explorador_Integrantes!$X$2,Explorador_Integrantes!$GN$2:$GN$30,0)),Decisiones!$B$2:$B$237,0)+ROWS($A$2:A173)-1))</x:f>
      </x:c>
      <x:c r="D173" t="str">
        <x:f>IF($B173="","",--(COUNTIFS(Votaciones!$A$2:$A$336,$B173,Votaciones!$B$2:$B$336,Explorador_Integrantes!$X$2,Votaciones!$D$2:$D$336,"Disenso restrictivo")&gt;0))</x:f>
      </x:c>
      <x:c r="E173" t="str">
        <x:f>IF($B173="","",--(COUNTIFS(Votaciones!$A$2:$A$336,$B173,Votaciones!$B$2:$B$336,Explorador_Integrantes!$X$2,Votaciones!$D$2:$D$336,"Disenso acomodaticio")&gt;0))</x:f>
      </x:c>
    </x:row>
    <x:row r="174">
      <x:c r="A174" s="112" t="str" cm="1">
        <x:f t="array" ref="A174">IF(ROWS($A$2:A174)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174)-1),"")</x:f>
      </x:c>
      <x:c r="B174" t="str" cm="1">
        <x:f t="array" ref="B174">IF($A174="","",INDEX(Decisiones!$A$2:$A$237,MATCH(INDEX(Explorador_Integrantes!$GO$2:$GO$30,MATCH(Explorador_Integrantes!$X$2,Explorador_Integrantes!$GN$2:$GN$30,0)),Decisiones!$B$2:$B$237,0)+ROWS($A$2:A174)-1))</x:f>
      </x:c>
      <x:c r="C174" t="str" cm="1">
        <x:f t="array" ref="C174">IF($A174="","",INDEX(Decisiones!$H$2:$H$237,MATCH(INDEX(Explorador_Integrantes!$GO$2:$GO$30,MATCH(Explorador_Integrantes!$X$2,Explorador_Integrantes!$GN$2:$GN$30,0)),Decisiones!$B$2:$B$237,0)+ROWS($A$2:A174)-1))</x:f>
      </x:c>
      <x:c r="D174" t="str">
        <x:f>IF($B174="","",--(COUNTIFS(Votaciones!$A$2:$A$336,$B174,Votaciones!$B$2:$B$336,Explorador_Integrantes!$X$2,Votaciones!$D$2:$D$336,"Disenso restrictivo")&gt;0))</x:f>
      </x:c>
      <x:c r="E174" t="str">
        <x:f>IF($B174="","",--(COUNTIFS(Votaciones!$A$2:$A$336,$B174,Votaciones!$B$2:$B$336,Explorador_Integrantes!$X$2,Votaciones!$D$2:$D$336,"Disenso acomodaticio")&gt;0))</x:f>
      </x:c>
    </x:row>
    <x:row r="175">
      <x:c r="A175" s="112" t="str" cm="1">
        <x:f t="array" ref="A175">IF(ROWS($A$2:A175)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175)-1),"")</x:f>
      </x:c>
      <x:c r="B175" t="str" cm="1">
        <x:f t="array" ref="B175">IF($A175="","",INDEX(Decisiones!$A$2:$A$237,MATCH(INDEX(Explorador_Integrantes!$GO$2:$GO$30,MATCH(Explorador_Integrantes!$X$2,Explorador_Integrantes!$GN$2:$GN$30,0)),Decisiones!$B$2:$B$237,0)+ROWS($A$2:A175)-1))</x:f>
      </x:c>
      <x:c r="C175" t="str" cm="1">
        <x:f t="array" ref="C175">IF($A175="","",INDEX(Decisiones!$H$2:$H$237,MATCH(INDEX(Explorador_Integrantes!$GO$2:$GO$30,MATCH(Explorador_Integrantes!$X$2,Explorador_Integrantes!$GN$2:$GN$30,0)),Decisiones!$B$2:$B$237,0)+ROWS($A$2:A175)-1))</x:f>
      </x:c>
      <x:c r="D175" t="str">
        <x:f>IF($B175="","",--(COUNTIFS(Votaciones!$A$2:$A$336,$B175,Votaciones!$B$2:$B$336,Explorador_Integrantes!$X$2,Votaciones!$D$2:$D$336,"Disenso restrictivo")&gt;0))</x:f>
      </x:c>
      <x:c r="E175" t="str">
        <x:f>IF($B175="","",--(COUNTIFS(Votaciones!$A$2:$A$336,$B175,Votaciones!$B$2:$B$336,Explorador_Integrantes!$X$2,Votaciones!$D$2:$D$336,"Disenso acomodaticio")&gt;0))</x:f>
      </x:c>
    </x:row>
    <x:row r="176">
      <x:c r="A176" s="112" t="str" cm="1">
        <x:f t="array" ref="A176">IF(ROWS($A$2:A176)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176)-1),"")</x:f>
      </x:c>
      <x:c r="B176" t="str" cm="1">
        <x:f t="array" ref="B176">IF($A176="","",INDEX(Decisiones!$A$2:$A$237,MATCH(INDEX(Explorador_Integrantes!$GO$2:$GO$30,MATCH(Explorador_Integrantes!$X$2,Explorador_Integrantes!$GN$2:$GN$30,0)),Decisiones!$B$2:$B$237,0)+ROWS($A$2:A176)-1))</x:f>
      </x:c>
      <x:c r="C176" t="str" cm="1">
        <x:f t="array" ref="C176">IF($A176="","",INDEX(Decisiones!$H$2:$H$237,MATCH(INDEX(Explorador_Integrantes!$GO$2:$GO$30,MATCH(Explorador_Integrantes!$X$2,Explorador_Integrantes!$GN$2:$GN$30,0)),Decisiones!$B$2:$B$237,0)+ROWS($A$2:A176)-1))</x:f>
      </x:c>
      <x:c r="D176" t="str">
        <x:f>IF($B176="","",--(COUNTIFS(Votaciones!$A$2:$A$336,$B176,Votaciones!$B$2:$B$336,Explorador_Integrantes!$X$2,Votaciones!$D$2:$D$336,"Disenso restrictivo")&gt;0))</x:f>
      </x:c>
      <x:c r="E176" t="str">
        <x:f>IF($B176="","",--(COUNTIFS(Votaciones!$A$2:$A$336,$B176,Votaciones!$B$2:$B$336,Explorador_Integrantes!$X$2,Votaciones!$D$2:$D$336,"Disenso acomodaticio")&gt;0))</x:f>
      </x:c>
    </x:row>
    <x:row r="177">
      <x:c r="A177" s="112" t="str" cm="1">
        <x:f t="array" ref="A177">IF(ROWS($A$2:A177)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177)-1),"")</x:f>
      </x:c>
      <x:c r="B177" t="str" cm="1">
        <x:f t="array" ref="B177">IF($A177="","",INDEX(Decisiones!$A$2:$A$237,MATCH(INDEX(Explorador_Integrantes!$GO$2:$GO$30,MATCH(Explorador_Integrantes!$X$2,Explorador_Integrantes!$GN$2:$GN$30,0)),Decisiones!$B$2:$B$237,0)+ROWS($A$2:A177)-1))</x:f>
      </x:c>
      <x:c r="C177" t="str" cm="1">
        <x:f t="array" ref="C177">IF($A177="","",INDEX(Decisiones!$H$2:$H$237,MATCH(INDEX(Explorador_Integrantes!$GO$2:$GO$30,MATCH(Explorador_Integrantes!$X$2,Explorador_Integrantes!$GN$2:$GN$30,0)),Decisiones!$B$2:$B$237,0)+ROWS($A$2:A177)-1))</x:f>
      </x:c>
      <x:c r="D177" t="str">
        <x:f>IF($B177="","",--(COUNTIFS(Votaciones!$A$2:$A$336,$B177,Votaciones!$B$2:$B$336,Explorador_Integrantes!$X$2,Votaciones!$D$2:$D$336,"Disenso restrictivo")&gt;0))</x:f>
      </x:c>
      <x:c r="E177" t="str">
        <x:f>IF($B177="","",--(COUNTIFS(Votaciones!$A$2:$A$336,$B177,Votaciones!$B$2:$B$336,Explorador_Integrantes!$X$2,Votaciones!$D$2:$D$336,"Disenso acomodaticio")&gt;0))</x:f>
      </x:c>
    </x:row>
    <x:row r="178">
      <x:c r="A178" s="112" t="str" cm="1">
        <x:f t="array" ref="A178">IF(ROWS($A$2:A178)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178)-1),"")</x:f>
      </x:c>
      <x:c r="B178" t="str" cm="1">
        <x:f t="array" ref="B178">IF($A178="","",INDEX(Decisiones!$A$2:$A$237,MATCH(INDEX(Explorador_Integrantes!$GO$2:$GO$30,MATCH(Explorador_Integrantes!$X$2,Explorador_Integrantes!$GN$2:$GN$30,0)),Decisiones!$B$2:$B$237,0)+ROWS($A$2:A178)-1))</x:f>
      </x:c>
      <x:c r="C178" t="str" cm="1">
        <x:f t="array" ref="C178">IF($A178="","",INDEX(Decisiones!$H$2:$H$237,MATCH(INDEX(Explorador_Integrantes!$GO$2:$GO$30,MATCH(Explorador_Integrantes!$X$2,Explorador_Integrantes!$GN$2:$GN$30,0)),Decisiones!$B$2:$B$237,0)+ROWS($A$2:A178)-1))</x:f>
      </x:c>
      <x:c r="D178" t="str">
        <x:f>IF($B178="","",--(COUNTIFS(Votaciones!$A$2:$A$336,$B178,Votaciones!$B$2:$B$336,Explorador_Integrantes!$X$2,Votaciones!$D$2:$D$336,"Disenso restrictivo")&gt;0))</x:f>
      </x:c>
      <x:c r="E178" t="str">
        <x:f>IF($B178="","",--(COUNTIFS(Votaciones!$A$2:$A$336,$B178,Votaciones!$B$2:$B$336,Explorador_Integrantes!$X$2,Votaciones!$D$2:$D$336,"Disenso acomodaticio")&gt;0))</x:f>
      </x:c>
    </x:row>
    <x:row r="179">
      <x:c r="A179" s="112" t="str" cm="1">
        <x:f t="array" ref="A179">IF(ROWS($A$2:A179)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179)-1),"")</x:f>
      </x:c>
      <x:c r="B179" t="str" cm="1">
        <x:f t="array" ref="B179">IF($A179="","",INDEX(Decisiones!$A$2:$A$237,MATCH(INDEX(Explorador_Integrantes!$GO$2:$GO$30,MATCH(Explorador_Integrantes!$X$2,Explorador_Integrantes!$GN$2:$GN$30,0)),Decisiones!$B$2:$B$237,0)+ROWS($A$2:A179)-1))</x:f>
      </x:c>
      <x:c r="C179" t="str" cm="1">
        <x:f t="array" ref="C179">IF($A179="","",INDEX(Decisiones!$H$2:$H$237,MATCH(INDEX(Explorador_Integrantes!$GO$2:$GO$30,MATCH(Explorador_Integrantes!$X$2,Explorador_Integrantes!$GN$2:$GN$30,0)),Decisiones!$B$2:$B$237,0)+ROWS($A$2:A179)-1))</x:f>
      </x:c>
      <x:c r="D179" t="str">
        <x:f>IF($B179="","",--(COUNTIFS(Votaciones!$A$2:$A$336,$B179,Votaciones!$B$2:$B$336,Explorador_Integrantes!$X$2,Votaciones!$D$2:$D$336,"Disenso restrictivo")&gt;0))</x:f>
      </x:c>
      <x:c r="E179" t="str">
        <x:f>IF($B179="","",--(COUNTIFS(Votaciones!$A$2:$A$336,$B179,Votaciones!$B$2:$B$336,Explorador_Integrantes!$X$2,Votaciones!$D$2:$D$336,"Disenso acomodaticio")&gt;0))</x:f>
      </x:c>
    </x:row>
    <x:row r="180">
      <x:c r="A180" s="112" t="str" cm="1">
        <x:f t="array" ref="A180">IF(ROWS($A$2:A180)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180)-1),"")</x:f>
      </x:c>
      <x:c r="B180" t="str" cm="1">
        <x:f t="array" ref="B180">IF($A180="","",INDEX(Decisiones!$A$2:$A$237,MATCH(INDEX(Explorador_Integrantes!$GO$2:$GO$30,MATCH(Explorador_Integrantes!$X$2,Explorador_Integrantes!$GN$2:$GN$30,0)),Decisiones!$B$2:$B$237,0)+ROWS($A$2:A180)-1))</x:f>
      </x:c>
      <x:c r="C180" t="str" cm="1">
        <x:f t="array" ref="C180">IF($A180="","",INDEX(Decisiones!$H$2:$H$237,MATCH(INDEX(Explorador_Integrantes!$GO$2:$GO$30,MATCH(Explorador_Integrantes!$X$2,Explorador_Integrantes!$GN$2:$GN$30,0)),Decisiones!$B$2:$B$237,0)+ROWS($A$2:A180)-1))</x:f>
      </x:c>
      <x:c r="D180" t="str">
        <x:f>IF($B180="","",--(COUNTIFS(Votaciones!$A$2:$A$336,$B180,Votaciones!$B$2:$B$336,Explorador_Integrantes!$X$2,Votaciones!$D$2:$D$336,"Disenso restrictivo")&gt;0))</x:f>
      </x:c>
      <x:c r="E180" t="str">
        <x:f>IF($B180="","",--(COUNTIFS(Votaciones!$A$2:$A$336,$B180,Votaciones!$B$2:$B$336,Explorador_Integrantes!$X$2,Votaciones!$D$2:$D$336,"Disenso acomodaticio")&gt;0))</x:f>
      </x:c>
    </x:row>
    <x:row r="181">
      <x:c r="A181" s="112" t="str" cm="1">
        <x:f t="array" ref="A181">IF(ROWS($A$2:A181)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181)-1),"")</x:f>
      </x:c>
      <x:c r="B181" t="str" cm="1">
        <x:f t="array" ref="B181">IF($A181="","",INDEX(Decisiones!$A$2:$A$237,MATCH(INDEX(Explorador_Integrantes!$GO$2:$GO$30,MATCH(Explorador_Integrantes!$X$2,Explorador_Integrantes!$GN$2:$GN$30,0)),Decisiones!$B$2:$B$237,0)+ROWS($A$2:A181)-1))</x:f>
      </x:c>
      <x:c r="C181" t="str" cm="1">
        <x:f t="array" ref="C181">IF($A181="","",INDEX(Decisiones!$H$2:$H$237,MATCH(INDEX(Explorador_Integrantes!$GO$2:$GO$30,MATCH(Explorador_Integrantes!$X$2,Explorador_Integrantes!$GN$2:$GN$30,0)),Decisiones!$B$2:$B$237,0)+ROWS($A$2:A181)-1))</x:f>
      </x:c>
      <x:c r="D181" t="str">
        <x:f>IF($B181="","",--(COUNTIFS(Votaciones!$A$2:$A$336,$B181,Votaciones!$B$2:$B$336,Explorador_Integrantes!$X$2,Votaciones!$D$2:$D$336,"Disenso restrictivo")&gt;0))</x:f>
      </x:c>
      <x:c r="E181" t="str">
        <x:f>IF($B181="","",--(COUNTIFS(Votaciones!$A$2:$A$336,$B181,Votaciones!$B$2:$B$336,Explorador_Integrantes!$X$2,Votaciones!$D$2:$D$336,"Disenso acomodaticio")&gt;0))</x:f>
      </x:c>
    </x:row>
    <x:row r="182">
      <x:c r="A182" s="112" t="str" cm="1">
        <x:f t="array" ref="A182">IF(ROWS($A$2:A182)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182)-1),"")</x:f>
      </x:c>
      <x:c r="B182" t="str" cm="1">
        <x:f t="array" ref="B182">IF($A182="","",INDEX(Decisiones!$A$2:$A$237,MATCH(INDEX(Explorador_Integrantes!$GO$2:$GO$30,MATCH(Explorador_Integrantes!$X$2,Explorador_Integrantes!$GN$2:$GN$30,0)),Decisiones!$B$2:$B$237,0)+ROWS($A$2:A182)-1))</x:f>
      </x:c>
      <x:c r="C182" t="str" cm="1">
        <x:f t="array" ref="C182">IF($A182="","",INDEX(Decisiones!$H$2:$H$237,MATCH(INDEX(Explorador_Integrantes!$GO$2:$GO$30,MATCH(Explorador_Integrantes!$X$2,Explorador_Integrantes!$GN$2:$GN$30,0)),Decisiones!$B$2:$B$237,0)+ROWS($A$2:A182)-1))</x:f>
      </x:c>
      <x:c r="D182" t="str">
        <x:f>IF($B182="","",--(COUNTIFS(Votaciones!$A$2:$A$336,$B182,Votaciones!$B$2:$B$336,Explorador_Integrantes!$X$2,Votaciones!$D$2:$D$336,"Disenso restrictivo")&gt;0))</x:f>
      </x:c>
      <x:c r="E182" t="str">
        <x:f>IF($B182="","",--(COUNTIFS(Votaciones!$A$2:$A$336,$B182,Votaciones!$B$2:$B$336,Explorador_Integrantes!$X$2,Votaciones!$D$2:$D$336,"Disenso acomodaticio")&gt;0))</x:f>
      </x:c>
    </x:row>
    <x:row r="183">
      <x:c r="A183" s="112" t="str" cm="1">
        <x:f t="array" ref="A183">IF(ROWS($A$2:A183)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183)-1),"")</x:f>
      </x:c>
      <x:c r="B183" t="str" cm="1">
        <x:f t="array" ref="B183">IF($A183="","",INDEX(Decisiones!$A$2:$A$237,MATCH(INDEX(Explorador_Integrantes!$GO$2:$GO$30,MATCH(Explorador_Integrantes!$X$2,Explorador_Integrantes!$GN$2:$GN$30,0)),Decisiones!$B$2:$B$237,0)+ROWS($A$2:A183)-1))</x:f>
      </x:c>
      <x:c r="C183" t="str" cm="1">
        <x:f t="array" ref="C183">IF($A183="","",INDEX(Decisiones!$H$2:$H$237,MATCH(INDEX(Explorador_Integrantes!$GO$2:$GO$30,MATCH(Explorador_Integrantes!$X$2,Explorador_Integrantes!$GN$2:$GN$30,0)),Decisiones!$B$2:$B$237,0)+ROWS($A$2:A183)-1))</x:f>
      </x:c>
      <x:c r="D183" t="str">
        <x:f>IF($B183="","",--(COUNTIFS(Votaciones!$A$2:$A$336,$B183,Votaciones!$B$2:$B$336,Explorador_Integrantes!$X$2,Votaciones!$D$2:$D$336,"Disenso restrictivo")&gt;0))</x:f>
      </x:c>
      <x:c r="E183" t="str">
        <x:f>IF($B183="","",--(COUNTIFS(Votaciones!$A$2:$A$336,$B183,Votaciones!$B$2:$B$336,Explorador_Integrantes!$X$2,Votaciones!$D$2:$D$336,"Disenso acomodaticio")&gt;0))</x:f>
      </x:c>
    </x:row>
    <x:row r="184">
      <x:c r="A184" s="112" t="str" cm="1">
        <x:f t="array" ref="A184">IF(ROWS($A$2:A184)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184)-1),"")</x:f>
      </x:c>
      <x:c r="B184" t="str" cm="1">
        <x:f t="array" ref="B184">IF($A184="","",INDEX(Decisiones!$A$2:$A$237,MATCH(INDEX(Explorador_Integrantes!$GO$2:$GO$30,MATCH(Explorador_Integrantes!$X$2,Explorador_Integrantes!$GN$2:$GN$30,0)),Decisiones!$B$2:$B$237,0)+ROWS($A$2:A184)-1))</x:f>
      </x:c>
      <x:c r="C184" t="str" cm="1">
        <x:f t="array" ref="C184">IF($A184="","",INDEX(Decisiones!$H$2:$H$237,MATCH(INDEX(Explorador_Integrantes!$GO$2:$GO$30,MATCH(Explorador_Integrantes!$X$2,Explorador_Integrantes!$GN$2:$GN$30,0)),Decisiones!$B$2:$B$237,0)+ROWS($A$2:A184)-1))</x:f>
      </x:c>
      <x:c r="D184" t="str">
        <x:f>IF($B184="","",--(COUNTIFS(Votaciones!$A$2:$A$336,$B184,Votaciones!$B$2:$B$336,Explorador_Integrantes!$X$2,Votaciones!$D$2:$D$336,"Disenso restrictivo")&gt;0))</x:f>
      </x:c>
      <x:c r="E184" t="str">
        <x:f>IF($B184="","",--(COUNTIFS(Votaciones!$A$2:$A$336,$B184,Votaciones!$B$2:$B$336,Explorador_Integrantes!$X$2,Votaciones!$D$2:$D$336,"Disenso acomodaticio")&gt;0))</x:f>
      </x:c>
    </x:row>
    <x:row r="185">
      <x:c r="A185" s="112" t="str" cm="1">
        <x:f t="array" ref="A185">IF(ROWS($A$2:A185)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185)-1),"")</x:f>
      </x:c>
      <x:c r="B185" t="str" cm="1">
        <x:f t="array" ref="B185">IF($A185="","",INDEX(Decisiones!$A$2:$A$237,MATCH(INDEX(Explorador_Integrantes!$GO$2:$GO$30,MATCH(Explorador_Integrantes!$X$2,Explorador_Integrantes!$GN$2:$GN$30,0)),Decisiones!$B$2:$B$237,0)+ROWS($A$2:A185)-1))</x:f>
      </x:c>
      <x:c r="C185" t="str" cm="1">
        <x:f t="array" ref="C185">IF($A185="","",INDEX(Decisiones!$H$2:$H$237,MATCH(INDEX(Explorador_Integrantes!$GO$2:$GO$30,MATCH(Explorador_Integrantes!$X$2,Explorador_Integrantes!$GN$2:$GN$30,0)),Decisiones!$B$2:$B$237,0)+ROWS($A$2:A185)-1))</x:f>
      </x:c>
      <x:c r="D185" t="str">
        <x:f>IF($B185="","",--(COUNTIFS(Votaciones!$A$2:$A$336,$B185,Votaciones!$B$2:$B$336,Explorador_Integrantes!$X$2,Votaciones!$D$2:$D$336,"Disenso restrictivo")&gt;0))</x:f>
      </x:c>
      <x:c r="E185" t="str">
        <x:f>IF($B185="","",--(COUNTIFS(Votaciones!$A$2:$A$336,$B185,Votaciones!$B$2:$B$336,Explorador_Integrantes!$X$2,Votaciones!$D$2:$D$336,"Disenso acomodaticio")&gt;0))</x:f>
      </x:c>
    </x:row>
    <x:row r="186">
      <x:c r="A186" s="112" t="str" cm="1">
        <x:f t="array" ref="A186">IF(ROWS($A$2:A186)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186)-1),"")</x:f>
      </x:c>
      <x:c r="B186" t="str" cm="1">
        <x:f t="array" ref="B186">IF($A186="","",INDEX(Decisiones!$A$2:$A$237,MATCH(INDEX(Explorador_Integrantes!$GO$2:$GO$30,MATCH(Explorador_Integrantes!$X$2,Explorador_Integrantes!$GN$2:$GN$30,0)),Decisiones!$B$2:$B$237,0)+ROWS($A$2:A186)-1))</x:f>
      </x:c>
      <x:c r="C186" t="str" cm="1">
        <x:f t="array" ref="C186">IF($A186="","",INDEX(Decisiones!$H$2:$H$237,MATCH(INDEX(Explorador_Integrantes!$GO$2:$GO$30,MATCH(Explorador_Integrantes!$X$2,Explorador_Integrantes!$GN$2:$GN$30,0)),Decisiones!$B$2:$B$237,0)+ROWS($A$2:A186)-1))</x:f>
      </x:c>
      <x:c r="D186" t="str">
        <x:f>IF($B186="","",--(COUNTIFS(Votaciones!$A$2:$A$336,$B186,Votaciones!$B$2:$B$336,Explorador_Integrantes!$X$2,Votaciones!$D$2:$D$336,"Disenso restrictivo")&gt;0))</x:f>
      </x:c>
      <x:c r="E186" t="str">
        <x:f>IF($B186="","",--(COUNTIFS(Votaciones!$A$2:$A$336,$B186,Votaciones!$B$2:$B$336,Explorador_Integrantes!$X$2,Votaciones!$D$2:$D$336,"Disenso acomodaticio")&gt;0))</x:f>
      </x:c>
    </x:row>
    <x:row r="187">
      <x:c r="A187" s="112" t="str" cm="1">
        <x:f t="array" ref="A187">IF(ROWS($A$2:A187)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187)-1),"")</x:f>
      </x:c>
      <x:c r="B187" t="str" cm="1">
        <x:f t="array" ref="B187">IF($A187="","",INDEX(Decisiones!$A$2:$A$237,MATCH(INDEX(Explorador_Integrantes!$GO$2:$GO$30,MATCH(Explorador_Integrantes!$X$2,Explorador_Integrantes!$GN$2:$GN$30,0)),Decisiones!$B$2:$B$237,0)+ROWS($A$2:A187)-1))</x:f>
      </x:c>
      <x:c r="C187" t="str" cm="1">
        <x:f t="array" ref="C187">IF($A187="","",INDEX(Decisiones!$H$2:$H$237,MATCH(INDEX(Explorador_Integrantes!$GO$2:$GO$30,MATCH(Explorador_Integrantes!$X$2,Explorador_Integrantes!$GN$2:$GN$30,0)),Decisiones!$B$2:$B$237,0)+ROWS($A$2:A187)-1))</x:f>
      </x:c>
      <x:c r="D187" t="str">
        <x:f>IF($B187="","",--(COUNTIFS(Votaciones!$A$2:$A$336,$B187,Votaciones!$B$2:$B$336,Explorador_Integrantes!$X$2,Votaciones!$D$2:$D$336,"Disenso restrictivo")&gt;0))</x:f>
      </x:c>
      <x:c r="E187" t="str">
        <x:f>IF($B187="","",--(COUNTIFS(Votaciones!$A$2:$A$336,$B187,Votaciones!$B$2:$B$336,Explorador_Integrantes!$X$2,Votaciones!$D$2:$D$336,"Disenso acomodaticio")&gt;0))</x:f>
      </x:c>
    </x:row>
    <x:row r="188">
      <x:c r="A188" s="112" t="str" cm="1">
        <x:f t="array" ref="A188">IF(ROWS($A$2:A188)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188)-1),"")</x:f>
      </x:c>
      <x:c r="B188" t="str" cm="1">
        <x:f t="array" ref="B188">IF($A188="","",INDEX(Decisiones!$A$2:$A$237,MATCH(INDEX(Explorador_Integrantes!$GO$2:$GO$30,MATCH(Explorador_Integrantes!$X$2,Explorador_Integrantes!$GN$2:$GN$30,0)),Decisiones!$B$2:$B$237,0)+ROWS($A$2:A188)-1))</x:f>
      </x:c>
      <x:c r="C188" t="str" cm="1">
        <x:f t="array" ref="C188">IF($A188="","",INDEX(Decisiones!$H$2:$H$237,MATCH(INDEX(Explorador_Integrantes!$GO$2:$GO$30,MATCH(Explorador_Integrantes!$X$2,Explorador_Integrantes!$GN$2:$GN$30,0)),Decisiones!$B$2:$B$237,0)+ROWS($A$2:A188)-1))</x:f>
      </x:c>
      <x:c r="D188" t="str">
        <x:f>IF($B188="","",--(COUNTIFS(Votaciones!$A$2:$A$336,$B188,Votaciones!$B$2:$B$336,Explorador_Integrantes!$X$2,Votaciones!$D$2:$D$336,"Disenso restrictivo")&gt;0))</x:f>
      </x:c>
      <x:c r="E188" t="str">
        <x:f>IF($B188="","",--(COUNTIFS(Votaciones!$A$2:$A$336,$B188,Votaciones!$B$2:$B$336,Explorador_Integrantes!$X$2,Votaciones!$D$2:$D$336,"Disenso acomodaticio")&gt;0))</x:f>
      </x:c>
    </x:row>
    <x:row r="189">
      <x:c r="A189" s="112" t="str" cm="1">
        <x:f t="array" ref="A189">IF(ROWS($A$2:A189)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189)-1),"")</x:f>
      </x:c>
      <x:c r="B189" t="str" cm="1">
        <x:f t="array" ref="B189">IF($A189="","",INDEX(Decisiones!$A$2:$A$237,MATCH(INDEX(Explorador_Integrantes!$GO$2:$GO$30,MATCH(Explorador_Integrantes!$X$2,Explorador_Integrantes!$GN$2:$GN$30,0)),Decisiones!$B$2:$B$237,0)+ROWS($A$2:A189)-1))</x:f>
      </x:c>
      <x:c r="C189" t="str" cm="1">
        <x:f t="array" ref="C189">IF($A189="","",INDEX(Decisiones!$H$2:$H$237,MATCH(INDEX(Explorador_Integrantes!$GO$2:$GO$30,MATCH(Explorador_Integrantes!$X$2,Explorador_Integrantes!$GN$2:$GN$30,0)),Decisiones!$B$2:$B$237,0)+ROWS($A$2:A189)-1))</x:f>
      </x:c>
      <x:c r="D189" t="str">
        <x:f>IF($B189="","",--(COUNTIFS(Votaciones!$A$2:$A$336,$B189,Votaciones!$B$2:$B$336,Explorador_Integrantes!$X$2,Votaciones!$D$2:$D$336,"Disenso restrictivo")&gt;0))</x:f>
      </x:c>
      <x:c r="E189" t="str">
        <x:f>IF($B189="","",--(COUNTIFS(Votaciones!$A$2:$A$336,$B189,Votaciones!$B$2:$B$336,Explorador_Integrantes!$X$2,Votaciones!$D$2:$D$336,"Disenso acomodaticio")&gt;0))</x:f>
      </x:c>
    </x:row>
    <x:row r="190">
      <x:c r="A190" s="112" t="str" cm="1">
        <x:f t="array" ref="A190">IF(ROWS($A$2:A190)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190)-1),"")</x:f>
      </x:c>
      <x:c r="B190" t="str" cm="1">
        <x:f t="array" ref="B190">IF($A190="","",INDEX(Decisiones!$A$2:$A$237,MATCH(INDEX(Explorador_Integrantes!$GO$2:$GO$30,MATCH(Explorador_Integrantes!$X$2,Explorador_Integrantes!$GN$2:$GN$30,0)),Decisiones!$B$2:$B$237,0)+ROWS($A$2:A190)-1))</x:f>
      </x:c>
      <x:c r="C190" t="str" cm="1">
        <x:f t="array" ref="C190">IF($A190="","",INDEX(Decisiones!$H$2:$H$237,MATCH(INDEX(Explorador_Integrantes!$GO$2:$GO$30,MATCH(Explorador_Integrantes!$X$2,Explorador_Integrantes!$GN$2:$GN$30,0)),Decisiones!$B$2:$B$237,0)+ROWS($A$2:A190)-1))</x:f>
      </x:c>
      <x:c r="D190" t="str">
        <x:f>IF($B190="","",--(COUNTIFS(Votaciones!$A$2:$A$336,$B190,Votaciones!$B$2:$B$336,Explorador_Integrantes!$X$2,Votaciones!$D$2:$D$336,"Disenso restrictivo")&gt;0))</x:f>
      </x:c>
      <x:c r="E190" t="str">
        <x:f>IF($B190="","",--(COUNTIFS(Votaciones!$A$2:$A$336,$B190,Votaciones!$B$2:$B$336,Explorador_Integrantes!$X$2,Votaciones!$D$2:$D$336,"Disenso acomodaticio")&gt;0))</x:f>
      </x:c>
    </x:row>
    <x:row r="191">
      <x:c r="A191" s="112" t="str" cm="1">
        <x:f t="array" ref="A191">IF(ROWS($A$2:A191)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191)-1),"")</x:f>
      </x:c>
      <x:c r="B191" t="str" cm="1">
        <x:f t="array" ref="B191">IF($A191="","",INDEX(Decisiones!$A$2:$A$237,MATCH(INDEX(Explorador_Integrantes!$GO$2:$GO$30,MATCH(Explorador_Integrantes!$X$2,Explorador_Integrantes!$GN$2:$GN$30,0)),Decisiones!$B$2:$B$237,0)+ROWS($A$2:A191)-1))</x:f>
      </x:c>
      <x:c r="C191" t="str" cm="1">
        <x:f t="array" ref="C191">IF($A191="","",INDEX(Decisiones!$H$2:$H$237,MATCH(INDEX(Explorador_Integrantes!$GO$2:$GO$30,MATCH(Explorador_Integrantes!$X$2,Explorador_Integrantes!$GN$2:$GN$30,0)),Decisiones!$B$2:$B$237,0)+ROWS($A$2:A191)-1))</x:f>
      </x:c>
      <x:c r="D191" t="str">
        <x:f>IF($B191="","",--(COUNTIFS(Votaciones!$A$2:$A$336,$B191,Votaciones!$B$2:$B$336,Explorador_Integrantes!$X$2,Votaciones!$D$2:$D$336,"Disenso restrictivo")&gt;0))</x:f>
      </x:c>
      <x:c r="E191" t="str">
        <x:f>IF($B191="","",--(COUNTIFS(Votaciones!$A$2:$A$336,$B191,Votaciones!$B$2:$B$336,Explorador_Integrantes!$X$2,Votaciones!$D$2:$D$336,"Disenso acomodaticio")&gt;0))</x:f>
      </x:c>
    </x:row>
    <x:row r="192">
      <x:c r="A192" s="112" t="str" cm="1">
        <x:f t="array" ref="A192">IF(ROWS($A$2:A192)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192)-1),"")</x:f>
      </x:c>
      <x:c r="B192" t="str" cm="1">
        <x:f t="array" ref="B192">IF($A192="","",INDEX(Decisiones!$A$2:$A$237,MATCH(INDEX(Explorador_Integrantes!$GO$2:$GO$30,MATCH(Explorador_Integrantes!$X$2,Explorador_Integrantes!$GN$2:$GN$30,0)),Decisiones!$B$2:$B$237,0)+ROWS($A$2:A192)-1))</x:f>
      </x:c>
      <x:c r="C192" t="str" cm="1">
        <x:f t="array" ref="C192">IF($A192="","",INDEX(Decisiones!$H$2:$H$237,MATCH(INDEX(Explorador_Integrantes!$GO$2:$GO$30,MATCH(Explorador_Integrantes!$X$2,Explorador_Integrantes!$GN$2:$GN$30,0)),Decisiones!$B$2:$B$237,0)+ROWS($A$2:A192)-1))</x:f>
      </x:c>
      <x:c r="D192" t="str">
        <x:f>IF($B192="","",--(COUNTIFS(Votaciones!$A$2:$A$336,$B192,Votaciones!$B$2:$B$336,Explorador_Integrantes!$X$2,Votaciones!$D$2:$D$336,"Disenso restrictivo")&gt;0))</x:f>
      </x:c>
      <x:c r="E192" t="str">
        <x:f>IF($B192="","",--(COUNTIFS(Votaciones!$A$2:$A$336,$B192,Votaciones!$B$2:$B$336,Explorador_Integrantes!$X$2,Votaciones!$D$2:$D$336,"Disenso acomodaticio")&gt;0))</x:f>
      </x:c>
    </x:row>
    <x:row r="193">
      <x:c r="A193" s="112" t="str" cm="1">
        <x:f t="array" ref="A193">IF(ROWS($A$2:A193)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193)-1),"")</x:f>
      </x:c>
      <x:c r="B193" t="str" cm="1">
        <x:f t="array" ref="B193">IF($A193="","",INDEX(Decisiones!$A$2:$A$237,MATCH(INDEX(Explorador_Integrantes!$GO$2:$GO$30,MATCH(Explorador_Integrantes!$X$2,Explorador_Integrantes!$GN$2:$GN$30,0)),Decisiones!$B$2:$B$237,0)+ROWS($A$2:A193)-1))</x:f>
      </x:c>
      <x:c r="C193" t="str" cm="1">
        <x:f t="array" ref="C193">IF($A193="","",INDEX(Decisiones!$H$2:$H$237,MATCH(INDEX(Explorador_Integrantes!$GO$2:$GO$30,MATCH(Explorador_Integrantes!$X$2,Explorador_Integrantes!$GN$2:$GN$30,0)),Decisiones!$B$2:$B$237,0)+ROWS($A$2:A193)-1))</x:f>
      </x:c>
      <x:c r="D193" t="str">
        <x:f>IF($B193="","",--(COUNTIFS(Votaciones!$A$2:$A$336,$B193,Votaciones!$B$2:$B$336,Explorador_Integrantes!$X$2,Votaciones!$D$2:$D$336,"Disenso restrictivo")&gt;0))</x:f>
      </x:c>
      <x:c r="E193" t="str">
        <x:f>IF($B193="","",--(COUNTIFS(Votaciones!$A$2:$A$336,$B193,Votaciones!$B$2:$B$336,Explorador_Integrantes!$X$2,Votaciones!$D$2:$D$336,"Disenso acomodaticio")&gt;0))</x:f>
      </x:c>
    </x:row>
    <x:row r="194">
      <x:c r="A194" s="112" t="str" cm="1">
        <x:f t="array" ref="A194">IF(ROWS($A$2:A194)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194)-1),"")</x:f>
      </x:c>
      <x:c r="B194" t="str" cm="1">
        <x:f t="array" ref="B194">IF($A194="","",INDEX(Decisiones!$A$2:$A$237,MATCH(INDEX(Explorador_Integrantes!$GO$2:$GO$30,MATCH(Explorador_Integrantes!$X$2,Explorador_Integrantes!$GN$2:$GN$30,0)),Decisiones!$B$2:$B$237,0)+ROWS($A$2:A194)-1))</x:f>
      </x:c>
      <x:c r="C194" t="str" cm="1">
        <x:f t="array" ref="C194">IF($A194="","",INDEX(Decisiones!$H$2:$H$237,MATCH(INDEX(Explorador_Integrantes!$GO$2:$GO$30,MATCH(Explorador_Integrantes!$X$2,Explorador_Integrantes!$GN$2:$GN$30,0)),Decisiones!$B$2:$B$237,0)+ROWS($A$2:A194)-1))</x:f>
      </x:c>
      <x:c r="D194" t="str">
        <x:f>IF($B194="","",--(COUNTIFS(Votaciones!$A$2:$A$336,$B194,Votaciones!$B$2:$B$336,Explorador_Integrantes!$X$2,Votaciones!$D$2:$D$336,"Disenso restrictivo")&gt;0))</x:f>
      </x:c>
      <x:c r="E194" t="str">
        <x:f>IF($B194="","",--(COUNTIFS(Votaciones!$A$2:$A$336,$B194,Votaciones!$B$2:$B$336,Explorador_Integrantes!$X$2,Votaciones!$D$2:$D$336,"Disenso acomodaticio")&gt;0))</x:f>
      </x:c>
    </x:row>
    <x:row r="195">
      <x:c r="A195" s="112" t="str" cm="1">
        <x:f t="array" ref="A195">IF(ROWS($A$2:A195)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195)-1),"")</x:f>
      </x:c>
      <x:c r="B195" t="str" cm="1">
        <x:f t="array" ref="B195">IF($A195="","",INDEX(Decisiones!$A$2:$A$237,MATCH(INDEX(Explorador_Integrantes!$GO$2:$GO$30,MATCH(Explorador_Integrantes!$X$2,Explorador_Integrantes!$GN$2:$GN$30,0)),Decisiones!$B$2:$B$237,0)+ROWS($A$2:A195)-1))</x:f>
      </x:c>
      <x:c r="C195" t="str" cm="1">
        <x:f t="array" ref="C195">IF($A195="","",INDEX(Decisiones!$H$2:$H$237,MATCH(INDEX(Explorador_Integrantes!$GO$2:$GO$30,MATCH(Explorador_Integrantes!$X$2,Explorador_Integrantes!$GN$2:$GN$30,0)),Decisiones!$B$2:$B$237,0)+ROWS($A$2:A195)-1))</x:f>
      </x:c>
      <x:c r="D195" t="str">
        <x:f>IF($B195="","",--(COUNTIFS(Votaciones!$A$2:$A$336,$B195,Votaciones!$B$2:$B$336,Explorador_Integrantes!$X$2,Votaciones!$D$2:$D$336,"Disenso restrictivo")&gt;0))</x:f>
      </x:c>
      <x:c r="E195" t="str">
        <x:f>IF($B195="","",--(COUNTIFS(Votaciones!$A$2:$A$336,$B195,Votaciones!$B$2:$B$336,Explorador_Integrantes!$X$2,Votaciones!$D$2:$D$336,"Disenso acomodaticio")&gt;0))</x:f>
      </x:c>
    </x:row>
    <x:row r="196">
      <x:c r="A196" s="112" t="str" cm="1">
        <x:f t="array" ref="A196">IF(ROWS($A$2:A196)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196)-1),"")</x:f>
      </x:c>
      <x:c r="B196" t="str" cm="1">
        <x:f t="array" ref="B196">IF($A196="","",INDEX(Decisiones!$A$2:$A$237,MATCH(INDEX(Explorador_Integrantes!$GO$2:$GO$30,MATCH(Explorador_Integrantes!$X$2,Explorador_Integrantes!$GN$2:$GN$30,0)),Decisiones!$B$2:$B$237,0)+ROWS($A$2:A196)-1))</x:f>
      </x:c>
      <x:c r="C196" t="str" cm="1">
        <x:f t="array" ref="C196">IF($A196="","",INDEX(Decisiones!$H$2:$H$237,MATCH(INDEX(Explorador_Integrantes!$GO$2:$GO$30,MATCH(Explorador_Integrantes!$X$2,Explorador_Integrantes!$GN$2:$GN$30,0)),Decisiones!$B$2:$B$237,0)+ROWS($A$2:A196)-1))</x:f>
      </x:c>
      <x:c r="D196" t="str">
        <x:f>IF($B196="","",--(COUNTIFS(Votaciones!$A$2:$A$336,$B196,Votaciones!$B$2:$B$336,Explorador_Integrantes!$X$2,Votaciones!$D$2:$D$336,"Disenso restrictivo")&gt;0))</x:f>
      </x:c>
      <x:c r="E196" t="str">
        <x:f>IF($B196="","",--(COUNTIFS(Votaciones!$A$2:$A$336,$B196,Votaciones!$B$2:$B$336,Explorador_Integrantes!$X$2,Votaciones!$D$2:$D$336,"Disenso acomodaticio")&gt;0))</x:f>
      </x:c>
    </x:row>
    <x:row r="197">
      <x:c r="A197" s="112" t="str" cm="1">
        <x:f t="array" ref="A197">IF(ROWS($A$2:A197)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197)-1),"")</x:f>
      </x:c>
      <x:c r="B197" t="str" cm="1">
        <x:f t="array" ref="B197">IF($A197="","",INDEX(Decisiones!$A$2:$A$237,MATCH(INDEX(Explorador_Integrantes!$GO$2:$GO$30,MATCH(Explorador_Integrantes!$X$2,Explorador_Integrantes!$GN$2:$GN$30,0)),Decisiones!$B$2:$B$237,0)+ROWS($A$2:A197)-1))</x:f>
      </x:c>
      <x:c r="C197" t="str" cm="1">
        <x:f t="array" ref="C197">IF($A197="","",INDEX(Decisiones!$H$2:$H$237,MATCH(INDEX(Explorador_Integrantes!$GO$2:$GO$30,MATCH(Explorador_Integrantes!$X$2,Explorador_Integrantes!$GN$2:$GN$30,0)),Decisiones!$B$2:$B$237,0)+ROWS($A$2:A197)-1))</x:f>
      </x:c>
      <x:c r="D197" t="str">
        <x:f>IF($B197="","",--(COUNTIFS(Votaciones!$A$2:$A$336,$B197,Votaciones!$B$2:$B$336,Explorador_Integrantes!$X$2,Votaciones!$D$2:$D$336,"Disenso restrictivo")&gt;0))</x:f>
      </x:c>
      <x:c r="E197" t="str">
        <x:f>IF($B197="","",--(COUNTIFS(Votaciones!$A$2:$A$336,$B197,Votaciones!$B$2:$B$336,Explorador_Integrantes!$X$2,Votaciones!$D$2:$D$336,"Disenso acomodaticio")&gt;0))</x:f>
      </x:c>
    </x:row>
    <x:row r="198">
      <x:c r="A198" s="112" t="str" cm="1">
        <x:f t="array" ref="A198">IF(ROWS($A$2:A198)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198)-1),"")</x:f>
      </x:c>
      <x:c r="B198" t="str" cm="1">
        <x:f t="array" ref="B198">IF($A198="","",INDEX(Decisiones!$A$2:$A$237,MATCH(INDEX(Explorador_Integrantes!$GO$2:$GO$30,MATCH(Explorador_Integrantes!$X$2,Explorador_Integrantes!$GN$2:$GN$30,0)),Decisiones!$B$2:$B$237,0)+ROWS($A$2:A198)-1))</x:f>
      </x:c>
      <x:c r="C198" t="str" cm="1">
        <x:f t="array" ref="C198">IF($A198="","",INDEX(Decisiones!$H$2:$H$237,MATCH(INDEX(Explorador_Integrantes!$GO$2:$GO$30,MATCH(Explorador_Integrantes!$X$2,Explorador_Integrantes!$GN$2:$GN$30,0)),Decisiones!$B$2:$B$237,0)+ROWS($A$2:A198)-1))</x:f>
      </x:c>
      <x:c r="D198" t="str">
        <x:f>IF($B198="","",--(COUNTIFS(Votaciones!$A$2:$A$336,$B198,Votaciones!$B$2:$B$336,Explorador_Integrantes!$X$2,Votaciones!$D$2:$D$336,"Disenso restrictivo")&gt;0))</x:f>
      </x:c>
      <x:c r="E198" t="str">
        <x:f>IF($B198="","",--(COUNTIFS(Votaciones!$A$2:$A$336,$B198,Votaciones!$B$2:$B$336,Explorador_Integrantes!$X$2,Votaciones!$D$2:$D$336,"Disenso acomodaticio")&gt;0))</x:f>
      </x:c>
    </x:row>
    <x:row r="199">
      <x:c r="A199" s="112" t="str" cm="1">
        <x:f t="array" ref="A199">IF(ROWS($A$2:A199)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199)-1),"")</x:f>
      </x:c>
      <x:c r="B199" t="str" cm="1">
        <x:f t="array" ref="B199">IF($A199="","",INDEX(Decisiones!$A$2:$A$237,MATCH(INDEX(Explorador_Integrantes!$GO$2:$GO$30,MATCH(Explorador_Integrantes!$X$2,Explorador_Integrantes!$GN$2:$GN$30,0)),Decisiones!$B$2:$B$237,0)+ROWS($A$2:A199)-1))</x:f>
      </x:c>
      <x:c r="C199" t="str" cm="1">
        <x:f t="array" ref="C199">IF($A199="","",INDEX(Decisiones!$H$2:$H$237,MATCH(INDEX(Explorador_Integrantes!$GO$2:$GO$30,MATCH(Explorador_Integrantes!$X$2,Explorador_Integrantes!$GN$2:$GN$30,0)),Decisiones!$B$2:$B$237,0)+ROWS($A$2:A199)-1))</x:f>
      </x:c>
      <x:c r="D199" t="str">
        <x:f>IF($B199="","",--(COUNTIFS(Votaciones!$A$2:$A$336,$B199,Votaciones!$B$2:$B$336,Explorador_Integrantes!$X$2,Votaciones!$D$2:$D$336,"Disenso restrictivo")&gt;0))</x:f>
      </x:c>
      <x:c r="E199" t="str">
        <x:f>IF($B199="","",--(COUNTIFS(Votaciones!$A$2:$A$336,$B199,Votaciones!$B$2:$B$336,Explorador_Integrantes!$X$2,Votaciones!$D$2:$D$336,"Disenso acomodaticio")&gt;0))</x:f>
      </x:c>
    </x:row>
    <x:row r="200">
      <x:c r="A200" s="112" t="str" cm="1">
        <x:f t="array" ref="A200">IF(ROWS($A$2:A200)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200)-1),"")</x:f>
      </x:c>
      <x:c r="B200" t="str" cm="1">
        <x:f t="array" ref="B200">IF($A200="","",INDEX(Decisiones!$A$2:$A$237,MATCH(INDEX(Explorador_Integrantes!$GO$2:$GO$30,MATCH(Explorador_Integrantes!$X$2,Explorador_Integrantes!$GN$2:$GN$30,0)),Decisiones!$B$2:$B$237,0)+ROWS($A$2:A200)-1))</x:f>
      </x:c>
      <x:c r="C200" t="str" cm="1">
        <x:f t="array" ref="C200">IF($A200="","",INDEX(Decisiones!$H$2:$H$237,MATCH(INDEX(Explorador_Integrantes!$GO$2:$GO$30,MATCH(Explorador_Integrantes!$X$2,Explorador_Integrantes!$GN$2:$GN$30,0)),Decisiones!$B$2:$B$237,0)+ROWS($A$2:A200)-1))</x:f>
      </x:c>
      <x:c r="D200" t="str">
        <x:f>IF($B200="","",--(COUNTIFS(Votaciones!$A$2:$A$336,$B200,Votaciones!$B$2:$B$336,Explorador_Integrantes!$X$2,Votaciones!$D$2:$D$336,"Disenso restrictivo")&gt;0))</x:f>
      </x:c>
      <x:c r="E200" t="str">
        <x:f>IF($B200="","",--(COUNTIFS(Votaciones!$A$2:$A$336,$B200,Votaciones!$B$2:$B$336,Explorador_Integrantes!$X$2,Votaciones!$D$2:$D$336,"Disenso acomodaticio")&gt;0))</x:f>
      </x:c>
    </x:row>
    <x:row r="201">
      <x:c r="A201" s="112" t="str" cm="1">
        <x:f t="array" ref="A201">IF(ROWS($A$2:A201)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201)-1),"")</x:f>
      </x:c>
      <x:c r="B201" t="str" cm="1">
        <x:f t="array" ref="B201">IF($A201="","",INDEX(Decisiones!$A$2:$A$237,MATCH(INDEX(Explorador_Integrantes!$GO$2:$GO$30,MATCH(Explorador_Integrantes!$X$2,Explorador_Integrantes!$GN$2:$GN$30,0)),Decisiones!$B$2:$B$237,0)+ROWS($A$2:A201)-1))</x:f>
      </x:c>
      <x:c r="C201" t="str" cm="1">
        <x:f t="array" ref="C201">IF($A201="","",INDEX(Decisiones!$H$2:$H$237,MATCH(INDEX(Explorador_Integrantes!$GO$2:$GO$30,MATCH(Explorador_Integrantes!$X$2,Explorador_Integrantes!$GN$2:$GN$30,0)),Decisiones!$B$2:$B$237,0)+ROWS($A$2:A201)-1))</x:f>
      </x:c>
      <x:c r="D201" t="str">
        <x:f>IF($B201="","",--(COUNTIFS(Votaciones!$A$2:$A$336,$B201,Votaciones!$B$2:$B$336,Explorador_Integrantes!$X$2,Votaciones!$D$2:$D$336,"Disenso restrictivo")&gt;0))</x:f>
      </x:c>
      <x:c r="E201" t="str">
        <x:f>IF($B201="","",--(COUNTIFS(Votaciones!$A$2:$A$336,$B201,Votaciones!$B$2:$B$336,Explorador_Integrantes!$X$2,Votaciones!$D$2:$D$336,"Disenso acomodaticio")&gt;0))</x:f>
      </x:c>
    </x:row>
    <x:row r="202">
      <x:c r="A202" s="112" t="str" cm="1">
        <x:f t="array" ref="A202">IF(ROWS($A$2:A202)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202)-1),"")</x:f>
      </x:c>
      <x:c r="B202" t="str" cm="1">
        <x:f t="array" ref="B202">IF($A202="","",INDEX(Decisiones!$A$2:$A$237,MATCH(INDEX(Explorador_Integrantes!$GO$2:$GO$30,MATCH(Explorador_Integrantes!$X$2,Explorador_Integrantes!$GN$2:$GN$30,0)),Decisiones!$B$2:$B$237,0)+ROWS($A$2:A202)-1))</x:f>
      </x:c>
      <x:c r="C202" t="str" cm="1">
        <x:f t="array" ref="C202">IF($A202="","",INDEX(Decisiones!$H$2:$H$237,MATCH(INDEX(Explorador_Integrantes!$GO$2:$GO$30,MATCH(Explorador_Integrantes!$X$2,Explorador_Integrantes!$GN$2:$GN$30,0)),Decisiones!$B$2:$B$237,0)+ROWS($A$2:A202)-1))</x:f>
      </x:c>
      <x:c r="D202" t="str">
        <x:f>IF($B202="","",--(COUNTIFS(Votaciones!$A$2:$A$336,$B202,Votaciones!$B$2:$B$336,Explorador_Integrantes!$X$2,Votaciones!$D$2:$D$336,"Disenso restrictivo")&gt;0))</x:f>
      </x:c>
      <x:c r="E202" t="str">
        <x:f>IF($B202="","",--(COUNTIFS(Votaciones!$A$2:$A$336,$B202,Votaciones!$B$2:$B$336,Explorador_Integrantes!$X$2,Votaciones!$D$2:$D$336,"Disenso acomodaticio")&gt;0))</x:f>
      </x:c>
    </x:row>
    <x:row r="203">
      <x:c r="A203" s="112" t="str" cm="1">
        <x:f t="array" ref="A203">IF(ROWS($A$2:A203)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203)-1),"")</x:f>
      </x:c>
      <x:c r="B203" t="str" cm="1">
        <x:f t="array" ref="B203">IF($A203="","",INDEX(Decisiones!$A$2:$A$237,MATCH(INDEX(Explorador_Integrantes!$GO$2:$GO$30,MATCH(Explorador_Integrantes!$X$2,Explorador_Integrantes!$GN$2:$GN$30,0)),Decisiones!$B$2:$B$237,0)+ROWS($A$2:A203)-1))</x:f>
      </x:c>
      <x:c r="C203" t="str" cm="1">
        <x:f t="array" ref="C203">IF($A203="","",INDEX(Decisiones!$H$2:$H$237,MATCH(INDEX(Explorador_Integrantes!$GO$2:$GO$30,MATCH(Explorador_Integrantes!$X$2,Explorador_Integrantes!$GN$2:$GN$30,0)),Decisiones!$B$2:$B$237,0)+ROWS($A$2:A203)-1))</x:f>
      </x:c>
      <x:c r="D203" t="str">
        <x:f>IF($B203="","",--(COUNTIFS(Votaciones!$A$2:$A$336,$B203,Votaciones!$B$2:$B$336,Explorador_Integrantes!$X$2,Votaciones!$D$2:$D$336,"Disenso restrictivo")&gt;0))</x:f>
      </x:c>
      <x:c r="E203" t="str">
        <x:f>IF($B203="","",--(COUNTIFS(Votaciones!$A$2:$A$336,$B203,Votaciones!$B$2:$B$336,Explorador_Integrantes!$X$2,Votaciones!$D$2:$D$336,"Disenso acomodaticio")&gt;0))</x:f>
      </x:c>
    </x:row>
    <x:row r="204">
      <x:c r="A204" s="112" t="str" cm="1">
        <x:f t="array" ref="A204">IF(ROWS($A$2:A204)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204)-1),"")</x:f>
      </x:c>
      <x:c r="B204" t="str" cm="1">
        <x:f t="array" ref="B204">IF($A204="","",INDEX(Decisiones!$A$2:$A$237,MATCH(INDEX(Explorador_Integrantes!$GO$2:$GO$30,MATCH(Explorador_Integrantes!$X$2,Explorador_Integrantes!$GN$2:$GN$30,0)),Decisiones!$B$2:$B$237,0)+ROWS($A$2:A204)-1))</x:f>
      </x:c>
      <x:c r="C204" t="str" cm="1">
        <x:f t="array" ref="C204">IF($A204="","",INDEX(Decisiones!$H$2:$H$237,MATCH(INDEX(Explorador_Integrantes!$GO$2:$GO$30,MATCH(Explorador_Integrantes!$X$2,Explorador_Integrantes!$GN$2:$GN$30,0)),Decisiones!$B$2:$B$237,0)+ROWS($A$2:A204)-1))</x:f>
      </x:c>
      <x:c r="D204" t="str">
        <x:f>IF($B204="","",--(COUNTIFS(Votaciones!$A$2:$A$336,$B204,Votaciones!$B$2:$B$336,Explorador_Integrantes!$X$2,Votaciones!$D$2:$D$336,"Disenso restrictivo")&gt;0))</x:f>
      </x:c>
      <x:c r="E204" t="str">
        <x:f>IF($B204="","",--(COUNTIFS(Votaciones!$A$2:$A$336,$B204,Votaciones!$B$2:$B$336,Explorador_Integrantes!$X$2,Votaciones!$D$2:$D$336,"Disenso acomodaticio")&gt;0))</x:f>
      </x:c>
    </x:row>
    <x:row r="205">
      <x:c r="A205" s="112" t="str" cm="1">
        <x:f t="array" ref="A205">IF(ROWS($A$2:A205)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205)-1),"")</x:f>
      </x:c>
      <x:c r="B205" t="str" cm="1">
        <x:f t="array" ref="B205">IF($A205="","",INDEX(Decisiones!$A$2:$A$237,MATCH(INDEX(Explorador_Integrantes!$GO$2:$GO$30,MATCH(Explorador_Integrantes!$X$2,Explorador_Integrantes!$GN$2:$GN$30,0)),Decisiones!$B$2:$B$237,0)+ROWS($A$2:A205)-1))</x:f>
      </x:c>
      <x:c r="C205" t="str" cm="1">
        <x:f t="array" ref="C205">IF($A205="","",INDEX(Decisiones!$H$2:$H$237,MATCH(INDEX(Explorador_Integrantes!$GO$2:$GO$30,MATCH(Explorador_Integrantes!$X$2,Explorador_Integrantes!$GN$2:$GN$30,0)),Decisiones!$B$2:$B$237,0)+ROWS($A$2:A205)-1))</x:f>
      </x:c>
      <x:c r="D205" t="str">
        <x:f>IF($B205="","",--(COUNTIFS(Votaciones!$A$2:$A$336,$B205,Votaciones!$B$2:$B$336,Explorador_Integrantes!$X$2,Votaciones!$D$2:$D$336,"Disenso restrictivo")&gt;0))</x:f>
      </x:c>
      <x:c r="E205" t="str">
        <x:f>IF($B205="","",--(COUNTIFS(Votaciones!$A$2:$A$336,$B205,Votaciones!$B$2:$B$336,Explorador_Integrantes!$X$2,Votaciones!$D$2:$D$336,"Disenso acomodaticio")&gt;0))</x:f>
      </x:c>
    </x:row>
    <x:row r="206">
      <x:c r="A206" s="112" t="str" cm="1">
        <x:f t="array" ref="A206">IF(ROWS($A$2:A206)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206)-1),"")</x:f>
      </x:c>
      <x:c r="B206" t="str" cm="1">
        <x:f t="array" ref="B206">IF($A206="","",INDEX(Decisiones!$A$2:$A$237,MATCH(INDEX(Explorador_Integrantes!$GO$2:$GO$30,MATCH(Explorador_Integrantes!$X$2,Explorador_Integrantes!$GN$2:$GN$30,0)),Decisiones!$B$2:$B$237,0)+ROWS($A$2:A206)-1))</x:f>
      </x:c>
      <x:c r="C206" t="str" cm="1">
        <x:f t="array" ref="C206">IF($A206="","",INDEX(Decisiones!$H$2:$H$237,MATCH(INDEX(Explorador_Integrantes!$GO$2:$GO$30,MATCH(Explorador_Integrantes!$X$2,Explorador_Integrantes!$GN$2:$GN$30,0)),Decisiones!$B$2:$B$237,0)+ROWS($A$2:A206)-1))</x:f>
      </x:c>
      <x:c r="D206" t="str">
        <x:f>IF($B206="","",--(COUNTIFS(Votaciones!$A$2:$A$336,$B206,Votaciones!$B$2:$B$336,Explorador_Integrantes!$X$2,Votaciones!$D$2:$D$336,"Disenso restrictivo")&gt;0))</x:f>
      </x:c>
      <x:c r="E206" t="str">
        <x:f>IF($B206="","",--(COUNTIFS(Votaciones!$A$2:$A$336,$B206,Votaciones!$B$2:$B$336,Explorador_Integrantes!$X$2,Votaciones!$D$2:$D$336,"Disenso acomodaticio")&gt;0))</x:f>
      </x:c>
    </x:row>
    <x:row r="207">
      <x:c r="A207" s="112" t="str" cm="1">
        <x:f t="array" ref="A207">IF(ROWS($A$2:A207)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207)-1),"")</x:f>
      </x:c>
      <x:c r="B207" t="str" cm="1">
        <x:f t="array" ref="B207">IF($A207="","",INDEX(Decisiones!$A$2:$A$237,MATCH(INDEX(Explorador_Integrantes!$GO$2:$GO$30,MATCH(Explorador_Integrantes!$X$2,Explorador_Integrantes!$GN$2:$GN$30,0)),Decisiones!$B$2:$B$237,0)+ROWS($A$2:A207)-1))</x:f>
      </x:c>
      <x:c r="C207" t="str" cm="1">
        <x:f t="array" ref="C207">IF($A207="","",INDEX(Decisiones!$H$2:$H$237,MATCH(INDEX(Explorador_Integrantes!$GO$2:$GO$30,MATCH(Explorador_Integrantes!$X$2,Explorador_Integrantes!$GN$2:$GN$30,0)),Decisiones!$B$2:$B$237,0)+ROWS($A$2:A207)-1))</x:f>
      </x:c>
      <x:c r="D207" t="str">
        <x:f>IF($B207="","",--(COUNTIFS(Votaciones!$A$2:$A$336,$B207,Votaciones!$B$2:$B$336,Explorador_Integrantes!$X$2,Votaciones!$D$2:$D$336,"Disenso restrictivo")&gt;0))</x:f>
      </x:c>
      <x:c r="E207" t="str">
        <x:f>IF($B207="","",--(COUNTIFS(Votaciones!$A$2:$A$336,$B207,Votaciones!$B$2:$B$336,Explorador_Integrantes!$X$2,Votaciones!$D$2:$D$336,"Disenso acomodaticio")&gt;0))</x:f>
      </x:c>
    </x:row>
    <x:row r="208">
      <x:c r="A208" s="112" t="str" cm="1">
        <x:f t="array" ref="A208">IF(ROWS($A$2:A208)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208)-1),"")</x:f>
      </x:c>
      <x:c r="B208" t="str" cm="1">
        <x:f t="array" ref="B208">IF($A208="","",INDEX(Decisiones!$A$2:$A$237,MATCH(INDEX(Explorador_Integrantes!$GO$2:$GO$30,MATCH(Explorador_Integrantes!$X$2,Explorador_Integrantes!$GN$2:$GN$30,0)),Decisiones!$B$2:$B$237,0)+ROWS($A$2:A208)-1))</x:f>
      </x:c>
      <x:c r="C208" t="str" cm="1">
        <x:f t="array" ref="C208">IF($A208="","",INDEX(Decisiones!$H$2:$H$237,MATCH(INDEX(Explorador_Integrantes!$GO$2:$GO$30,MATCH(Explorador_Integrantes!$X$2,Explorador_Integrantes!$GN$2:$GN$30,0)),Decisiones!$B$2:$B$237,0)+ROWS($A$2:A208)-1))</x:f>
      </x:c>
      <x:c r="D208" t="str">
        <x:f>IF($B208="","",--(COUNTIFS(Votaciones!$A$2:$A$336,$B208,Votaciones!$B$2:$B$336,Explorador_Integrantes!$X$2,Votaciones!$D$2:$D$336,"Disenso restrictivo")&gt;0))</x:f>
      </x:c>
      <x:c r="E208" t="str">
        <x:f>IF($B208="","",--(COUNTIFS(Votaciones!$A$2:$A$336,$B208,Votaciones!$B$2:$B$336,Explorador_Integrantes!$X$2,Votaciones!$D$2:$D$336,"Disenso acomodaticio")&gt;0))</x:f>
      </x:c>
    </x:row>
    <x:row r="209">
      <x:c r="A209" s="112" t="str" cm="1">
        <x:f t="array" ref="A209">IF(ROWS($A$2:A209)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209)-1),"")</x:f>
      </x:c>
      <x:c r="B209" t="str" cm="1">
        <x:f t="array" ref="B209">IF($A209="","",INDEX(Decisiones!$A$2:$A$237,MATCH(INDEX(Explorador_Integrantes!$GO$2:$GO$30,MATCH(Explorador_Integrantes!$X$2,Explorador_Integrantes!$GN$2:$GN$30,0)),Decisiones!$B$2:$B$237,0)+ROWS($A$2:A209)-1))</x:f>
      </x:c>
      <x:c r="C209" t="str" cm="1">
        <x:f t="array" ref="C209">IF($A209="","",INDEX(Decisiones!$H$2:$H$237,MATCH(INDEX(Explorador_Integrantes!$GO$2:$GO$30,MATCH(Explorador_Integrantes!$X$2,Explorador_Integrantes!$GN$2:$GN$30,0)),Decisiones!$B$2:$B$237,0)+ROWS($A$2:A209)-1))</x:f>
      </x:c>
      <x:c r="D209" t="str">
        <x:f>IF($B209="","",--(COUNTIFS(Votaciones!$A$2:$A$336,$B209,Votaciones!$B$2:$B$336,Explorador_Integrantes!$X$2,Votaciones!$D$2:$D$336,"Disenso restrictivo")&gt;0))</x:f>
      </x:c>
      <x:c r="E209" t="str">
        <x:f>IF($B209="","",--(COUNTIFS(Votaciones!$A$2:$A$336,$B209,Votaciones!$B$2:$B$336,Explorador_Integrantes!$X$2,Votaciones!$D$2:$D$336,"Disenso acomodaticio")&gt;0))</x:f>
      </x:c>
    </x:row>
    <x:row r="210">
      <x:c r="A210" s="112" t="str" cm="1">
        <x:f t="array" ref="A210">IF(ROWS($A$2:A210)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210)-1),"")</x:f>
      </x:c>
      <x:c r="B210" t="str" cm="1">
        <x:f t="array" ref="B210">IF($A210="","",INDEX(Decisiones!$A$2:$A$237,MATCH(INDEX(Explorador_Integrantes!$GO$2:$GO$30,MATCH(Explorador_Integrantes!$X$2,Explorador_Integrantes!$GN$2:$GN$30,0)),Decisiones!$B$2:$B$237,0)+ROWS($A$2:A210)-1))</x:f>
      </x:c>
      <x:c r="C210" t="str" cm="1">
        <x:f t="array" ref="C210">IF($A210="","",INDEX(Decisiones!$H$2:$H$237,MATCH(INDEX(Explorador_Integrantes!$GO$2:$GO$30,MATCH(Explorador_Integrantes!$X$2,Explorador_Integrantes!$GN$2:$GN$30,0)),Decisiones!$B$2:$B$237,0)+ROWS($A$2:A210)-1))</x:f>
      </x:c>
      <x:c r="D210" t="str">
        <x:f>IF($B210="","",--(COUNTIFS(Votaciones!$A$2:$A$336,$B210,Votaciones!$B$2:$B$336,Explorador_Integrantes!$X$2,Votaciones!$D$2:$D$336,"Disenso restrictivo")&gt;0))</x:f>
      </x:c>
      <x:c r="E210" t="str">
        <x:f>IF($B210="","",--(COUNTIFS(Votaciones!$A$2:$A$336,$B210,Votaciones!$B$2:$B$336,Explorador_Integrantes!$X$2,Votaciones!$D$2:$D$336,"Disenso acomodaticio")&gt;0))</x:f>
      </x:c>
    </x:row>
    <x:row r="211">
      <x:c r="A211" s="112" t="str" cm="1">
        <x:f t="array" ref="A211">IF(ROWS($A$2:A211)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211)-1),"")</x:f>
      </x:c>
      <x:c r="B211" t="str" cm="1">
        <x:f t="array" ref="B211">IF($A211="","",INDEX(Decisiones!$A$2:$A$237,MATCH(INDEX(Explorador_Integrantes!$GO$2:$GO$30,MATCH(Explorador_Integrantes!$X$2,Explorador_Integrantes!$GN$2:$GN$30,0)),Decisiones!$B$2:$B$237,0)+ROWS($A$2:A211)-1))</x:f>
      </x:c>
      <x:c r="C211" t="str" cm="1">
        <x:f t="array" ref="C211">IF($A211="","",INDEX(Decisiones!$H$2:$H$237,MATCH(INDEX(Explorador_Integrantes!$GO$2:$GO$30,MATCH(Explorador_Integrantes!$X$2,Explorador_Integrantes!$GN$2:$GN$30,0)),Decisiones!$B$2:$B$237,0)+ROWS($A$2:A211)-1))</x:f>
      </x:c>
      <x:c r="D211" t="str">
        <x:f>IF($B211="","",--(COUNTIFS(Votaciones!$A$2:$A$336,$B211,Votaciones!$B$2:$B$336,Explorador_Integrantes!$X$2,Votaciones!$D$2:$D$336,"Disenso restrictivo")&gt;0))</x:f>
      </x:c>
      <x:c r="E211" t="str">
        <x:f>IF($B211="","",--(COUNTIFS(Votaciones!$A$2:$A$336,$B211,Votaciones!$B$2:$B$336,Explorador_Integrantes!$X$2,Votaciones!$D$2:$D$336,"Disenso acomodaticio")&gt;0))</x:f>
      </x:c>
    </x:row>
    <x:row r="212">
      <x:c r="A212" s="112" t="str" cm="1">
        <x:f t="array" ref="A212">IF(ROWS($A$2:A212)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212)-1),"")</x:f>
      </x:c>
      <x:c r="B212" t="str" cm="1">
        <x:f t="array" ref="B212">IF($A212="","",INDEX(Decisiones!$A$2:$A$237,MATCH(INDEX(Explorador_Integrantes!$GO$2:$GO$30,MATCH(Explorador_Integrantes!$X$2,Explorador_Integrantes!$GN$2:$GN$30,0)),Decisiones!$B$2:$B$237,0)+ROWS($A$2:A212)-1))</x:f>
      </x:c>
      <x:c r="C212" t="str" cm="1">
        <x:f t="array" ref="C212">IF($A212="","",INDEX(Decisiones!$H$2:$H$237,MATCH(INDEX(Explorador_Integrantes!$GO$2:$GO$30,MATCH(Explorador_Integrantes!$X$2,Explorador_Integrantes!$GN$2:$GN$30,0)),Decisiones!$B$2:$B$237,0)+ROWS($A$2:A212)-1))</x:f>
      </x:c>
      <x:c r="D212" t="str">
        <x:f>IF($B212="","",--(COUNTIFS(Votaciones!$A$2:$A$336,$B212,Votaciones!$B$2:$B$336,Explorador_Integrantes!$X$2,Votaciones!$D$2:$D$336,"Disenso restrictivo")&gt;0))</x:f>
      </x:c>
      <x:c r="E212" t="str">
        <x:f>IF($B212="","",--(COUNTIFS(Votaciones!$A$2:$A$336,$B212,Votaciones!$B$2:$B$336,Explorador_Integrantes!$X$2,Votaciones!$D$2:$D$336,"Disenso acomodaticio")&gt;0))</x:f>
      </x:c>
    </x:row>
    <x:row r="213">
      <x:c r="A213" s="112" t="str" cm="1">
        <x:f t="array" ref="A213">IF(ROWS($A$2:A213)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213)-1),"")</x:f>
      </x:c>
      <x:c r="B213" t="str" cm="1">
        <x:f t="array" ref="B213">IF($A213="","",INDEX(Decisiones!$A$2:$A$237,MATCH(INDEX(Explorador_Integrantes!$GO$2:$GO$30,MATCH(Explorador_Integrantes!$X$2,Explorador_Integrantes!$GN$2:$GN$30,0)),Decisiones!$B$2:$B$237,0)+ROWS($A$2:A213)-1))</x:f>
      </x:c>
      <x:c r="C213" t="str" cm="1">
        <x:f t="array" ref="C213">IF($A213="","",INDEX(Decisiones!$H$2:$H$237,MATCH(INDEX(Explorador_Integrantes!$GO$2:$GO$30,MATCH(Explorador_Integrantes!$X$2,Explorador_Integrantes!$GN$2:$GN$30,0)),Decisiones!$B$2:$B$237,0)+ROWS($A$2:A213)-1))</x:f>
      </x:c>
      <x:c r="D213" t="str">
        <x:f>IF($B213="","",--(COUNTIFS(Votaciones!$A$2:$A$336,$B213,Votaciones!$B$2:$B$336,Explorador_Integrantes!$X$2,Votaciones!$D$2:$D$336,"Disenso restrictivo")&gt;0))</x:f>
      </x:c>
      <x:c r="E213" t="str">
        <x:f>IF($B213="","",--(COUNTIFS(Votaciones!$A$2:$A$336,$B213,Votaciones!$B$2:$B$336,Explorador_Integrantes!$X$2,Votaciones!$D$2:$D$336,"Disenso acomodaticio")&gt;0))</x:f>
      </x:c>
    </x:row>
    <x:row r="214">
      <x:c r="A214" s="112" t="str" cm="1">
        <x:f t="array" ref="A214">IF(ROWS($A$2:A214)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214)-1),"")</x:f>
      </x:c>
      <x:c r="B214" t="str" cm="1">
        <x:f t="array" ref="B214">IF($A214="","",INDEX(Decisiones!$A$2:$A$237,MATCH(INDEX(Explorador_Integrantes!$GO$2:$GO$30,MATCH(Explorador_Integrantes!$X$2,Explorador_Integrantes!$GN$2:$GN$30,0)),Decisiones!$B$2:$B$237,0)+ROWS($A$2:A214)-1))</x:f>
      </x:c>
      <x:c r="C214" t="str" cm="1">
        <x:f t="array" ref="C214">IF($A214="","",INDEX(Decisiones!$H$2:$H$237,MATCH(INDEX(Explorador_Integrantes!$GO$2:$GO$30,MATCH(Explorador_Integrantes!$X$2,Explorador_Integrantes!$GN$2:$GN$30,0)),Decisiones!$B$2:$B$237,0)+ROWS($A$2:A214)-1))</x:f>
      </x:c>
      <x:c r="D214" t="str">
        <x:f>IF($B214="","",--(COUNTIFS(Votaciones!$A$2:$A$336,$B214,Votaciones!$B$2:$B$336,Explorador_Integrantes!$X$2,Votaciones!$D$2:$D$336,"Disenso restrictivo")&gt;0))</x:f>
      </x:c>
      <x:c r="E214" t="str">
        <x:f>IF($B214="","",--(COUNTIFS(Votaciones!$A$2:$A$336,$B214,Votaciones!$B$2:$B$336,Explorador_Integrantes!$X$2,Votaciones!$D$2:$D$336,"Disenso acomodaticio")&gt;0))</x:f>
      </x:c>
    </x:row>
    <x:row r="215">
      <x:c r="A215" s="112" t="str" cm="1">
        <x:f t="array" ref="A215">IF(ROWS($A$2:A215)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215)-1),"")</x:f>
      </x:c>
      <x:c r="B215" t="str" cm="1">
        <x:f t="array" ref="B215">IF($A215="","",INDEX(Decisiones!$A$2:$A$237,MATCH(INDEX(Explorador_Integrantes!$GO$2:$GO$30,MATCH(Explorador_Integrantes!$X$2,Explorador_Integrantes!$GN$2:$GN$30,0)),Decisiones!$B$2:$B$237,0)+ROWS($A$2:A215)-1))</x:f>
      </x:c>
      <x:c r="C215" t="str" cm="1">
        <x:f t="array" ref="C215">IF($A215="","",INDEX(Decisiones!$H$2:$H$237,MATCH(INDEX(Explorador_Integrantes!$GO$2:$GO$30,MATCH(Explorador_Integrantes!$X$2,Explorador_Integrantes!$GN$2:$GN$30,0)),Decisiones!$B$2:$B$237,0)+ROWS($A$2:A215)-1))</x:f>
      </x:c>
      <x:c r="D215" t="str">
        <x:f>IF($B215="","",--(COUNTIFS(Votaciones!$A$2:$A$336,$B215,Votaciones!$B$2:$B$336,Explorador_Integrantes!$X$2,Votaciones!$D$2:$D$336,"Disenso restrictivo")&gt;0))</x:f>
      </x:c>
      <x:c r="E215" t="str">
        <x:f>IF($B215="","",--(COUNTIFS(Votaciones!$A$2:$A$336,$B215,Votaciones!$B$2:$B$336,Explorador_Integrantes!$X$2,Votaciones!$D$2:$D$336,"Disenso acomodaticio")&gt;0))</x:f>
      </x:c>
    </x:row>
    <x:row r="216">
      <x:c r="A216" s="112" t="str" cm="1">
        <x:f t="array" ref="A216">IF(ROWS($A$2:A216)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216)-1),"")</x:f>
      </x:c>
      <x:c r="B216" t="str" cm="1">
        <x:f t="array" ref="B216">IF($A216="","",INDEX(Decisiones!$A$2:$A$237,MATCH(INDEX(Explorador_Integrantes!$GO$2:$GO$30,MATCH(Explorador_Integrantes!$X$2,Explorador_Integrantes!$GN$2:$GN$30,0)),Decisiones!$B$2:$B$237,0)+ROWS($A$2:A216)-1))</x:f>
      </x:c>
      <x:c r="C216" t="str" cm="1">
        <x:f t="array" ref="C216">IF($A216="","",INDEX(Decisiones!$H$2:$H$237,MATCH(INDEX(Explorador_Integrantes!$GO$2:$GO$30,MATCH(Explorador_Integrantes!$X$2,Explorador_Integrantes!$GN$2:$GN$30,0)),Decisiones!$B$2:$B$237,0)+ROWS($A$2:A216)-1))</x:f>
      </x:c>
      <x:c r="D216" t="str">
        <x:f>IF($B216="","",--(COUNTIFS(Votaciones!$A$2:$A$336,$B216,Votaciones!$B$2:$B$336,Explorador_Integrantes!$X$2,Votaciones!$D$2:$D$336,"Disenso restrictivo")&gt;0))</x:f>
      </x:c>
      <x:c r="E216" t="str">
        <x:f>IF($B216="","",--(COUNTIFS(Votaciones!$A$2:$A$336,$B216,Votaciones!$B$2:$B$336,Explorador_Integrantes!$X$2,Votaciones!$D$2:$D$336,"Disenso acomodaticio")&gt;0))</x:f>
      </x:c>
    </x:row>
    <x:row r="217">
      <x:c r="A217" s="112" t="str" cm="1">
        <x:f t="array" ref="A217">IF(ROWS($A$2:A217)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217)-1),"")</x:f>
      </x:c>
      <x:c r="B217" t="str" cm="1">
        <x:f t="array" ref="B217">IF($A217="","",INDEX(Decisiones!$A$2:$A$237,MATCH(INDEX(Explorador_Integrantes!$GO$2:$GO$30,MATCH(Explorador_Integrantes!$X$2,Explorador_Integrantes!$GN$2:$GN$30,0)),Decisiones!$B$2:$B$237,0)+ROWS($A$2:A217)-1))</x:f>
      </x:c>
      <x:c r="C217" t="str" cm="1">
        <x:f t="array" ref="C217">IF($A217="","",INDEX(Decisiones!$H$2:$H$237,MATCH(INDEX(Explorador_Integrantes!$GO$2:$GO$30,MATCH(Explorador_Integrantes!$X$2,Explorador_Integrantes!$GN$2:$GN$30,0)),Decisiones!$B$2:$B$237,0)+ROWS($A$2:A217)-1))</x:f>
      </x:c>
      <x:c r="D217" t="str">
        <x:f>IF($B217="","",--(COUNTIFS(Votaciones!$A$2:$A$336,$B217,Votaciones!$B$2:$B$336,Explorador_Integrantes!$X$2,Votaciones!$D$2:$D$336,"Disenso restrictivo")&gt;0))</x:f>
      </x:c>
      <x:c r="E217" t="str">
        <x:f>IF($B217="","",--(COUNTIFS(Votaciones!$A$2:$A$336,$B217,Votaciones!$B$2:$B$336,Explorador_Integrantes!$X$2,Votaciones!$D$2:$D$336,"Disenso acomodaticio")&gt;0))</x:f>
      </x:c>
    </x:row>
    <x:row r="218">
      <x:c r="A218" s="112" t="str" cm="1">
        <x:f t="array" ref="A218">IF(ROWS($A$2:A218)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218)-1),"")</x:f>
      </x:c>
      <x:c r="B218" t="str" cm="1">
        <x:f t="array" ref="B218">IF($A218="","",INDEX(Decisiones!$A$2:$A$237,MATCH(INDEX(Explorador_Integrantes!$GO$2:$GO$30,MATCH(Explorador_Integrantes!$X$2,Explorador_Integrantes!$GN$2:$GN$30,0)),Decisiones!$B$2:$B$237,0)+ROWS($A$2:A218)-1))</x:f>
      </x:c>
      <x:c r="C218" t="str" cm="1">
        <x:f t="array" ref="C218">IF($A218="","",INDEX(Decisiones!$H$2:$H$237,MATCH(INDEX(Explorador_Integrantes!$GO$2:$GO$30,MATCH(Explorador_Integrantes!$X$2,Explorador_Integrantes!$GN$2:$GN$30,0)),Decisiones!$B$2:$B$237,0)+ROWS($A$2:A218)-1))</x:f>
      </x:c>
      <x:c r="D218" t="str">
        <x:f>IF($B218="","",--(COUNTIFS(Votaciones!$A$2:$A$336,$B218,Votaciones!$B$2:$B$336,Explorador_Integrantes!$X$2,Votaciones!$D$2:$D$336,"Disenso restrictivo")&gt;0))</x:f>
      </x:c>
      <x:c r="E218" t="str">
        <x:f>IF($B218="","",--(COUNTIFS(Votaciones!$A$2:$A$336,$B218,Votaciones!$B$2:$B$336,Explorador_Integrantes!$X$2,Votaciones!$D$2:$D$336,"Disenso acomodaticio")&gt;0))</x:f>
      </x:c>
    </x:row>
    <x:row r="219">
      <x:c r="A219" s="112" t="str" cm="1">
        <x:f t="array" ref="A219">IF(ROWS($A$2:A219)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219)-1),"")</x:f>
      </x:c>
      <x:c r="B219" t="str" cm="1">
        <x:f t="array" ref="B219">IF($A219="","",INDEX(Decisiones!$A$2:$A$237,MATCH(INDEX(Explorador_Integrantes!$GO$2:$GO$30,MATCH(Explorador_Integrantes!$X$2,Explorador_Integrantes!$GN$2:$GN$30,0)),Decisiones!$B$2:$B$237,0)+ROWS($A$2:A219)-1))</x:f>
      </x:c>
      <x:c r="C219" t="str" cm="1">
        <x:f t="array" ref="C219">IF($A219="","",INDEX(Decisiones!$H$2:$H$237,MATCH(INDEX(Explorador_Integrantes!$GO$2:$GO$30,MATCH(Explorador_Integrantes!$X$2,Explorador_Integrantes!$GN$2:$GN$30,0)),Decisiones!$B$2:$B$237,0)+ROWS($A$2:A219)-1))</x:f>
      </x:c>
      <x:c r="D219" t="str">
        <x:f>IF($B219="","",--(COUNTIFS(Votaciones!$A$2:$A$336,$B219,Votaciones!$B$2:$B$336,Explorador_Integrantes!$X$2,Votaciones!$D$2:$D$336,"Disenso restrictivo")&gt;0))</x:f>
      </x:c>
      <x:c r="E219" t="str">
        <x:f>IF($B219="","",--(COUNTIFS(Votaciones!$A$2:$A$336,$B219,Votaciones!$B$2:$B$336,Explorador_Integrantes!$X$2,Votaciones!$D$2:$D$336,"Disenso acomodaticio")&gt;0))</x:f>
      </x:c>
    </x:row>
    <x:row r="220">
      <x:c r="A220" s="112" t="str" cm="1">
        <x:f t="array" ref="A220">IF(ROWS($A$2:A220)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220)-1),"")</x:f>
      </x:c>
      <x:c r="B220" t="str" cm="1">
        <x:f t="array" ref="B220">IF($A220="","",INDEX(Decisiones!$A$2:$A$237,MATCH(INDEX(Explorador_Integrantes!$GO$2:$GO$30,MATCH(Explorador_Integrantes!$X$2,Explorador_Integrantes!$GN$2:$GN$30,0)),Decisiones!$B$2:$B$237,0)+ROWS($A$2:A220)-1))</x:f>
      </x:c>
      <x:c r="C220" t="str" cm="1">
        <x:f t="array" ref="C220">IF($A220="","",INDEX(Decisiones!$H$2:$H$237,MATCH(INDEX(Explorador_Integrantes!$GO$2:$GO$30,MATCH(Explorador_Integrantes!$X$2,Explorador_Integrantes!$GN$2:$GN$30,0)),Decisiones!$B$2:$B$237,0)+ROWS($A$2:A220)-1))</x:f>
      </x:c>
      <x:c r="D220" t="str">
        <x:f>IF($B220="","",--(COUNTIFS(Votaciones!$A$2:$A$336,$B220,Votaciones!$B$2:$B$336,Explorador_Integrantes!$X$2,Votaciones!$D$2:$D$336,"Disenso restrictivo")&gt;0))</x:f>
      </x:c>
      <x:c r="E220" t="str">
        <x:f>IF($B220="","",--(COUNTIFS(Votaciones!$A$2:$A$336,$B220,Votaciones!$B$2:$B$336,Explorador_Integrantes!$X$2,Votaciones!$D$2:$D$336,"Disenso acomodaticio")&gt;0))</x:f>
      </x:c>
    </x:row>
    <x:row r="221">
      <x:c r="A221" s="112" t="str" cm="1">
        <x:f t="array" ref="A221">IF(ROWS($A$2:A221)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221)-1),"")</x:f>
      </x:c>
      <x:c r="B221" t="str" cm="1">
        <x:f t="array" ref="B221">IF($A221="","",INDEX(Decisiones!$A$2:$A$237,MATCH(INDEX(Explorador_Integrantes!$GO$2:$GO$30,MATCH(Explorador_Integrantes!$X$2,Explorador_Integrantes!$GN$2:$GN$30,0)),Decisiones!$B$2:$B$237,0)+ROWS($A$2:A221)-1))</x:f>
      </x:c>
      <x:c r="C221" t="str" cm="1">
        <x:f t="array" ref="C221">IF($A221="","",INDEX(Decisiones!$H$2:$H$237,MATCH(INDEX(Explorador_Integrantes!$GO$2:$GO$30,MATCH(Explorador_Integrantes!$X$2,Explorador_Integrantes!$GN$2:$GN$30,0)),Decisiones!$B$2:$B$237,0)+ROWS($A$2:A221)-1))</x:f>
      </x:c>
      <x:c r="D221" t="str">
        <x:f>IF($B221="","",--(COUNTIFS(Votaciones!$A$2:$A$336,$B221,Votaciones!$B$2:$B$336,Explorador_Integrantes!$X$2,Votaciones!$D$2:$D$336,"Disenso restrictivo")&gt;0))</x:f>
      </x:c>
      <x:c r="E221" t="str">
        <x:f>IF($B221="","",--(COUNTIFS(Votaciones!$A$2:$A$336,$B221,Votaciones!$B$2:$B$336,Explorador_Integrantes!$X$2,Votaciones!$D$2:$D$336,"Disenso acomodaticio")&gt;0))</x:f>
      </x:c>
    </x:row>
    <x:row r="222">
      <x:c r="A222" s="112" t="str" cm="1">
        <x:f t="array" ref="A222">IF(ROWS($A$2:A222)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222)-1),"")</x:f>
      </x:c>
      <x:c r="B222" t="str" cm="1">
        <x:f t="array" ref="B222">IF($A222="","",INDEX(Decisiones!$A$2:$A$237,MATCH(INDEX(Explorador_Integrantes!$GO$2:$GO$30,MATCH(Explorador_Integrantes!$X$2,Explorador_Integrantes!$GN$2:$GN$30,0)),Decisiones!$B$2:$B$237,0)+ROWS($A$2:A222)-1))</x:f>
      </x:c>
      <x:c r="C222" t="str" cm="1">
        <x:f t="array" ref="C222">IF($A222="","",INDEX(Decisiones!$H$2:$H$237,MATCH(INDEX(Explorador_Integrantes!$GO$2:$GO$30,MATCH(Explorador_Integrantes!$X$2,Explorador_Integrantes!$GN$2:$GN$30,0)),Decisiones!$B$2:$B$237,0)+ROWS($A$2:A222)-1))</x:f>
      </x:c>
      <x:c r="D222" t="str">
        <x:f>IF($B222="","",--(COUNTIFS(Votaciones!$A$2:$A$336,$B222,Votaciones!$B$2:$B$336,Explorador_Integrantes!$X$2,Votaciones!$D$2:$D$336,"Disenso restrictivo")&gt;0))</x:f>
      </x:c>
      <x:c r="E222" t="str">
        <x:f>IF($B222="","",--(COUNTIFS(Votaciones!$A$2:$A$336,$B222,Votaciones!$B$2:$B$336,Explorador_Integrantes!$X$2,Votaciones!$D$2:$D$336,"Disenso acomodaticio")&gt;0))</x:f>
      </x:c>
    </x:row>
    <x:row r="223">
      <x:c r="A223" s="112" t="str" cm="1">
        <x:f t="array" ref="A223">IF(ROWS($A$2:A223)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223)-1),"")</x:f>
      </x:c>
      <x:c r="B223" t="str" cm="1">
        <x:f t="array" ref="B223">IF($A223="","",INDEX(Decisiones!$A$2:$A$237,MATCH(INDEX(Explorador_Integrantes!$GO$2:$GO$30,MATCH(Explorador_Integrantes!$X$2,Explorador_Integrantes!$GN$2:$GN$30,0)),Decisiones!$B$2:$B$237,0)+ROWS($A$2:A223)-1))</x:f>
      </x:c>
      <x:c r="C223" t="str" cm="1">
        <x:f t="array" ref="C223">IF($A223="","",INDEX(Decisiones!$H$2:$H$237,MATCH(INDEX(Explorador_Integrantes!$GO$2:$GO$30,MATCH(Explorador_Integrantes!$X$2,Explorador_Integrantes!$GN$2:$GN$30,0)),Decisiones!$B$2:$B$237,0)+ROWS($A$2:A223)-1))</x:f>
      </x:c>
      <x:c r="D223" t="str">
        <x:f>IF($B223="","",--(COUNTIFS(Votaciones!$A$2:$A$336,$B223,Votaciones!$B$2:$B$336,Explorador_Integrantes!$X$2,Votaciones!$D$2:$D$336,"Disenso restrictivo")&gt;0))</x:f>
      </x:c>
      <x:c r="E223" t="str">
        <x:f>IF($B223="","",--(COUNTIFS(Votaciones!$A$2:$A$336,$B223,Votaciones!$B$2:$B$336,Explorador_Integrantes!$X$2,Votaciones!$D$2:$D$336,"Disenso acomodaticio")&gt;0))</x:f>
      </x:c>
    </x:row>
    <x:row r="224">
      <x:c r="A224" s="112" t="str" cm="1">
        <x:f t="array" ref="A224">IF(ROWS($A$2:A224)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224)-1),"")</x:f>
      </x:c>
      <x:c r="B224" t="str" cm="1">
        <x:f t="array" ref="B224">IF($A224="","",INDEX(Decisiones!$A$2:$A$237,MATCH(INDEX(Explorador_Integrantes!$GO$2:$GO$30,MATCH(Explorador_Integrantes!$X$2,Explorador_Integrantes!$GN$2:$GN$30,0)),Decisiones!$B$2:$B$237,0)+ROWS($A$2:A224)-1))</x:f>
      </x:c>
      <x:c r="C224" t="str" cm="1">
        <x:f t="array" ref="C224">IF($A224="","",INDEX(Decisiones!$H$2:$H$237,MATCH(INDEX(Explorador_Integrantes!$GO$2:$GO$30,MATCH(Explorador_Integrantes!$X$2,Explorador_Integrantes!$GN$2:$GN$30,0)),Decisiones!$B$2:$B$237,0)+ROWS($A$2:A224)-1))</x:f>
      </x:c>
      <x:c r="D224" t="str">
        <x:f>IF($B224="","",--(COUNTIFS(Votaciones!$A$2:$A$336,$B224,Votaciones!$B$2:$B$336,Explorador_Integrantes!$X$2,Votaciones!$D$2:$D$336,"Disenso restrictivo")&gt;0))</x:f>
      </x:c>
      <x:c r="E224" t="str">
        <x:f>IF($B224="","",--(COUNTIFS(Votaciones!$A$2:$A$336,$B224,Votaciones!$B$2:$B$336,Explorador_Integrantes!$X$2,Votaciones!$D$2:$D$336,"Disenso acomodaticio")&gt;0))</x:f>
      </x:c>
    </x:row>
    <x:row r="225">
      <x:c r="A225" s="112" t="str" cm="1">
        <x:f t="array" ref="A225">IF(ROWS($A$2:A225)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225)-1),"")</x:f>
      </x:c>
      <x:c r="B225" t="str" cm="1">
        <x:f t="array" ref="B225">IF($A225="","",INDEX(Decisiones!$A$2:$A$237,MATCH(INDEX(Explorador_Integrantes!$GO$2:$GO$30,MATCH(Explorador_Integrantes!$X$2,Explorador_Integrantes!$GN$2:$GN$30,0)),Decisiones!$B$2:$B$237,0)+ROWS($A$2:A225)-1))</x:f>
      </x:c>
      <x:c r="C225" t="str" cm="1">
        <x:f t="array" ref="C225">IF($A225="","",INDEX(Decisiones!$H$2:$H$237,MATCH(INDEX(Explorador_Integrantes!$GO$2:$GO$30,MATCH(Explorador_Integrantes!$X$2,Explorador_Integrantes!$GN$2:$GN$30,0)),Decisiones!$B$2:$B$237,0)+ROWS($A$2:A225)-1))</x:f>
      </x:c>
      <x:c r="D225" t="str">
        <x:f>IF($B225="","",--(COUNTIFS(Votaciones!$A$2:$A$336,$B225,Votaciones!$B$2:$B$336,Explorador_Integrantes!$X$2,Votaciones!$D$2:$D$336,"Disenso restrictivo")&gt;0))</x:f>
      </x:c>
      <x:c r="E225" t="str">
        <x:f>IF($B225="","",--(COUNTIFS(Votaciones!$A$2:$A$336,$B225,Votaciones!$B$2:$B$336,Explorador_Integrantes!$X$2,Votaciones!$D$2:$D$336,"Disenso acomodaticio")&gt;0))</x:f>
      </x:c>
    </x:row>
    <x:row r="226">
      <x:c r="A226" s="112" t="str" cm="1">
        <x:f t="array" ref="A226">IF(ROWS($A$2:A226)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226)-1),"")</x:f>
      </x:c>
      <x:c r="B226" t="str" cm="1">
        <x:f t="array" ref="B226">IF($A226="","",INDEX(Decisiones!$A$2:$A$237,MATCH(INDEX(Explorador_Integrantes!$GO$2:$GO$30,MATCH(Explorador_Integrantes!$X$2,Explorador_Integrantes!$GN$2:$GN$30,0)),Decisiones!$B$2:$B$237,0)+ROWS($A$2:A226)-1))</x:f>
      </x:c>
      <x:c r="C226" t="str" cm="1">
        <x:f t="array" ref="C226">IF($A226="","",INDEX(Decisiones!$H$2:$H$237,MATCH(INDEX(Explorador_Integrantes!$GO$2:$GO$30,MATCH(Explorador_Integrantes!$X$2,Explorador_Integrantes!$GN$2:$GN$30,0)),Decisiones!$B$2:$B$237,0)+ROWS($A$2:A226)-1))</x:f>
      </x:c>
      <x:c r="D226" t="str">
        <x:f>IF($B226="","",--(COUNTIFS(Votaciones!$A$2:$A$336,$B226,Votaciones!$B$2:$B$336,Explorador_Integrantes!$X$2,Votaciones!$D$2:$D$336,"Disenso restrictivo")&gt;0))</x:f>
      </x:c>
      <x:c r="E226" t="str">
        <x:f>IF($B226="","",--(COUNTIFS(Votaciones!$A$2:$A$336,$B226,Votaciones!$B$2:$B$336,Explorador_Integrantes!$X$2,Votaciones!$D$2:$D$336,"Disenso acomodaticio")&gt;0))</x:f>
      </x:c>
    </x:row>
    <x:row r="227">
      <x:c r="A227" s="112" t="str" cm="1">
        <x:f t="array" ref="A227">IF(ROWS($A$2:A227)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227)-1),"")</x:f>
      </x:c>
      <x:c r="B227" t="str" cm="1">
        <x:f t="array" ref="B227">IF($A227="","",INDEX(Decisiones!$A$2:$A$237,MATCH(INDEX(Explorador_Integrantes!$GO$2:$GO$30,MATCH(Explorador_Integrantes!$X$2,Explorador_Integrantes!$GN$2:$GN$30,0)),Decisiones!$B$2:$B$237,0)+ROWS($A$2:A227)-1))</x:f>
      </x:c>
      <x:c r="C227" t="str" cm="1">
        <x:f t="array" ref="C227">IF($A227="","",INDEX(Decisiones!$H$2:$H$237,MATCH(INDEX(Explorador_Integrantes!$GO$2:$GO$30,MATCH(Explorador_Integrantes!$X$2,Explorador_Integrantes!$GN$2:$GN$30,0)),Decisiones!$B$2:$B$237,0)+ROWS($A$2:A227)-1))</x:f>
      </x:c>
      <x:c r="D227" t="str">
        <x:f>IF($B227="","",--(COUNTIFS(Votaciones!$A$2:$A$336,$B227,Votaciones!$B$2:$B$336,Explorador_Integrantes!$X$2,Votaciones!$D$2:$D$336,"Disenso restrictivo")&gt;0))</x:f>
      </x:c>
      <x:c r="E227" t="str">
        <x:f>IF($B227="","",--(COUNTIFS(Votaciones!$A$2:$A$336,$B227,Votaciones!$B$2:$B$336,Explorador_Integrantes!$X$2,Votaciones!$D$2:$D$336,"Disenso acomodaticio")&gt;0))</x:f>
      </x:c>
    </x:row>
    <x:row r="228">
      <x:c r="A228" s="112" t="str" cm="1">
        <x:f t="array" ref="A228">IF(ROWS($A$2:A228)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228)-1),"")</x:f>
      </x:c>
      <x:c r="B228" t="str" cm="1">
        <x:f t="array" ref="B228">IF($A228="","",INDEX(Decisiones!$A$2:$A$237,MATCH(INDEX(Explorador_Integrantes!$GO$2:$GO$30,MATCH(Explorador_Integrantes!$X$2,Explorador_Integrantes!$GN$2:$GN$30,0)),Decisiones!$B$2:$B$237,0)+ROWS($A$2:A228)-1))</x:f>
      </x:c>
      <x:c r="C228" t="str" cm="1">
        <x:f t="array" ref="C228">IF($A228="","",INDEX(Decisiones!$H$2:$H$237,MATCH(INDEX(Explorador_Integrantes!$GO$2:$GO$30,MATCH(Explorador_Integrantes!$X$2,Explorador_Integrantes!$GN$2:$GN$30,0)),Decisiones!$B$2:$B$237,0)+ROWS($A$2:A228)-1))</x:f>
      </x:c>
      <x:c r="D228" t="str">
        <x:f>IF($B228="","",--(COUNTIFS(Votaciones!$A$2:$A$336,$B228,Votaciones!$B$2:$B$336,Explorador_Integrantes!$X$2,Votaciones!$D$2:$D$336,"Disenso restrictivo")&gt;0))</x:f>
      </x:c>
      <x:c r="E228" t="str">
        <x:f>IF($B228="","",--(COUNTIFS(Votaciones!$A$2:$A$336,$B228,Votaciones!$B$2:$B$336,Explorador_Integrantes!$X$2,Votaciones!$D$2:$D$336,"Disenso acomodaticio")&gt;0))</x:f>
      </x:c>
    </x:row>
    <x:row r="229">
      <x:c r="A229" s="112" t="str" cm="1">
        <x:f t="array" ref="A229">IF(ROWS($A$2:A229)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229)-1),"")</x:f>
      </x:c>
      <x:c r="B229" t="str" cm="1">
        <x:f t="array" ref="B229">IF($A229="","",INDEX(Decisiones!$A$2:$A$237,MATCH(INDEX(Explorador_Integrantes!$GO$2:$GO$30,MATCH(Explorador_Integrantes!$X$2,Explorador_Integrantes!$GN$2:$GN$30,0)),Decisiones!$B$2:$B$237,0)+ROWS($A$2:A229)-1))</x:f>
      </x:c>
      <x:c r="C229" t="str" cm="1">
        <x:f t="array" ref="C229">IF($A229="","",INDEX(Decisiones!$H$2:$H$237,MATCH(INDEX(Explorador_Integrantes!$GO$2:$GO$30,MATCH(Explorador_Integrantes!$X$2,Explorador_Integrantes!$GN$2:$GN$30,0)),Decisiones!$B$2:$B$237,0)+ROWS($A$2:A229)-1))</x:f>
      </x:c>
      <x:c r="D229" t="str">
        <x:f>IF($B229="","",--(COUNTIFS(Votaciones!$A$2:$A$336,$B229,Votaciones!$B$2:$B$336,Explorador_Integrantes!$X$2,Votaciones!$D$2:$D$336,"Disenso restrictivo")&gt;0))</x:f>
      </x:c>
      <x:c r="E229" t="str">
        <x:f>IF($B229="","",--(COUNTIFS(Votaciones!$A$2:$A$336,$B229,Votaciones!$B$2:$B$336,Explorador_Integrantes!$X$2,Votaciones!$D$2:$D$336,"Disenso acomodaticio")&gt;0))</x:f>
      </x:c>
    </x:row>
    <x:row r="230">
      <x:c r="A230" s="112" t="str" cm="1">
        <x:f t="array" ref="A230">IF(ROWS($A$2:A230)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230)-1),"")</x:f>
      </x:c>
      <x:c r="B230" t="str" cm="1">
        <x:f t="array" ref="B230">IF($A230="","",INDEX(Decisiones!$A$2:$A$237,MATCH(INDEX(Explorador_Integrantes!$GO$2:$GO$30,MATCH(Explorador_Integrantes!$X$2,Explorador_Integrantes!$GN$2:$GN$30,0)),Decisiones!$B$2:$B$237,0)+ROWS($A$2:A230)-1))</x:f>
      </x:c>
      <x:c r="C230" t="str" cm="1">
        <x:f t="array" ref="C230">IF($A230="","",INDEX(Decisiones!$H$2:$H$237,MATCH(INDEX(Explorador_Integrantes!$GO$2:$GO$30,MATCH(Explorador_Integrantes!$X$2,Explorador_Integrantes!$GN$2:$GN$30,0)),Decisiones!$B$2:$B$237,0)+ROWS($A$2:A230)-1))</x:f>
      </x:c>
      <x:c r="D230" t="str">
        <x:f>IF($B230="","",--(COUNTIFS(Votaciones!$A$2:$A$336,$B230,Votaciones!$B$2:$B$336,Explorador_Integrantes!$X$2,Votaciones!$D$2:$D$336,"Disenso restrictivo")&gt;0))</x:f>
      </x:c>
      <x:c r="E230" t="str">
        <x:f>IF($B230="","",--(COUNTIFS(Votaciones!$A$2:$A$336,$B230,Votaciones!$B$2:$B$336,Explorador_Integrantes!$X$2,Votaciones!$D$2:$D$336,"Disenso acomodaticio")&gt;0))</x:f>
      </x:c>
    </x:row>
    <x:row r="231">
      <x:c r="A231" s="112" t="str" cm="1">
        <x:f t="array" ref="A231">IF(ROWS($A$2:A231)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231)-1),"")</x:f>
      </x:c>
      <x:c r="B231" t="str" cm="1">
        <x:f t="array" ref="B231">IF($A231="","",INDEX(Decisiones!$A$2:$A$237,MATCH(INDEX(Explorador_Integrantes!$GO$2:$GO$30,MATCH(Explorador_Integrantes!$X$2,Explorador_Integrantes!$GN$2:$GN$30,0)),Decisiones!$B$2:$B$237,0)+ROWS($A$2:A231)-1))</x:f>
      </x:c>
      <x:c r="C231" t="str" cm="1">
        <x:f t="array" ref="C231">IF($A231="","",INDEX(Decisiones!$H$2:$H$237,MATCH(INDEX(Explorador_Integrantes!$GO$2:$GO$30,MATCH(Explorador_Integrantes!$X$2,Explorador_Integrantes!$GN$2:$GN$30,0)),Decisiones!$B$2:$B$237,0)+ROWS($A$2:A231)-1))</x:f>
      </x:c>
      <x:c r="D231" t="str">
        <x:f>IF($B231="","",--(COUNTIFS(Votaciones!$A$2:$A$336,$B231,Votaciones!$B$2:$B$336,Explorador_Integrantes!$X$2,Votaciones!$D$2:$D$336,"Disenso restrictivo")&gt;0))</x:f>
      </x:c>
      <x:c r="E231" t="str">
        <x:f>IF($B231="","",--(COUNTIFS(Votaciones!$A$2:$A$336,$B231,Votaciones!$B$2:$B$336,Explorador_Integrantes!$X$2,Votaciones!$D$2:$D$336,"Disenso acomodaticio")&gt;0))</x:f>
      </x:c>
    </x:row>
    <x:row r="232">
      <x:c r="A232" s="112" t="str" cm="1">
        <x:f t="array" ref="A232">IF(ROWS($A$2:A232)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232)-1),"")</x:f>
      </x:c>
      <x:c r="B232" t="str" cm="1">
        <x:f t="array" ref="B232">IF($A232="","",INDEX(Decisiones!$A$2:$A$237,MATCH(INDEX(Explorador_Integrantes!$GO$2:$GO$30,MATCH(Explorador_Integrantes!$X$2,Explorador_Integrantes!$GN$2:$GN$30,0)),Decisiones!$B$2:$B$237,0)+ROWS($A$2:A232)-1))</x:f>
      </x:c>
      <x:c r="C232" t="str" cm="1">
        <x:f t="array" ref="C232">IF($A232="","",INDEX(Decisiones!$H$2:$H$237,MATCH(INDEX(Explorador_Integrantes!$GO$2:$GO$30,MATCH(Explorador_Integrantes!$X$2,Explorador_Integrantes!$GN$2:$GN$30,0)),Decisiones!$B$2:$B$237,0)+ROWS($A$2:A232)-1))</x:f>
      </x:c>
      <x:c r="D232" t="str">
        <x:f>IF($B232="","",--(COUNTIFS(Votaciones!$A$2:$A$336,$B232,Votaciones!$B$2:$B$336,Explorador_Integrantes!$X$2,Votaciones!$D$2:$D$336,"Disenso restrictivo")&gt;0))</x:f>
      </x:c>
      <x:c r="E232" t="str">
        <x:f>IF($B232="","",--(COUNTIFS(Votaciones!$A$2:$A$336,$B232,Votaciones!$B$2:$B$336,Explorador_Integrantes!$X$2,Votaciones!$D$2:$D$336,"Disenso acomodaticio")&gt;0))</x:f>
      </x:c>
    </x:row>
    <x:row r="233">
      <x:c r="A233" s="112" t="str" cm="1">
        <x:f t="array" ref="A233">IF(ROWS($A$2:A233)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233)-1),"")</x:f>
      </x:c>
      <x:c r="B233" t="str" cm="1">
        <x:f t="array" ref="B233">IF($A233="","",INDEX(Decisiones!$A$2:$A$237,MATCH(INDEX(Explorador_Integrantes!$GO$2:$GO$30,MATCH(Explorador_Integrantes!$X$2,Explorador_Integrantes!$GN$2:$GN$30,0)),Decisiones!$B$2:$B$237,0)+ROWS($A$2:A233)-1))</x:f>
      </x:c>
      <x:c r="C233" t="str" cm="1">
        <x:f t="array" ref="C233">IF($A233="","",INDEX(Decisiones!$H$2:$H$237,MATCH(INDEX(Explorador_Integrantes!$GO$2:$GO$30,MATCH(Explorador_Integrantes!$X$2,Explorador_Integrantes!$GN$2:$GN$30,0)),Decisiones!$B$2:$B$237,0)+ROWS($A$2:A233)-1))</x:f>
      </x:c>
      <x:c r="D233" t="str">
        <x:f>IF($B233="","",--(COUNTIFS(Votaciones!$A$2:$A$336,$B233,Votaciones!$B$2:$B$336,Explorador_Integrantes!$X$2,Votaciones!$D$2:$D$336,"Disenso restrictivo")&gt;0))</x:f>
      </x:c>
      <x:c r="E233" t="str">
        <x:f>IF($B233="","",--(COUNTIFS(Votaciones!$A$2:$A$336,$B233,Votaciones!$B$2:$B$336,Explorador_Integrantes!$X$2,Votaciones!$D$2:$D$336,"Disenso acomodaticio")&gt;0))</x:f>
      </x:c>
    </x:row>
    <x:row r="234">
      <x:c r="A234" s="112" t="str" cm="1">
        <x:f t="array" ref="A234">IF(ROWS($A$2:A234)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234)-1),"")</x:f>
      </x:c>
      <x:c r="B234" t="str" cm="1">
        <x:f t="array" ref="B234">IF($A234="","",INDEX(Decisiones!$A$2:$A$237,MATCH(INDEX(Explorador_Integrantes!$GO$2:$GO$30,MATCH(Explorador_Integrantes!$X$2,Explorador_Integrantes!$GN$2:$GN$30,0)),Decisiones!$B$2:$B$237,0)+ROWS($A$2:A234)-1))</x:f>
      </x:c>
      <x:c r="C234" t="str" cm="1">
        <x:f t="array" ref="C234">IF($A234="","",INDEX(Decisiones!$H$2:$H$237,MATCH(INDEX(Explorador_Integrantes!$GO$2:$GO$30,MATCH(Explorador_Integrantes!$X$2,Explorador_Integrantes!$GN$2:$GN$30,0)),Decisiones!$B$2:$B$237,0)+ROWS($A$2:A234)-1))</x:f>
      </x:c>
      <x:c r="D234" t="str">
        <x:f>IF($B234="","",--(COUNTIFS(Votaciones!$A$2:$A$336,$B234,Votaciones!$B$2:$B$336,Explorador_Integrantes!$X$2,Votaciones!$D$2:$D$336,"Disenso restrictivo")&gt;0))</x:f>
      </x:c>
      <x:c r="E234" t="str">
        <x:f>IF($B234="","",--(COUNTIFS(Votaciones!$A$2:$A$336,$B234,Votaciones!$B$2:$B$336,Explorador_Integrantes!$X$2,Votaciones!$D$2:$D$336,"Disenso acomodaticio")&gt;0))</x:f>
      </x:c>
    </x:row>
    <x:row r="235">
      <x:c r="A235" s="112" t="str" cm="1">
        <x:f t="array" ref="A235">IF(ROWS($A$2:A235)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235)-1),"")</x:f>
      </x:c>
      <x:c r="B235" t="str" cm="1">
        <x:f t="array" ref="B235">IF($A235="","",INDEX(Decisiones!$A$2:$A$237,MATCH(INDEX(Explorador_Integrantes!$GO$2:$GO$30,MATCH(Explorador_Integrantes!$X$2,Explorador_Integrantes!$GN$2:$GN$30,0)),Decisiones!$B$2:$B$237,0)+ROWS($A$2:A235)-1))</x:f>
      </x:c>
      <x:c r="C235" t="str" cm="1">
        <x:f t="array" ref="C235">IF($A235="","",INDEX(Decisiones!$H$2:$H$237,MATCH(INDEX(Explorador_Integrantes!$GO$2:$GO$30,MATCH(Explorador_Integrantes!$X$2,Explorador_Integrantes!$GN$2:$GN$30,0)),Decisiones!$B$2:$B$237,0)+ROWS($A$2:A235)-1))</x:f>
      </x:c>
      <x:c r="D235" t="str">
        <x:f>IF($B235="","",--(COUNTIFS(Votaciones!$A$2:$A$336,$B235,Votaciones!$B$2:$B$336,Explorador_Integrantes!$X$2,Votaciones!$D$2:$D$336,"Disenso restrictivo")&gt;0))</x:f>
      </x:c>
      <x:c r="E235" t="str">
        <x:f>IF($B235="","",--(COUNTIFS(Votaciones!$A$2:$A$336,$B235,Votaciones!$B$2:$B$336,Explorador_Integrantes!$X$2,Votaciones!$D$2:$D$336,"Disenso acomodaticio")&gt;0))</x:f>
      </x:c>
    </x:row>
    <x:row r="236">
      <x:c r="A236" s="112" t="str" cm="1">
        <x:f t="array" ref="A236">IF(ROWS($A$2:A236)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236)-1),"")</x:f>
      </x:c>
      <x:c r="B236" t="str" cm="1">
        <x:f t="array" ref="B236">IF($A236="","",INDEX(Decisiones!$A$2:$A$237,MATCH(INDEX(Explorador_Integrantes!$GO$2:$GO$30,MATCH(Explorador_Integrantes!$X$2,Explorador_Integrantes!$GN$2:$GN$30,0)),Decisiones!$B$2:$B$237,0)+ROWS($A$2:A236)-1))</x:f>
      </x:c>
      <x:c r="C236" t="str" cm="1">
        <x:f t="array" ref="C236">IF($A236="","",INDEX(Decisiones!$H$2:$H$237,MATCH(INDEX(Explorador_Integrantes!$GO$2:$GO$30,MATCH(Explorador_Integrantes!$X$2,Explorador_Integrantes!$GN$2:$GN$30,0)),Decisiones!$B$2:$B$237,0)+ROWS($A$2:A236)-1))</x:f>
      </x:c>
      <x:c r="D236" t="str">
        <x:f>IF($B236="","",--(COUNTIFS(Votaciones!$A$2:$A$336,$B236,Votaciones!$B$2:$B$336,Explorador_Integrantes!$X$2,Votaciones!$D$2:$D$336,"Disenso restrictivo")&gt;0))</x:f>
      </x:c>
      <x:c r="E236" t="str">
        <x:f>IF($B236="","",--(COUNTIFS(Votaciones!$A$2:$A$336,$B236,Votaciones!$B$2:$B$336,Explorador_Integrantes!$X$2,Votaciones!$D$2:$D$336,"Disenso acomodaticio")&gt;0))</x:f>
      </x:c>
    </x:row>
    <x:row r="237">
      <x:c r="A237" s="112" t="str" cm="1">
        <x:f t="array" ref="A237">IF(ROWS($A$2:A237)&lt;=MATCH(INDEX(Explorador_Integrantes!$GP$2:$GP$30,MATCH(Explorador_Integrantes!$X$2,Explorador_Integrantes!$GN$2:$GN$30,0)),Decisiones!$B$2:$B$237,0)-MATCH(INDEX(Explorador_Integrantes!$GO$2:$GO$30,MATCH(Explorador_Integrantes!$X$2,Explorador_Integrantes!$GN$2:$GN$30,0)),Decisiones!$B$2:$B$237,0)+1,INDEX(Decisiones!$B$2:$B$237,MATCH(INDEX(Explorador_Integrantes!$GO$2:$GO$30,MATCH(Explorador_Integrantes!$X$2,Explorador_Integrantes!$GN$2:$GN$30,0)),Decisiones!$B$2:$B$237,0)+ROWS($A$2:A237)-1),"")</x:f>
      </x:c>
      <x:c r="B237" t="str" cm="1">
        <x:f t="array" ref="B237">IF($A237="","",INDEX(Decisiones!$A$2:$A$237,MATCH(INDEX(Explorador_Integrantes!$GO$2:$GO$30,MATCH(Explorador_Integrantes!$X$2,Explorador_Integrantes!$GN$2:$GN$30,0)),Decisiones!$B$2:$B$237,0)+ROWS($A$2:A237)-1))</x:f>
      </x:c>
      <x:c r="C237" t="str" cm="1">
        <x:f t="array" ref="C237">IF($A237="","",INDEX(Decisiones!$H$2:$H$237,MATCH(INDEX(Explorador_Integrantes!$GO$2:$GO$30,MATCH(Explorador_Integrantes!$X$2,Explorador_Integrantes!$GN$2:$GN$30,0)),Decisiones!$B$2:$B$237,0)+ROWS($A$2:A237)-1))</x:f>
      </x:c>
      <x:c r="D237" t="str">
        <x:f>IF($B237="","",--(COUNTIFS(Votaciones!$A$2:$A$336,$B237,Votaciones!$B$2:$B$336,Explorador_Integrantes!$X$2,Votaciones!$D$2:$D$336,"Disenso restrictivo")&gt;0))</x:f>
      </x:c>
      <x:c r="E237" t="str">
        <x:f>IF($B237="","",--(COUNTIFS(Votaciones!$A$2:$A$336,$B237,Votaciones!$B$2:$B$336,Explorador_Integrantes!$X$2,Votaciones!$D$2:$D$336,"Disenso acomodaticio")&gt;0))</x:f>
      </x:c>
    </x:row>
    <x:row r="238">
      <x:c r="A238" s="164" t="n">
        <x:v>46240</x:v>
      </x:c>
      <x:c r="B238" t="str">
        <x:v>D20260806</x:v>
      </x:c>
      <x:c r="C238" t="n">
        <x:v>6.5</x:v>
      </x:c>
      <x:c r="D238" t="n">
        <x:v>0</x:v>
      </x:c>
      <x:c r="E238" t="n">
        <x:v>0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6" customWidth="1"/>
    <x:col min="2" max="2" width="18" customWidth="1"/>
    <x:col min="3" max="4" width="17" customWidth="1"/>
    <x:col min="5" max="6" width="18" customWidth="1"/>
  </x:cols>
  <x:sheetData>
    <x:row r="1" ht="25.950000762939453" customHeight="1">
      <x:c r="A1" s="99" t="s">
        <x:v>871</x:v>
      </x:c>
      <x:c r="B1" s="99" t="s">
        <x:v>0</x:v>
      </x:c>
      <x:c r="C1" s="99" t="s">
        <x:v>1139</x:v>
      </x:c>
      <x:c r="D1" s="99" t="s">
        <x:v>1142</x:v>
      </x:c>
      <x:c r="E1" s="99" t="s">
        <x:v>1140</x:v>
      </x:c>
      <x:c r="F1" s="99" t="s">
        <x:v>1141</x:v>
      </x:c>
    </x:row>
    <x:row r="2">
      <x:c r="A2" s="100" t="n">
        <x:f>Decisiones!B2</x:f>
        <x:v>36543</x:v>
      </x:c>
      <x:c r="B2" s="103" t="str">
        <x:f>Decisiones!A2</x:f>
        <x:v>D20000118</x:v>
      </x:c>
      <x:c r="C2" s="106" t="n">
        <x:f>Decisiones!H2</x:f>
        <x:v>0</x:v>
      </x:c>
      <x:c r="D2" s="107" t="n">
        <x:f>Decisiones!G2</x:f>
        <x:v>0</x:v>
      </x:c>
      <x:c r="E2" s="107" t="n">
        <x:f>COUNTIFS(Votaciones!$A$2:$A$336,B2,Votaciones!$D$2:$D$336,"Disenso restrictivo")</x:f>
        <x:v>0</x:v>
      </x:c>
      <x:c r="F2" s="107" t="n">
        <x:f>COUNTIFS(Votaciones!$A$2:$A$336,B2,Votaciones!$D$2:$D$336,"Disenso acomodaticio")</x:f>
        <x:v>0</x:v>
      </x:c>
    </x:row>
    <x:row r="3">
      <x:c r="A3" s="101" t="n">
        <x:f>Decisiones!B3</x:f>
        <x:v>36662</x:v>
      </x:c>
      <x:c r="B3" s="104" t="str">
        <x:f>Decisiones!A3</x:f>
        <x:v>D20000516</x:v>
      </x:c>
      <x:c r="C3" s="108" t="n">
        <x:f>Decisiones!H3</x:f>
        <x:v>0</x:v>
      </x:c>
      <x:c r="D3" s="109" t="n">
        <x:f>Decisiones!G3</x:f>
        <x:v>0</x:v>
      </x:c>
      <x:c r="E3" s="109" t="n">
        <x:f>COUNTIFS(Votaciones!$A$2:$A$336,B3,Votaciones!$D$2:$D$336,"Disenso restrictivo")</x:f>
        <x:v>0</x:v>
      </x:c>
      <x:c r="F3" s="109" t="n">
        <x:f>COUNTIFS(Votaciones!$A$2:$A$336,B3,Votaciones!$D$2:$D$336,"Disenso acomodaticio")</x:f>
        <x:v>0</x:v>
      </x:c>
    </x:row>
    <x:row r="4">
      <x:c r="A4" s="101" t="n">
        <x:f>Decisiones!B4</x:f>
        <x:v>36703</x:v>
      </x:c>
      <x:c r="B4" s="104" t="str">
        <x:f>Decisiones!A4</x:f>
        <x:v>D20000626</x:v>
      </x:c>
      <x:c r="C4" s="108" t="n">
        <x:f>Decisiones!H4</x:f>
        <x:v>0</x:v>
      </x:c>
      <x:c r="D4" s="109" t="n">
        <x:f>Decisiones!G4</x:f>
        <x:v>0</x:v>
      </x:c>
      <x:c r="E4" s="109" t="n">
        <x:f>COUNTIFS(Votaciones!$A$2:$A$336,B4,Votaciones!$D$2:$D$336,"Disenso restrictivo")</x:f>
        <x:v>0</x:v>
      </x:c>
      <x:c r="F4" s="109" t="n">
        <x:f>COUNTIFS(Votaciones!$A$2:$A$336,B4,Votaciones!$D$2:$D$336,"Disenso acomodaticio")</x:f>
        <x:v>0</x:v>
      </x:c>
    </x:row>
    <x:row r="5">
      <x:c r="A5" s="101" t="n">
        <x:f>Decisiones!B5</x:f>
        <x:v>36738</x:v>
      </x:c>
      <x:c r="B5" s="104" t="str">
        <x:f>Decisiones!A5</x:f>
        <x:v>D20000731</x:v>
      </x:c>
      <x:c r="C5" s="108" t="n">
        <x:f>Decisiones!H5</x:f>
        <x:v>0</x:v>
      </x:c>
      <x:c r="D5" s="109" t="n">
        <x:f>Decisiones!G5</x:f>
        <x:v>0</x:v>
      </x:c>
      <x:c r="E5" s="109" t="n">
        <x:f>COUNTIFS(Votaciones!$A$2:$A$336,B5,Votaciones!$D$2:$D$336,"Disenso restrictivo")</x:f>
        <x:v>0</x:v>
      </x:c>
      <x:c r="F5" s="109" t="n">
        <x:f>COUNTIFS(Votaciones!$A$2:$A$336,B5,Votaciones!$D$2:$D$336,"Disenso acomodaticio")</x:f>
        <x:v>0</x:v>
      </x:c>
    </x:row>
    <x:row r="6">
      <x:c r="A6" s="101" t="n">
        <x:f>Decisiones!B6</x:f>
        <x:v>36816</x:v>
      </x:c>
      <x:c r="B6" s="104" t="str">
        <x:f>Decisiones!A6</x:f>
        <x:v>D20001017</x:v>
      </x:c>
      <x:c r="C6" s="108" t="n">
        <x:f>Decisiones!H6</x:f>
        <x:v>0</x:v>
      </x:c>
      <x:c r="D6" s="109" t="n">
        <x:f>Decisiones!G6</x:f>
        <x:v>0</x:v>
      </x:c>
      <x:c r="E6" s="109" t="n">
        <x:f>COUNTIFS(Votaciones!$A$2:$A$336,B6,Votaciones!$D$2:$D$336,"Disenso restrictivo")</x:f>
        <x:v>0</x:v>
      </x:c>
      <x:c r="F6" s="109" t="n">
        <x:f>COUNTIFS(Votaciones!$A$2:$A$336,B6,Votaciones!$D$2:$D$336,"Disenso acomodaticio")</x:f>
        <x:v>0</x:v>
      </x:c>
    </x:row>
    <x:row r="7">
      <x:c r="A7" s="101" t="n">
        <x:f>Decisiones!B7</x:f>
        <x:v>36840</x:v>
      </x:c>
      <x:c r="B7" s="104" t="str">
        <x:f>Decisiones!A7</x:f>
        <x:v>D20001110</x:v>
      </x:c>
      <x:c r="C7" s="108" t="n">
        <x:f>Decisiones!H7</x:f>
        <x:v>0</x:v>
      </x:c>
      <x:c r="D7" s="109" t="n">
        <x:f>Decisiones!G7</x:f>
        <x:v>0</x:v>
      </x:c>
      <x:c r="E7" s="109" t="n">
        <x:f>COUNTIFS(Votaciones!$A$2:$A$336,B7,Votaciones!$D$2:$D$336,"Disenso restrictivo")</x:f>
        <x:v>0</x:v>
      </x:c>
      <x:c r="F7" s="109" t="n">
        <x:f>COUNTIFS(Votaciones!$A$2:$A$336,B7,Votaciones!$D$2:$D$336,"Disenso acomodaticio")</x:f>
        <x:v>0</x:v>
      </x:c>
    </x:row>
    <x:row r="8">
      <x:c r="A8" s="101" t="n">
        <x:f>Decisiones!B8</x:f>
        <x:v>36903</x:v>
      </x:c>
      <x:c r="B8" s="104" t="str">
        <x:f>Decisiones!A8</x:f>
        <x:v>D20010112</x:v>
      </x:c>
      <x:c r="C8" s="108" t="n">
        <x:f>Decisiones!H8</x:f>
        <x:v>0</x:v>
      </x:c>
      <x:c r="D8" s="109" t="n">
        <x:f>Decisiones!G8</x:f>
        <x:v>0</x:v>
      </x:c>
      <x:c r="E8" s="109" t="n">
        <x:f>COUNTIFS(Votaciones!$A$2:$A$336,B8,Votaciones!$D$2:$D$336,"Disenso restrictivo")</x:f>
        <x:v>0</x:v>
      </x:c>
      <x:c r="F8" s="109" t="n">
        <x:f>COUNTIFS(Votaciones!$A$2:$A$336,B8,Votaciones!$D$2:$D$336,"Disenso acomodaticio")</x:f>
        <x:v>0</x:v>
      </x:c>
    </x:row>
    <x:row r="9">
      <x:c r="A9" s="101" t="n">
        <x:f>Decisiones!B9</x:f>
        <x:v>37029</x:v>
      </x:c>
      <x:c r="B9" s="104" t="str">
        <x:f>Decisiones!A9</x:f>
        <x:v>D20010518</x:v>
      </x:c>
      <x:c r="C9" s="108" t="n">
        <x:f>Decisiones!H9</x:f>
        <x:v>0</x:v>
      </x:c>
      <x:c r="D9" s="109" t="n">
        <x:f>Decisiones!G9</x:f>
        <x:v>0</x:v>
      </x:c>
      <x:c r="E9" s="109" t="n">
        <x:f>COUNTIFS(Votaciones!$A$2:$A$336,B9,Votaciones!$D$2:$D$336,"Disenso restrictivo")</x:f>
        <x:v>0</x:v>
      </x:c>
      <x:c r="F9" s="109" t="n">
        <x:f>COUNTIFS(Votaciones!$A$2:$A$336,B9,Votaciones!$D$2:$D$336,"Disenso acomodaticio")</x:f>
        <x:v>0</x:v>
      </x:c>
    </x:row>
    <x:row r="10">
      <x:c r="A10" s="101" t="n">
        <x:f>Decisiones!B10</x:f>
        <x:v>37103</x:v>
      </x:c>
      <x:c r="B10" s="104" t="str">
        <x:f>Decisiones!A10</x:f>
        <x:v>D20010731</x:v>
      </x:c>
      <x:c r="C10" s="108" t="n">
        <x:f>Decisiones!H10</x:f>
        <x:v>0</x:v>
      </x:c>
      <x:c r="D10" s="109" t="n">
        <x:f>Decisiones!G10</x:f>
        <x:v>0</x:v>
      </x:c>
      <x:c r="E10" s="109" t="n">
        <x:f>COUNTIFS(Votaciones!$A$2:$A$336,B10,Votaciones!$D$2:$D$336,"Disenso restrictivo")</x:f>
        <x:v>0</x:v>
      </x:c>
      <x:c r="F10" s="109" t="n">
        <x:f>COUNTIFS(Votaciones!$A$2:$A$336,B10,Votaciones!$D$2:$D$336,"Disenso acomodaticio")</x:f>
        <x:v>0</x:v>
      </x:c>
    </x:row>
    <x:row r="11">
      <x:c r="A11" s="101" t="n">
        <x:f>Decisiones!B11</x:f>
        <x:v>37295</x:v>
      </x:c>
      <x:c r="B11" s="104" t="str">
        <x:f>Decisiones!A11</x:f>
        <x:v>D20020208</x:v>
      </x:c>
      <x:c r="C11" s="108" t="n">
        <x:f>Decisiones!H11</x:f>
        <x:v>0</x:v>
      </x:c>
      <x:c r="D11" s="109" t="n">
        <x:f>Decisiones!G11</x:f>
        <x:v>0</x:v>
      </x:c>
      <x:c r="E11" s="109" t="n">
        <x:f>COUNTIFS(Votaciones!$A$2:$A$336,B11,Votaciones!$D$2:$D$336,"Disenso restrictivo")</x:f>
        <x:v>0</x:v>
      </x:c>
      <x:c r="F11" s="109" t="n">
        <x:f>COUNTIFS(Votaciones!$A$2:$A$336,B11,Votaciones!$D$2:$D$336,"Disenso acomodaticio")</x:f>
        <x:v>0</x:v>
      </x:c>
    </x:row>
    <x:row r="12">
      <x:c r="A12" s="101" t="n">
        <x:f>Decisiones!B12</x:f>
        <x:v>37358</x:v>
      </x:c>
      <x:c r="B12" s="104" t="str">
        <x:f>Decisiones!A12</x:f>
        <x:v>D20020412</x:v>
      </x:c>
      <x:c r="C12" s="108" t="n">
        <x:f>Decisiones!H12</x:f>
        <x:v>0</x:v>
      </x:c>
      <x:c r="D12" s="109" t="n">
        <x:f>Decisiones!G12</x:f>
        <x:v>0</x:v>
      </x:c>
      <x:c r="E12" s="109" t="n">
        <x:f>COUNTIFS(Votaciones!$A$2:$A$336,B12,Votaciones!$D$2:$D$336,"Disenso restrictivo")</x:f>
        <x:v>0</x:v>
      </x:c>
      <x:c r="F12" s="109" t="n">
        <x:f>COUNTIFS(Votaciones!$A$2:$A$336,B12,Votaciones!$D$2:$D$336,"Disenso acomodaticio")</x:f>
        <x:v>0</x:v>
      </x:c>
    </x:row>
    <x:row r="13">
      <x:c r="A13" s="101" t="n">
        <x:f>Decisiones!B13</x:f>
        <x:v>37522</x:v>
      </x:c>
      <x:c r="B13" s="104" t="str">
        <x:f>Decisiones!A13</x:f>
        <x:v>D20020923</x:v>
      </x:c>
      <x:c r="C13" s="108" t="n">
        <x:f>Decisiones!H13</x:f>
        <x:v>0</x:v>
      </x:c>
      <x:c r="D13" s="109" t="n">
        <x:f>Decisiones!G13</x:f>
        <x:v>0</x:v>
      </x:c>
      <x:c r="E13" s="109" t="n">
        <x:f>COUNTIFS(Votaciones!$A$2:$A$336,B13,Votaciones!$D$2:$D$336,"Disenso restrictivo")</x:f>
        <x:v>0</x:v>
      </x:c>
      <x:c r="F13" s="109" t="n">
        <x:f>COUNTIFS(Votaciones!$A$2:$A$336,B13,Votaciones!$D$2:$D$336,"Disenso acomodaticio")</x:f>
        <x:v>0</x:v>
      </x:c>
    </x:row>
    <x:row r="14">
      <x:c r="A14" s="101" t="n">
        <x:f>Decisiones!B14</x:f>
        <x:v>37596</x:v>
      </x:c>
      <x:c r="B14" s="104" t="str">
        <x:f>Decisiones!A14</x:f>
        <x:v>D20021206</x:v>
      </x:c>
      <x:c r="C14" s="108" t="n">
        <x:f>Decisiones!H14</x:f>
        <x:v>0</x:v>
      </x:c>
      <x:c r="D14" s="109" t="n">
        <x:f>Decisiones!G14</x:f>
        <x:v>0</x:v>
      </x:c>
      <x:c r="E14" s="109" t="n">
        <x:f>COUNTIFS(Votaciones!$A$2:$A$336,B14,Votaciones!$D$2:$D$336,"Disenso restrictivo")</x:f>
        <x:v>0</x:v>
      </x:c>
      <x:c r="F14" s="109" t="n">
        <x:f>COUNTIFS(Votaciones!$A$2:$A$336,B14,Votaciones!$D$2:$D$336,"Disenso acomodaticio")</x:f>
        <x:v>0</x:v>
      </x:c>
    </x:row>
    <x:row r="15">
      <x:c r="A15" s="101" t="n">
        <x:f>Decisiones!B15</x:f>
        <x:v>37631</x:v>
      </x:c>
      <x:c r="B15" s="104" t="str">
        <x:f>Decisiones!A15</x:f>
        <x:v>D20030110</x:v>
      </x:c>
      <x:c r="C15" s="108" t="n">
        <x:f>Decisiones!H15</x:f>
        <x:v>0</x:v>
      </x:c>
      <x:c r="D15" s="109" t="n">
        <x:f>Decisiones!G15</x:f>
        <x:v>0</x:v>
      </x:c>
      <x:c r="E15" s="109" t="n">
        <x:f>COUNTIFS(Votaciones!$A$2:$A$336,B15,Votaciones!$D$2:$D$336,"Disenso restrictivo")</x:f>
        <x:v>0</x:v>
      </x:c>
      <x:c r="F15" s="109" t="n">
        <x:f>COUNTIFS(Votaciones!$A$2:$A$336,B15,Votaciones!$D$2:$D$336,"Disenso acomodaticio")</x:f>
        <x:v>0</x:v>
      </x:c>
    </x:row>
    <x:row r="16">
      <x:c r="A16" s="101" t="n">
        <x:f>Decisiones!B16</x:f>
        <x:v>37645</x:v>
      </x:c>
      <x:c r="B16" s="104" t="str">
        <x:f>Decisiones!A16</x:f>
        <x:v>D20030124</x:v>
      </x:c>
      <x:c r="C16" s="108" t="n">
        <x:f>Decisiones!H16</x:f>
        <x:v>0</x:v>
      </x:c>
      <x:c r="D16" s="109" t="n">
        <x:f>Decisiones!G16</x:f>
        <x:v>0</x:v>
      </x:c>
      <x:c r="E16" s="109" t="n">
        <x:f>COUNTIFS(Votaciones!$A$2:$A$336,B16,Votaciones!$D$2:$D$336,"Disenso restrictivo")</x:f>
        <x:v>0</x:v>
      </x:c>
      <x:c r="F16" s="109" t="n">
        <x:f>COUNTIFS(Votaciones!$A$2:$A$336,B16,Votaciones!$D$2:$D$336,"Disenso acomodaticio")</x:f>
        <x:v>0</x:v>
      </x:c>
    </x:row>
    <x:row r="17">
      <x:c r="A17" s="101" t="n">
        <x:f>Decisiones!B17</x:f>
        <x:v>37659</x:v>
      </x:c>
      <x:c r="B17" s="104" t="str">
        <x:f>Decisiones!A17</x:f>
        <x:v>D20030207</x:v>
      </x:c>
      <x:c r="C17" s="108" t="n">
        <x:f>Decisiones!H17</x:f>
        <x:v>0</x:v>
      </x:c>
      <x:c r="D17" s="109" t="n">
        <x:f>Decisiones!G17</x:f>
        <x:v>0</x:v>
      </x:c>
      <x:c r="E17" s="109" t="n">
        <x:f>COUNTIFS(Votaciones!$A$2:$A$336,B17,Votaciones!$D$2:$D$336,"Disenso restrictivo")</x:f>
        <x:v>0</x:v>
      </x:c>
      <x:c r="F17" s="109" t="n">
        <x:f>COUNTIFS(Votaciones!$A$2:$A$336,B17,Votaciones!$D$2:$D$336,"Disenso acomodaticio")</x:f>
        <x:v>0</x:v>
      </x:c>
    </x:row>
    <x:row r="18">
      <x:c r="A18" s="101" t="n">
        <x:f>Decisiones!B18</x:f>
        <x:v>37673</x:v>
      </x:c>
      <x:c r="B18" s="104" t="str">
        <x:f>Decisiones!A18</x:f>
        <x:v>D20030221</x:v>
      </x:c>
      <x:c r="C18" s="108" t="n">
        <x:f>Decisiones!H18</x:f>
        <x:v>0</x:v>
      </x:c>
      <x:c r="D18" s="109" t="n">
        <x:f>Decisiones!G18</x:f>
        <x:v>0</x:v>
      </x:c>
      <x:c r="E18" s="109" t="n">
        <x:f>COUNTIFS(Votaciones!$A$2:$A$336,B18,Votaciones!$D$2:$D$336,"Disenso restrictivo")</x:f>
        <x:v>0</x:v>
      </x:c>
      <x:c r="F18" s="109" t="n">
        <x:f>COUNTIFS(Votaciones!$A$2:$A$336,B18,Votaciones!$D$2:$D$336,"Disenso acomodaticio")</x:f>
        <x:v>0</x:v>
      </x:c>
    </x:row>
    <x:row r="19">
      <x:c r="A19" s="101" t="n">
        <x:f>Decisiones!B19</x:f>
        <x:v>37708</x:v>
      </x:c>
      <x:c r="B19" s="104" t="str">
        <x:f>Decisiones!A19</x:f>
        <x:v>D20030328</x:v>
      </x:c>
      <x:c r="C19" s="108" t="n">
        <x:f>Decisiones!H19</x:f>
        <x:v>0</x:v>
      </x:c>
      <x:c r="D19" s="109" t="n">
        <x:f>Decisiones!G19</x:f>
        <x:v>0</x:v>
      </x:c>
      <x:c r="E19" s="109" t="n">
        <x:f>COUNTIFS(Votaciones!$A$2:$A$336,B19,Votaciones!$D$2:$D$336,"Disenso restrictivo")</x:f>
        <x:v>0</x:v>
      </x:c>
      <x:c r="F19" s="109" t="n">
        <x:f>COUNTIFS(Votaciones!$A$2:$A$336,B19,Votaciones!$D$2:$D$336,"Disenso acomodaticio")</x:f>
        <x:v>0</x:v>
      </x:c>
    </x:row>
    <x:row r="20">
      <x:c r="A20" s="101" t="n">
        <x:f>Decisiones!B20</x:f>
        <x:v>37736</x:v>
      </x:c>
      <x:c r="B20" s="104" t="str">
        <x:f>Decisiones!A20</x:f>
        <x:v>D20030425</x:v>
      </x:c>
      <x:c r="C20" s="108" t="n">
        <x:f>Decisiones!H20</x:f>
        <x:v>0</x:v>
      </x:c>
      <x:c r="D20" s="109" t="n">
        <x:f>Decisiones!G20</x:f>
        <x:v>0</x:v>
      </x:c>
      <x:c r="E20" s="109" t="n">
        <x:f>COUNTIFS(Votaciones!$A$2:$A$336,B20,Votaciones!$D$2:$D$336,"Disenso restrictivo")</x:f>
        <x:v>0</x:v>
      </x:c>
      <x:c r="F20" s="109" t="n">
        <x:f>COUNTIFS(Votaciones!$A$2:$A$336,B20,Votaciones!$D$2:$D$336,"Disenso acomodaticio")</x:f>
        <x:v>0</x:v>
      </x:c>
    </x:row>
    <x:row r="21">
      <x:c r="A21" s="101" t="n">
        <x:f>Decisiones!B21</x:f>
        <x:v>37764</x:v>
      </x:c>
      <x:c r="B21" s="104" t="str">
        <x:f>Decisiones!A21</x:f>
        <x:v>D20030523</x:v>
      </x:c>
      <x:c r="C21" s="108" t="n">
        <x:f>Decisiones!H21</x:f>
        <x:v>0</x:v>
      </x:c>
      <x:c r="D21" s="109" t="n">
        <x:f>Decisiones!G21</x:f>
        <x:v>0</x:v>
      </x:c>
      <x:c r="E21" s="109" t="n">
        <x:f>COUNTIFS(Votaciones!$A$2:$A$336,B21,Votaciones!$D$2:$D$336,"Disenso restrictivo")</x:f>
        <x:v>0</x:v>
      </x:c>
      <x:c r="F21" s="109" t="n">
        <x:f>COUNTIFS(Votaciones!$A$2:$A$336,B21,Votaciones!$D$2:$D$336,"Disenso acomodaticio")</x:f>
        <x:v>0</x:v>
      </x:c>
    </x:row>
    <x:row r="22">
      <x:c r="A22" s="101" t="n">
        <x:f>Decisiones!B22</x:f>
        <x:v>37799</x:v>
      </x:c>
      <x:c r="B22" s="104" t="str">
        <x:f>Decisiones!A22</x:f>
        <x:v>D20030627</x:v>
      </x:c>
      <x:c r="C22" s="108" t="n">
        <x:f>Decisiones!H22</x:f>
        <x:v>0</x:v>
      </x:c>
      <x:c r="D22" s="109" t="n">
        <x:f>Decisiones!G22</x:f>
        <x:v>0</x:v>
      </x:c>
      <x:c r="E22" s="109" t="n">
        <x:f>COUNTIFS(Votaciones!$A$2:$A$336,B22,Votaciones!$D$2:$D$336,"Disenso restrictivo")</x:f>
        <x:v>0</x:v>
      </x:c>
      <x:c r="F22" s="109" t="n">
        <x:f>COUNTIFS(Votaciones!$A$2:$A$336,B22,Votaciones!$D$2:$D$336,"Disenso acomodaticio")</x:f>
        <x:v>0</x:v>
      </x:c>
    </x:row>
    <x:row r="23">
      <x:c r="A23" s="101" t="n">
        <x:f>Decisiones!B23</x:f>
        <x:v>37827</x:v>
      </x:c>
      <x:c r="B23" s="104" t="str">
        <x:f>Decisiones!A23</x:f>
        <x:v>D20030725</x:v>
      </x:c>
      <x:c r="C23" s="108" t="n">
        <x:f>Decisiones!H23</x:f>
        <x:v>0</x:v>
      </x:c>
      <x:c r="D23" s="109" t="n">
        <x:f>Decisiones!G23</x:f>
        <x:v>0</x:v>
      </x:c>
      <x:c r="E23" s="109" t="n">
        <x:f>COUNTIFS(Votaciones!$A$2:$A$336,B23,Votaciones!$D$2:$D$336,"Disenso restrictivo")</x:f>
        <x:v>0</x:v>
      </x:c>
      <x:c r="F23" s="109" t="n">
        <x:f>COUNTIFS(Votaciones!$A$2:$A$336,B23,Votaciones!$D$2:$D$336,"Disenso acomodaticio")</x:f>
        <x:v>0</x:v>
      </x:c>
    </x:row>
    <x:row r="24">
      <x:c r="A24" s="101" t="n">
        <x:f>Decisiones!B24</x:f>
        <x:v>37855</x:v>
      </x:c>
      <x:c r="B24" s="104" t="str">
        <x:f>Decisiones!A24</x:f>
        <x:v>D20030822</x:v>
      </x:c>
      <x:c r="C24" s="108" t="n">
        <x:f>Decisiones!H24</x:f>
        <x:v>0</x:v>
      </x:c>
      <x:c r="D24" s="109" t="n">
        <x:f>Decisiones!G24</x:f>
        <x:v>0</x:v>
      </x:c>
      <x:c r="E24" s="109" t="n">
        <x:f>COUNTIFS(Votaciones!$A$2:$A$336,B24,Votaciones!$D$2:$D$336,"Disenso restrictivo")</x:f>
        <x:v>0</x:v>
      </x:c>
      <x:c r="F24" s="109" t="n">
        <x:f>COUNTIFS(Votaciones!$A$2:$A$336,B24,Votaciones!$D$2:$D$336,"Disenso acomodaticio")</x:f>
        <x:v>0</x:v>
      </x:c>
    </x:row>
    <x:row r="25">
      <x:c r="A25" s="101" t="n">
        <x:f>Decisiones!B25</x:f>
        <x:v>37890</x:v>
      </x:c>
      <x:c r="B25" s="104" t="str">
        <x:f>Decisiones!A25</x:f>
        <x:v>D20030926</x:v>
      </x:c>
      <x:c r="C25" s="108" t="n">
        <x:f>Decisiones!H25</x:f>
        <x:v>0</x:v>
      </x:c>
      <x:c r="D25" s="109" t="n">
        <x:f>Decisiones!G25</x:f>
        <x:v>0</x:v>
      </x:c>
      <x:c r="E25" s="109" t="n">
        <x:f>COUNTIFS(Votaciones!$A$2:$A$336,B25,Votaciones!$D$2:$D$336,"Disenso restrictivo")</x:f>
        <x:v>0</x:v>
      </x:c>
      <x:c r="F25" s="109" t="n">
        <x:f>COUNTIFS(Votaciones!$A$2:$A$336,B25,Votaciones!$D$2:$D$336,"Disenso acomodaticio")</x:f>
        <x:v>0</x:v>
      </x:c>
    </x:row>
    <x:row r="26">
      <x:c r="A26" s="101" t="n">
        <x:f>Decisiones!B26</x:f>
        <x:v>37918</x:v>
      </x:c>
      <x:c r="B26" s="104" t="str">
        <x:f>Decisiones!A26</x:f>
        <x:v>D20031024</x:v>
      </x:c>
      <x:c r="C26" s="108" t="n">
        <x:f>Decisiones!H26</x:f>
        <x:v>0</x:v>
      </x:c>
      <x:c r="D26" s="109" t="n">
        <x:f>Decisiones!G26</x:f>
        <x:v>0</x:v>
      </x:c>
      <x:c r="E26" s="109" t="n">
        <x:f>COUNTIFS(Votaciones!$A$2:$A$336,B26,Votaciones!$D$2:$D$336,"Disenso restrictivo")</x:f>
        <x:v>0</x:v>
      </x:c>
      <x:c r="F26" s="109" t="n">
        <x:f>COUNTIFS(Votaciones!$A$2:$A$336,B26,Votaciones!$D$2:$D$336,"Disenso acomodaticio")</x:f>
        <x:v>0</x:v>
      </x:c>
    </x:row>
    <x:row r="27">
      <x:c r="A27" s="101" t="n">
        <x:f>Decisiones!B27</x:f>
        <x:v>37946</x:v>
      </x:c>
      <x:c r="B27" s="104" t="str">
        <x:f>Decisiones!A27</x:f>
        <x:v>D20031121</x:v>
      </x:c>
      <x:c r="C27" s="108" t="n">
        <x:f>Decisiones!H27</x:f>
        <x:v>0</x:v>
      </x:c>
      <x:c r="D27" s="109" t="n">
        <x:f>Decisiones!G27</x:f>
        <x:v>0</x:v>
      </x:c>
      <x:c r="E27" s="109" t="n">
        <x:f>COUNTIFS(Votaciones!$A$2:$A$336,B27,Votaciones!$D$2:$D$336,"Disenso restrictivo")</x:f>
        <x:v>0</x:v>
      </x:c>
      <x:c r="F27" s="109" t="n">
        <x:f>COUNTIFS(Votaciones!$A$2:$A$336,B27,Votaciones!$D$2:$D$336,"Disenso acomodaticio")</x:f>
        <x:v>0</x:v>
      </x:c>
    </x:row>
    <x:row r="28">
      <x:c r="A28" s="101" t="n">
        <x:f>Decisiones!B28</x:f>
        <x:v>37966</x:v>
      </x:c>
      <x:c r="B28" s="104" t="str">
        <x:f>Decisiones!A28</x:f>
        <x:v>D20031211</x:v>
      </x:c>
      <x:c r="C28" s="108" t="n">
        <x:f>Decisiones!H28</x:f>
        <x:v>0</x:v>
      </x:c>
      <x:c r="D28" s="109" t="n">
        <x:f>Decisiones!G28</x:f>
        <x:v>0</x:v>
      </x:c>
      <x:c r="E28" s="109" t="n">
        <x:f>COUNTIFS(Votaciones!$A$2:$A$336,B28,Votaciones!$D$2:$D$336,"Disenso restrictivo")</x:f>
        <x:v>0</x:v>
      </x:c>
      <x:c r="F28" s="109" t="n">
        <x:f>COUNTIFS(Votaciones!$A$2:$A$336,B28,Votaciones!$D$2:$D$336,"Disenso acomodaticio")</x:f>
        <x:v>0</x:v>
      </x:c>
    </x:row>
    <x:row r="29">
      <x:c r="A29" s="101" t="n">
        <x:f>Decisiones!B29</x:f>
        <x:v>38009</x:v>
      </x:c>
      <x:c r="B29" s="104" t="str">
        <x:f>Decisiones!A29</x:f>
        <x:v>D20040123</x:v>
      </x:c>
      <x:c r="C29" s="108" t="n">
        <x:f>Decisiones!H29</x:f>
        <x:v>0</x:v>
      </x:c>
      <x:c r="D29" s="109" t="n">
        <x:f>Decisiones!G29</x:f>
        <x:v>0</x:v>
      </x:c>
      <x:c r="E29" s="109" t="n">
        <x:f>COUNTIFS(Votaciones!$A$2:$A$336,B29,Votaciones!$D$2:$D$336,"Disenso restrictivo")</x:f>
        <x:v>0</x:v>
      </x:c>
      <x:c r="F29" s="109" t="n">
        <x:f>COUNTIFS(Votaciones!$A$2:$A$336,B29,Votaciones!$D$2:$D$336,"Disenso acomodaticio")</x:f>
        <x:v>0</x:v>
      </x:c>
    </x:row>
    <x:row r="30">
      <x:c r="A30" s="101" t="n">
        <x:f>Decisiones!B30</x:f>
        <x:v>38037</x:v>
      </x:c>
      <x:c r="B30" s="104" t="str">
        <x:f>Decisiones!A30</x:f>
        <x:v>D20040220</x:v>
      </x:c>
      <x:c r="C30" s="108" t="n">
        <x:f>Decisiones!H30</x:f>
        <x:v>0</x:v>
      </x:c>
      <x:c r="D30" s="109" t="n">
        <x:f>Decisiones!G30</x:f>
        <x:v>0</x:v>
      </x:c>
      <x:c r="E30" s="109" t="n">
        <x:f>COUNTIFS(Votaciones!$A$2:$A$336,B30,Votaciones!$D$2:$D$336,"Disenso restrictivo")</x:f>
        <x:v>0</x:v>
      </x:c>
      <x:c r="F30" s="109" t="n">
        <x:f>COUNTIFS(Votaciones!$A$2:$A$336,B30,Votaciones!$D$2:$D$336,"Disenso acomodaticio")</x:f>
        <x:v>0</x:v>
      </x:c>
    </x:row>
    <x:row r="31">
      <x:c r="A31" s="101" t="n">
        <x:f>Decisiones!B31</x:f>
        <x:v>38058</x:v>
      </x:c>
      <x:c r="B31" s="104" t="str">
        <x:f>Decisiones!A31</x:f>
        <x:v>D20040312</x:v>
      </x:c>
      <x:c r="C31" s="108" t="n">
        <x:f>Decisiones!H31</x:f>
        <x:v>0</x:v>
      </x:c>
      <x:c r="D31" s="109" t="n">
        <x:f>Decisiones!G31</x:f>
        <x:v>0</x:v>
      </x:c>
      <x:c r="E31" s="109" t="n">
        <x:f>COUNTIFS(Votaciones!$A$2:$A$336,B31,Votaciones!$D$2:$D$336,"Disenso restrictivo")</x:f>
        <x:v>0</x:v>
      </x:c>
      <x:c r="F31" s="109" t="n">
        <x:f>COUNTIFS(Votaciones!$A$2:$A$336,B31,Votaciones!$D$2:$D$336,"Disenso acomodaticio")</x:f>
        <x:v>0</x:v>
      </x:c>
    </x:row>
    <x:row r="32">
      <x:c r="A32" s="101" t="n">
        <x:f>Decisiones!B32</x:f>
        <x:v>38072</x:v>
      </x:c>
      <x:c r="B32" s="104" t="str">
        <x:f>Decisiones!A32</x:f>
        <x:v>D20040326</x:v>
      </x:c>
      <x:c r="C32" s="108" t="n">
        <x:f>Decisiones!H32</x:f>
        <x:v>0</x:v>
      </x:c>
      <x:c r="D32" s="109" t="n">
        <x:f>Decisiones!G32</x:f>
        <x:v>0</x:v>
      </x:c>
      <x:c r="E32" s="109" t="n">
        <x:f>COUNTIFS(Votaciones!$A$2:$A$336,B32,Votaciones!$D$2:$D$336,"Disenso restrictivo")</x:f>
        <x:v>0</x:v>
      </x:c>
      <x:c r="F32" s="109" t="n">
        <x:f>COUNTIFS(Votaciones!$A$2:$A$336,B32,Votaciones!$D$2:$D$336,"Disenso acomodaticio")</x:f>
        <x:v>0</x:v>
      </x:c>
    </x:row>
    <x:row r="33">
      <x:c r="A33" s="101" t="n">
        <x:f>Decisiones!B33</x:f>
        <x:v>38100</x:v>
      </x:c>
      <x:c r="B33" s="104" t="str">
        <x:f>Decisiones!A33</x:f>
        <x:v>D20040423</x:v>
      </x:c>
      <x:c r="C33" s="108" t="n">
        <x:f>Decisiones!H33</x:f>
        <x:v>0</x:v>
      </x:c>
      <x:c r="D33" s="109" t="n">
        <x:f>Decisiones!G33</x:f>
        <x:v>0</x:v>
      </x:c>
      <x:c r="E33" s="109" t="n">
        <x:f>COUNTIFS(Votaciones!$A$2:$A$336,B33,Votaciones!$D$2:$D$336,"Disenso restrictivo")</x:f>
        <x:v>0</x:v>
      </x:c>
      <x:c r="F33" s="109" t="n">
        <x:f>COUNTIFS(Votaciones!$A$2:$A$336,B33,Votaciones!$D$2:$D$336,"Disenso acomodaticio")</x:f>
        <x:v>0</x:v>
      </x:c>
    </x:row>
    <x:row r="34">
      <x:c r="A34" s="101" t="n">
        <x:f>Decisiones!B34</x:f>
        <x:v>38104</x:v>
      </x:c>
      <x:c r="B34" s="104" t="str">
        <x:f>Decisiones!A34</x:f>
        <x:v>D20040427</x:v>
      </x:c>
      <x:c r="C34" s="108" t="n">
        <x:f>Decisiones!H34</x:f>
        <x:v>0</x:v>
      </x:c>
      <x:c r="D34" s="109" t="n">
        <x:f>Decisiones!G34</x:f>
        <x:v>0</x:v>
      </x:c>
      <x:c r="E34" s="109" t="n">
        <x:f>COUNTIFS(Votaciones!$A$2:$A$336,B34,Votaciones!$D$2:$D$336,"Disenso restrictivo")</x:f>
        <x:v>0</x:v>
      </x:c>
      <x:c r="F34" s="109" t="n">
        <x:f>COUNTIFS(Votaciones!$A$2:$A$336,B34,Votaciones!$D$2:$D$336,"Disenso acomodaticio")</x:f>
        <x:v>0</x:v>
      </x:c>
    </x:row>
    <x:row r="35">
      <x:c r="A35" s="101" t="n">
        <x:f>Decisiones!B35</x:f>
        <x:v>38135</x:v>
      </x:c>
      <x:c r="B35" s="104" t="str">
        <x:f>Decisiones!A35</x:f>
        <x:v>D20040528</x:v>
      </x:c>
      <x:c r="C35" s="108" t="n">
        <x:f>Decisiones!H35</x:f>
        <x:v>0</x:v>
      </x:c>
      <x:c r="D35" s="109" t="n">
        <x:f>Decisiones!G35</x:f>
        <x:v>0</x:v>
      </x:c>
      <x:c r="E35" s="109" t="n">
        <x:f>COUNTIFS(Votaciones!$A$2:$A$336,B35,Votaciones!$D$2:$D$336,"Disenso restrictivo")</x:f>
        <x:v>0</x:v>
      </x:c>
      <x:c r="F35" s="109" t="n">
        <x:f>COUNTIFS(Votaciones!$A$2:$A$336,B35,Votaciones!$D$2:$D$336,"Disenso acomodaticio")</x:f>
        <x:v>0</x:v>
      </x:c>
    </x:row>
    <x:row r="36">
      <x:c r="A36" s="101" t="n">
        <x:f>Decisiones!B36</x:f>
        <x:v>38163</x:v>
      </x:c>
      <x:c r="B36" s="104" t="str">
        <x:f>Decisiones!A36</x:f>
        <x:v>D20040625</x:v>
      </x:c>
      <x:c r="C36" s="108" t="n">
        <x:f>Decisiones!H36</x:f>
        <x:v>0</x:v>
      </x:c>
      <x:c r="D36" s="109" t="n">
        <x:f>Decisiones!G36</x:f>
        <x:v>0</x:v>
      </x:c>
      <x:c r="E36" s="109" t="n">
        <x:f>COUNTIFS(Votaciones!$A$2:$A$336,B36,Votaciones!$D$2:$D$336,"Disenso restrictivo")</x:f>
        <x:v>0</x:v>
      </x:c>
      <x:c r="F36" s="109" t="n">
        <x:f>COUNTIFS(Votaciones!$A$2:$A$336,B36,Votaciones!$D$2:$D$336,"Disenso acomodaticio")</x:f>
        <x:v>0</x:v>
      </x:c>
    </x:row>
    <x:row r="37">
      <x:c r="A37" s="101" t="n">
        <x:f>Decisiones!B37</x:f>
        <x:v>38191</x:v>
      </x:c>
      <x:c r="B37" s="104" t="str">
        <x:f>Decisiones!A37</x:f>
        <x:v>D20040723</x:v>
      </x:c>
      <x:c r="C37" s="108" t="n">
        <x:f>Decisiones!H37</x:f>
        <x:v>0</x:v>
      </x:c>
      <x:c r="D37" s="109" t="n">
        <x:f>Decisiones!G37</x:f>
        <x:v>0</x:v>
      </x:c>
      <x:c r="E37" s="109" t="n">
        <x:f>COUNTIFS(Votaciones!$A$2:$A$336,B37,Votaciones!$D$2:$D$336,"Disenso restrictivo")</x:f>
        <x:v>0</x:v>
      </x:c>
      <x:c r="F37" s="109" t="n">
        <x:f>COUNTIFS(Votaciones!$A$2:$A$336,B37,Votaciones!$D$2:$D$336,"Disenso acomodaticio")</x:f>
        <x:v>0</x:v>
      </x:c>
    </x:row>
    <x:row r="38">
      <x:c r="A38" s="101" t="n">
        <x:f>Decisiones!B38</x:f>
        <x:v>38226</x:v>
      </x:c>
      <x:c r="B38" s="104" t="str">
        <x:f>Decisiones!A38</x:f>
        <x:v>D20040827</x:v>
      </x:c>
      <x:c r="C38" s="108" t="n">
        <x:f>Decisiones!H38</x:f>
        <x:v>0</x:v>
      </x:c>
      <x:c r="D38" s="109" t="n">
        <x:f>Decisiones!G38</x:f>
        <x:v>0</x:v>
      </x:c>
      <x:c r="E38" s="109" t="n">
        <x:f>COUNTIFS(Votaciones!$A$2:$A$336,B38,Votaciones!$D$2:$D$336,"Disenso restrictivo")</x:f>
        <x:v>0</x:v>
      </x:c>
      <x:c r="F38" s="109" t="n">
        <x:f>COUNTIFS(Votaciones!$A$2:$A$336,B38,Votaciones!$D$2:$D$336,"Disenso acomodaticio")</x:f>
        <x:v>0</x:v>
      </x:c>
    </x:row>
    <x:row r="39">
      <x:c r="A39" s="101" t="n">
        <x:f>Decisiones!B39</x:f>
        <x:v>38254</x:v>
      </x:c>
      <x:c r="B39" s="104" t="str">
        <x:f>Decisiones!A39</x:f>
        <x:v>D20040924</x:v>
      </x:c>
      <x:c r="C39" s="108" t="n">
        <x:f>Decisiones!H39</x:f>
        <x:v>0</x:v>
      </x:c>
      <x:c r="D39" s="109" t="n">
        <x:f>Decisiones!G39</x:f>
        <x:v>0</x:v>
      </x:c>
      <x:c r="E39" s="109" t="n">
        <x:f>COUNTIFS(Votaciones!$A$2:$A$336,B39,Votaciones!$D$2:$D$336,"Disenso restrictivo")</x:f>
        <x:v>0</x:v>
      </x:c>
      <x:c r="F39" s="109" t="n">
        <x:f>COUNTIFS(Votaciones!$A$2:$A$336,B39,Votaciones!$D$2:$D$336,"Disenso acomodaticio")</x:f>
        <x:v>0</x:v>
      </x:c>
    </x:row>
    <x:row r="40">
      <x:c r="A40" s="101" t="n">
        <x:f>Decisiones!B40</x:f>
        <x:v>38282</x:v>
      </x:c>
      <x:c r="B40" s="104" t="str">
        <x:f>Decisiones!A40</x:f>
        <x:v>D20041022</x:v>
      </x:c>
      <x:c r="C40" s="108" t="n">
        <x:f>Decisiones!H40</x:f>
        <x:v>0</x:v>
      </x:c>
      <x:c r="D40" s="109" t="n">
        <x:f>Decisiones!G40</x:f>
        <x:v>0</x:v>
      </x:c>
      <x:c r="E40" s="109" t="n">
        <x:f>COUNTIFS(Votaciones!$A$2:$A$336,B40,Votaciones!$D$2:$D$336,"Disenso restrictivo")</x:f>
        <x:v>0</x:v>
      </x:c>
      <x:c r="F40" s="109" t="n">
        <x:f>COUNTIFS(Votaciones!$A$2:$A$336,B40,Votaciones!$D$2:$D$336,"Disenso acomodaticio")</x:f>
        <x:v>0</x:v>
      </x:c>
    </x:row>
    <x:row r="41">
      <x:c r="A41" s="101" t="n">
        <x:f>Decisiones!B41</x:f>
        <x:v>38317</x:v>
      </x:c>
      <x:c r="B41" s="104" t="str">
        <x:f>Decisiones!A41</x:f>
        <x:v>D20041126</x:v>
      </x:c>
      <x:c r="C41" s="108" t="n">
        <x:f>Decisiones!H41</x:f>
        <x:v>0</x:v>
      </x:c>
      <x:c r="D41" s="109" t="n">
        <x:f>Decisiones!G41</x:f>
        <x:v>0</x:v>
      </x:c>
      <x:c r="E41" s="109" t="n">
        <x:f>COUNTIFS(Votaciones!$A$2:$A$336,B41,Votaciones!$D$2:$D$336,"Disenso restrictivo")</x:f>
        <x:v>0</x:v>
      </x:c>
      <x:c r="F41" s="109" t="n">
        <x:f>COUNTIFS(Votaciones!$A$2:$A$336,B41,Votaciones!$D$2:$D$336,"Disenso acomodaticio")</x:f>
        <x:v>0</x:v>
      </x:c>
    </x:row>
    <x:row r="42">
      <x:c r="A42" s="101" t="n">
        <x:f>Decisiones!B42</x:f>
        <x:v>38331</x:v>
      </x:c>
      <x:c r="B42" s="104" t="str">
        <x:f>Decisiones!A42</x:f>
        <x:v>D20041210</x:v>
      </x:c>
      <x:c r="C42" s="108" t="n">
        <x:f>Decisiones!H42</x:f>
        <x:v>0</x:v>
      </x:c>
      <x:c r="D42" s="109" t="n">
        <x:f>Decisiones!G42</x:f>
        <x:v>0</x:v>
      </x:c>
      <x:c r="E42" s="109" t="n">
        <x:f>COUNTIFS(Votaciones!$A$2:$A$336,B42,Votaciones!$D$2:$D$336,"Disenso restrictivo")</x:f>
        <x:v>0</x:v>
      </x:c>
      <x:c r="F42" s="109" t="n">
        <x:f>COUNTIFS(Votaciones!$A$2:$A$336,B42,Votaciones!$D$2:$D$336,"Disenso acomodaticio")</x:f>
        <x:v>0</x:v>
      </x:c>
    </x:row>
    <x:row r="43">
      <x:c r="A43" s="101" t="n">
        <x:f>Decisiones!B43</x:f>
        <x:v>38380</x:v>
      </x:c>
      <x:c r="B43" s="104" t="str">
        <x:f>Decisiones!A43</x:f>
        <x:v>D20050128</x:v>
      </x:c>
      <x:c r="C43" s="108" t="n">
        <x:f>Decisiones!H43</x:f>
        <x:v>0</x:v>
      </x:c>
      <x:c r="D43" s="109" t="n">
        <x:f>Decisiones!G43</x:f>
        <x:v>0</x:v>
      </x:c>
      <x:c r="E43" s="109" t="n">
        <x:f>COUNTIFS(Votaciones!$A$2:$A$336,B43,Votaciones!$D$2:$D$336,"Disenso restrictivo")</x:f>
        <x:v>0</x:v>
      </x:c>
      <x:c r="F43" s="109" t="n">
        <x:f>COUNTIFS(Votaciones!$A$2:$A$336,B43,Votaciones!$D$2:$D$336,"Disenso acomodaticio")</x:f>
        <x:v>0</x:v>
      </x:c>
    </x:row>
    <x:row r="44">
      <x:c r="A44" s="101" t="n">
        <x:f>Decisiones!B44</x:f>
        <x:v>38408</x:v>
      </x:c>
      <x:c r="B44" s="104" t="str">
        <x:f>Decisiones!A44</x:f>
        <x:v>D20050225</x:v>
      </x:c>
      <x:c r="C44" s="108" t="n">
        <x:f>Decisiones!H44</x:f>
        <x:v>0</x:v>
      </x:c>
      <x:c r="D44" s="109" t="n">
        <x:f>Decisiones!G44</x:f>
        <x:v>0</x:v>
      </x:c>
      <x:c r="E44" s="109" t="n">
        <x:f>COUNTIFS(Votaciones!$A$2:$A$336,B44,Votaciones!$D$2:$D$336,"Disenso restrictivo")</x:f>
        <x:v>0</x:v>
      </x:c>
      <x:c r="F44" s="109" t="n">
        <x:f>COUNTIFS(Votaciones!$A$2:$A$336,B44,Votaciones!$D$2:$D$336,"Disenso acomodaticio")</x:f>
        <x:v>0</x:v>
      </x:c>
    </x:row>
    <x:row r="45">
      <x:c r="A45" s="101" t="n">
        <x:f>Decisiones!B45</x:f>
        <x:v>38434</x:v>
      </x:c>
      <x:c r="B45" s="104" t="str">
        <x:f>Decisiones!A45</x:f>
        <x:v>D20050323</x:v>
      </x:c>
      <x:c r="C45" s="108" t="n">
        <x:f>Decisiones!H45</x:f>
        <x:v>0</x:v>
      </x:c>
      <x:c r="D45" s="109" t="n">
        <x:f>Decisiones!G45</x:f>
        <x:v>0</x:v>
      </x:c>
      <x:c r="E45" s="109" t="n">
        <x:f>COUNTIFS(Votaciones!$A$2:$A$336,B45,Votaciones!$D$2:$D$336,"Disenso restrictivo")</x:f>
        <x:v>0</x:v>
      </x:c>
      <x:c r="F45" s="109" t="n">
        <x:f>COUNTIFS(Votaciones!$A$2:$A$336,B45,Votaciones!$D$2:$D$336,"Disenso acomodaticio")</x:f>
        <x:v>0</x:v>
      </x:c>
    </x:row>
    <x:row r="46">
      <x:c r="A46" s="101" t="n">
        <x:f>Decisiones!B46</x:f>
        <x:v>38464</x:v>
      </x:c>
      <x:c r="B46" s="104" t="str">
        <x:f>Decisiones!A46</x:f>
        <x:v>D20050422</x:v>
      </x:c>
      <x:c r="C46" s="108" t="n">
        <x:f>Decisiones!H46</x:f>
        <x:v>0</x:v>
      </x:c>
      <x:c r="D46" s="109" t="n">
        <x:f>Decisiones!G46</x:f>
        <x:v>0</x:v>
      </x:c>
      <x:c r="E46" s="109" t="n">
        <x:f>COUNTIFS(Votaciones!$A$2:$A$336,B46,Votaciones!$D$2:$D$336,"Disenso restrictivo")</x:f>
        <x:v>0</x:v>
      </x:c>
      <x:c r="F46" s="109" t="n">
        <x:f>COUNTIFS(Votaciones!$A$2:$A$336,B46,Votaciones!$D$2:$D$336,"Disenso acomodaticio")</x:f>
        <x:v>0</x:v>
      </x:c>
    </x:row>
    <x:row r="47">
      <x:c r="A47" s="101" t="n">
        <x:f>Decisiones!B47</x:f>
        <x:v>38499</x:v>
      </x:c>
      <x:c r="B47" s="104" t="str">
        <x:f>Decisiones!A47</x:f>
        <x:v>D20050527</x:v>
      </x:c>
      <x:c r="C47" s="108" t="n">
        <x:f>Decisiones!H47</x:f>
        <x:v>0</x:v>
      </x:c>
      <x:c r="D47" s="109" t="n">
        <x:f>Decisiones!G47</x:f>
        <x:v>0</x:v>
      </x:c>
      <x:c r="E47" s="109" t="n">
        <x:f>COUNTIFS(Votaciones!$A$2:$A$336,B47,Votaciones!$D$2:$D$336,"Disenso restrictivo")</x:f>
        <x:v>0</x:v>
      </x:c>
      <x:c r="F47" s="109" t="n">
        <x:f>COUNTIFS(Votaciones!$A$2:$A$336,B47,Votaciones!$D$2:$D$336,"Disenso acomodaticio")</x:f>
        <x:v>0</x:v>
      </x:c>
    </x:row>
    <x:row r="48">
      <x:c r="A48" s="101" t="n">
        <x:f>Decisiones!B48</x:f>
        <x:v>38527</x:v>
      </x:c>
      <x:c r="B48" s="104" t="str">
        <x:f>Decisiones!A48</x:f>
        <x:v>D20050624</x:v>
      </x:c>
      <x:c r="C48" s="108" t="n">
        <x:f>Decisiones!H48</x:f>
        <x:v>0</x:v>
      </x:c>
      <x:c r="D48" s="109" t="n">
        <x:f>Decisiones!G48</x:f>
        <x:v>0</x:v>
      </x:c>
      <x:c r="E48" s="109" t="n">
        <x:f>COUNTIFS(Votaciones!$A$2:$A$336,B48,Votaciones!$D$2:$D$336,"Disenso restrictivo")</x:f>
        <x:v>0</x:v>
      </x:c>
      <x:c r="F48" s="109" t="n">
        <x:f>COUNTIFS(Votaciones!$A$2:$A$336,B48,Votaciones!$D$2:$D$336,"Disenso acomodaticio")</x:f>
        <x:v>0</x:v>
      </x:c>
    </x:row>
    <x:row r="49">
      <x:c r="A49" s="101" t="n">
        <x:f>Decisiones!B49</x:f>
        <x:v>38555</x:v>
      </x:c>
      <x:c r="B49" s="104" t="str">
        <x:f>Decisiones!A49</x:f>
        <x:v>D20050722</x:v>
      </x:c>
      <x:c r="C49" s="108" t="n">
        <x:f>Decisiones!H49</x:f>
        <x:v>0</x:v>
      </x:c>
      <x:c r="D49" s="109" t="n">
        <x:f>Decisiones!G49</x:f>
        <x:v>0</x:v>
      </x:c>
      <x:c r="E49" s="109" t="n">
        <x:f>COUNTIFS(Votaciones!$A$2:$A$336,B49,Votaciones!$D$2:$D$336,"Disenso restrictivo")</x:f>
        <x:v>0</x:v>
      </x:c>
      <x:c r="F49" s="109" t="n">
        <x:f>COUNTIFS(Votaciones!$A$2:$A$336,B49,Votaciones!$D$2:$D$336,"Disenso acomodaticio")</x:f>
        <x:v>0</x:v>
      </x:c>
    </x:row>
    <x:row r="50">
      <x:c r="A50" s="101" t="n">
        <x:f>Decisiones!B50</x:f>
        <x:v>38590</x:v>
      </x:c>
      <x:c r="B50" s="104" t="str">
        <x:f>Decisiones!A50</x:f>
        <x:v>D20050826</x:v>
      </x:c>
      <x:c r="C50" s="108" t="n">
        <x:f>Decisiones!H50</x:f>
        <x:v>0</x:v>
      </x:c>
      <x:c r="D50" s="109" t="n">
        <x:f>Decisiones!G50</x:f>
        <x:v>0</x:v>
      </x:c>
      <x:c r="E50" s="109" t="n">
        <x:f>COUNTIFS(Votaciones!$A$2:$A$336,B50,Votaciones!$D$2:$D$336,"Disenso restrictivo")</x:f>
        <x:v>0</x:v>
      </x:c>
      <x:c r="F50" s="109" t="n">
        <x:f>COUNTIFS(Votaciones!$A$2:$A$336,B50,Votaciones!$D$2:$D$336,"Disenso acomodaticio")</x:f>
        <x:v>0</x:v>
      </x:c>
    </x:row>
    <x:row r="51">
      <x:c r="A51" s="101" t="n">
        <x:f>Decisiones!B51</x:f>
        <x:v>38618</x:v>
      </x:c>
      <x:c r="B51" s="104" t="str">
        <x:f>Decisiones!A51</x:f>
        <x:v>D20050923</x:v>
      </x:c>
      <x:c r="C51" s="108" t="n">
        <x:f>Decisiones!H51</x:f>
        <x:v>0</x:v>
      </x:c>
      <x:c r="D51" s="109" t="n">
        <x:f>Decisiones!G51</x:f>
        <x:v>0</x:v>
      </x:c>
      <x:c r="E51" s="109" t="n">
        <x:f>COUNTIFS(Votaciones!$A$2:$A$336,B51,Votaciones!$D$2:$D$336,"Disenso restrictivo")</x:f>
        <x:v>0</x:v>
      </x:c>
      <x:c r="F51" s="109" t="n">
        <x:f>COUNTIFS(Votaciones!$A$2:$A$336,B51,Votaciones!$D$2:$D$336,"Disenso acomodaticio")</x:f>
        <x:v>0</x:v>
      </x:c>
    </x:row>
    <x:row r="52">
      <x:c r="A52" s="101" t="n">
        <x:f>Decisiones!B52</x:f>
        <x:v>38653</x:v>
      </x:c>
      <x:c r="B52" s="104" t="str">
        <x:f>Decisiones!A52</x:f>
        <x:v>D20051028</x:v>
      </x:c>
      <x:c r="C52" s="108" t="n">
        <x:f>Decisiones!H52</x:f>
        <x:v>0</x:v>
      </x:c>
      <x:c r="D52" s="109" t="n">
        <x:f>Decisiones!G52</x:f>
        <x:v>0</x:v>
      </x:c>
      <x:c r="E52" s="109" t="n">
        <x:f>COUNTIFS(Votaciones!$A$2:$A$336,B52,Votaciones!$D$2:$D$336,"Disenso restrictivo")</x:f>
        <x:v>0</x:v>
      </x:c>
      <x:c r="F52" s="109" t="n">
        <x:f>COUNTIFS(Votaciones!$A$2:$A$336,B52,Votaciones!$D$2:$D$336,"Disenso acomodaticio")</x:f>
        <x:v>0</x:v>
      </x:c>
    </x:row>
    <x:row r="53">
      <x:c r="A53" s="101" t="n">
        <x:f>Decisiones!B53</x:f>
        <x:v>38681</x:v>
      </x:c>
      <x:c r="B53" s="104" t="str">
        <x:f>Decisiones!A53</x:f>
        <x:v>D20051125</x:v>
      </x:c>
      <x:c r="C53" s="108" t="n">
        <x:f>Decisiones!H53</x:f>
        <x:v>0</x:v>
      </x:c>
      <x:c r="D53" s="109" t="n">
        <x:f>Decisiones!G53</x:f>
        <x:v>0</x:v>
      </x:c>
      <x:c r="E53" s="109" t="n">
        <x:f>COUNTIFS(Votaciones!$A$2:$A$336,B53,Votaciones!$D$2:$D$336,"Disenso restrictivo")</x:f>
        <x:v>0</x:v>
      </x:c>
      <x:c r="F53" s="109" t="n">
        <x:f>COUNTIFS(Votaciones!$A$2:$A$336,B53,Votaciones!$D$2:$D$336,"Disenso acomodaticio")</x:f>
        <x:v>0</x:v>
      </x:c>
    </x:row>
    <x:row r="54">
      <x:c r="A54" s="101" t="n">
        <x:f>Decisiones!B54</x:f>
        <x:v>38695</x:v>
      </x:c>
      <x:c r="B54" s="104" t="str">
        <x:f>Decisiones!A54</x:f>
        <x:v>D20051209</x:v>
      </x:c>
      <x:c r="C54" s="108" t="n">
        <x:f>Decisiones!H54</x:f>
        <x:v>0</x:v>
      </x:c>
      <x:c r="D54" s="109" t="n">
        <x:f>Decisiones!G54</x:f>
        <x:v>0</x:v>
      </x:c>
      <x:c r="E54" s="109" t="n">
        <x:f>COUNTIFS(Votaciones!$A$2:$A$336,B54,Votaciones!$D$2:$D$336,"Disenso restrictivo")</x:f>
        <x:v>0</x:v>
      </x:c>
      <x:c r="F54" s="109" t="n">
        <x:f>COUNTIFS(Votaciones!$A$2:$A$336,B54,Votaciones!$D$2:$D$336,"Disenso acomodaticio")</x:f>
        <x:v>0</x:v>
      </x:c>
    </x:row>
    <x:row r="55">
      <x:c r="A55" s="101" t="n">
        <x:f>Decisiones!B55</x:f>
        <x:v>38744</x:v>
      </x:c>
      <x:c r="B55" s="104" t="str">
        <x:f>Decisiones!A55</x:f>
        <x:v>D20060127</x:v>
      </x:c>
      <x:c r="C55" s="108" t="n">
        <x:f>Decisiones!H55</x:f>
        <x:v>0</x:v>
      </x:c>
      <x:c r="D55" s="109" t="n">
        <x:f>Decisiones!G55</x:f>
        <x:v>0</x:v>
      </x:c>
      <x:c r="E55" s="109" t="n">
        <x:f>COUNTIFS(Votaciones!$A$2:$A$336,B55,Votaciones!$D$2:$D$336,"Disenso restrictivo")</x:f>
        <x:v>0</x:v>
      </x:c>
      <x:c r="F55" s="109" t="n">
        <x:f>COUNTIFS(Votaciones!$A$2:$A$336,B55,Votaciones!$D$2:$D$336,"Disenso acomodaticio")</x:f>
        <x:v>0</x:v>
      </x:c>
    </x:row>
    <x:row r="56">
      <x:c r="A56" s="101" t="n">
        <x:f>Decisiones!B56</x:f>
        <x:v>38772</x:v>
      </x:c>
      <x:c r="B56" s="104" t="str">
        <x:f>Decisiones!A56</x:f>
        <x:v>D20060224</x:v>
      </x:c>
      <x:c r="C56" s="108" t="n">
        <x:f>Decisiones!H56</x:f>
        <x:v>0</x:v>
      </x:c>
      <x:c r="D56" s="109" t="n">
        <x:f>Decisiones!G56</x:f>
        <x:v>0</x:v>
      </x:c>
      <x:c r="E56" s="109" t="n">
        <x:f>COUNTIFS(Votaciones!$A$2:$A$336,B56,Votaciones!$D$2:$D$336,"Disenso restrictivo")</x:f>
        <x:v>0</x:v>
      </x:c>
      <x:c r="F56" s="109" t="n">
        <x:f>COUNTIFS(Votaciones!$A$2:$A$336,B56,Votaciones!$D$2:$D$336,"Disenso acomodaticio")</x:f>
        <x:v>0</x:v>
      </x:c>
    </x:row>
    <x:row r="57">
      <x:c r="A57" s="101" t="n">
        <x:f>Decisiones!B57</x:f>
        <x:v>38800</x:v>
      </x:c>
      <x:c r="B57" s="104" t="str">
        <x:f>Decisiones!A57</x:f>
        <x:v>D20060324</x:v>
      </x:c>
      <x:c r="C57" s="108" t="n">
        <x:f>Decisiones!H57</x:f>
        <x:v>0</x:v>
      </x:c>
      <x:c r="D57" s="109" t="n">
        <x:f>Decisiones!G57</x:f>
        <x:v>0</x:v>
      </x:c>
      <x:c r="E57" s="109" t="n">
        <x:f>COUNTIFS(Votaciones!$A$2:$A$336,B57,Votaciones!$D$2:$D$336,"Disenso restrictivo")</x:f>
        <x:v>0</x:v>
      </x:c>
      <x:c r="F57" s="109" t="n">
        <x:f>COUNTIFS(Votaciones!$A$2:$A$336,B57,Votaciones!$D$2:$D$336,"Disenso acomodaticio")</x:f>
        <x:v>0</x:v>
      </x:c>
    </x:row>
    <x:row r="58">
      <x:c r="A58" s="101" t="n">
        <x:f>Decisiones!B58</x:f>
        <x:v>38828</x:v>
      </x:c>
      <x:c r="B58" s="104" t="str">
        <x:f>Decisiones!A58</x:f>
        <x:v>D20060421</x:v>
      </x:c>
      <x:c r="C58" s="108" t="n">
        <x:f>Decisiones!H58</x:f>
        <x:v>0</x:v>
      </x:c>
      <x:c r="D58" s="109" t="n">
        <x:f>Decisiones!G58</x:f>
        <x:v>0</x:v>
      </x:c>
      <x:c r="E58" s="109" t="n">
        <x:f>COUNTIFS(Votaciones!$A$2:$A$336,B58,Votaciones!$D$2:$D$336,"Disenso restrictivo")</x:f>
        <x:v>0</x:v>
      </x:c>
      <x:c r="F58" s="109" t="n">
        <x:f>COUNTIFS(Votaciones!$A$2:$A$336,B58,Votaciones!$D$2:$D$336,"Disenso acomodaticio")</x:f>
        <x:v>0</x:v>
      </x:c>
    </x:row>
    <x:row r="59">
      <x:c r="A59" s="101" t="n">
        <x:f>Decisiones!B59</x:f>
        <x:v>38863</x:v>
      </x:c>
      <x:c r="B59" s="104" t="str">
        <x:f>Decisiones!A59</x:f>
        <x:v>D20060526</x:v>
      </x:c>
      <x:c r="C59" s="108" t="n">
        <x:f>Decisiones!H59</x:f>
        <x:v>0</x:v>
      </x:c>
      <x:c r="D59" s="109" t="n">
        <x:f>Decisiones!G59</x:f>
        <x:v>0</x:v>
      </x:c>
      <x:c r="E59" s="109" t="n">
        <x:f>COUNTIFS(Votaciones!$A$2:$A$336,B59,Votaciones!$D$2:$D$336,"Disenso restrictivo")</x:f>
        <x:v>0</x:v>
      </x:c>
      <x:c r="F59" s="109" t="n">
        <x:f>COUNTIFS(Votaciones!$A$2:$A$336,B59,Votaciones!$D$2:$D$336,"Disenso acomodaticio")</x:f>
        <x:v>0</x:v>
      </x:c>
    </x:row>
    <x:row r="60">
      <x:c r="A60" s="101" t="n">
        <x:f>Decisiones!B60</x:f>
        <x:v>38891</x:v>
      </x:c>
      <x:c r="B60" s="104" t="str">
        <x:f>Decisiones!A60</x:f>
        <x:v>D20060623</x:v>
      </x:c>
      <x:c r="C60" s="108" t="n">
        <x:f>Decisiones!H60</x:f>
        <x:v>0</x:v>
      </x:c>
      <x:c r="D60" s="109" t="n">
        <x:f>Decisiones!G60</x:f>
        <x:v>0</x:v>
      </x:c>
      <x:c r="E60" s="109" t="n">
        <x:f>COUNTIFS(Votaciones!$A$2:$A$336,B60,Votaciones!$D$2:$D$336,"Disenso restrictivo")</x:f>
        <x:v>0</x:v>
      </x:c>
      <x:c r="F60" s="109" t="n">
        <x:f>COUNTIFS(Votaciones!$A$2:$A$336,B60,Votaciones!$D$2:$D$336,"Disenso acomodaticio")</x:f>
        <x:v>0</x:v>
      </x:c>
    </x:row>
    <x:row r="61">
      <x:c r="A61" s="101" t="n">
        <x:f>Decisiones!B61</x:f>
        <x:v>38926</x:v>
      </x:c>
      <x:c r="B61" s="104" t="str">
        <x:f>Decisiones!A61</x:f>
        <x:v>D20060728</x:v>
      </x:c>
      <x:c r="C61" s="108" t="n">
        <x:f>Decisiones!H61</x:f>
        <x:v>0</x:v>
      </x:c>
      <x:c r="D61" s="109" t="n">
        <x:f>Decisiones!G61</x:f>
        <x:v>0</x:v>
      </x:c>
      <x:c r="E61" s="109" t="n">
        <x:f>COUNTIFS(Votaciones!$A$2:$A$336,B61,Votaciones!$D$2:$D$336,"Disenso restrictivo")</x:f>
        <x:v>0</x:v>
      </x:c>
      <x:c r="F61" s="109" t="n">
        <x:f>COUNTIFS(Votaciones!$A$2:$A$336,B61,Votaciones!$D$2:$D$336,"Disenso acomodaticio")</x:f>
        <x:v>0</x:v>
      </x:c>
    </x:row>
    <x:row r="62">
      <x:c r="A62" s="101" t="n">
        <x:f>Decisiones!B62</x:f>
        <x:v>38954</x:v>
      </x:c>
      <x:c r="B62" s="104" t="str">
        <x:f>Decisiones!A62</x:f>
        <x:v>D20060825</x:v>
      </x:c>
      <x:c r="C62" s="108" t="n">
        <x:f>Decisiones!H62</x:f>
        <x:v>0</x:v>
      </x:c>
      <x:c r="D62" s="109" t="n">
        <x:f>Decisiones!G62</x:f>
        <x:v>0</x:v>
      </x:c>
      <x:c r="E62" s="109" t="n">
        <x:f>COUNTIFS(Votaciones!$A$2:$A$336,B62,Votaciones!$D$2:$D$336,"Disenso restrictivo")</x:f>
        <x:v>0</x:v>
      </x:c>
      <x:c r="F62" s="109" t="n">
        <x:f>COUNTIFS(Votaciones!$A$2:$A$336,B62,Votaciones!$D$2:$D$336,"Disenso acomodaticio")</x:f>
        <x:v>0</x:v>
      </x:c>
    </x:row>
    <x:row r="63">
      <x:c r="A63" s="101" t="n">
        <x:f>Decisiones!B63</x:f>
        <x:v>38982</x:v>
      </x:c>
      <x:c r="B63" s="104" t="str">
        <x:f>Decisiones!A63</x:f>
        <x:v>D20060922</x:v>
      </x:c>
      <x:c r="C63" s="108" t="n">
        <x:f>Decisiones!H63</x:f>
        <x:v>0</x:v>
      </x:c>
      <x:c r="D63" s="109" t="n">
        <x:f>Decisiones!G63</x:f>
        <x:v>0</x:v>
      </x:c>
      <x:c r="E63" s="109" t="n">
        <x:f>COUNTIFS(Votaciones!$A$2:$A$336,B63,Votaciones!$D$2:$D$336,"Disenso restrictivo")</x:f>
        <x:v>0</x:v>
      </x:c>
      <x:c r="F63" s="109" t="n">
        <x:f>COUNTIFS(Votaciones!$A$2:$A$336,B63,Votaciones!$D$2:$D$336,"Disenso acomodaticio")</x:f>
        <x:v>0</x:v>
      </x:c>
    </x:row>
    <x:row r="64">
      <x:c r="A64" s="101" t="n">
        <x:f>Decisiones!B64</x:f>
        <x:v>39017</x:v>
      </x:c>
      <x:c r="B64" s="104" t="str">
        <x:f>Decisiones!A64</x:f>
        <x:v>D20061027</x:v>
      </x:c>
      <x:c r="C64" s="108" t="n">
        <x:f>Decisiones!H64</x:f>
        <x:v>0</x:v>
      </x:c>
      <x:c r="D64" s="109" t="n">
        <x:f>Decisiones!G64</x:f>
        <x:v>0</x:v>
      </x:c>
      <x:c r="E64" s="109" t="n">
        <x:f>COUNTIFS(Votaciones!$A$2:$A$336,B64,Votaciones!$D$2:$D$336,"Disenso restrictivo")</x:f>
        <x:v>0</x:v>
      </x:c>
      <x:c r="F64" s="109" t="n">
        <x:f>COUNTIFS(Votaciones!$A$2:$A$336,B64,Votaciones!$D$2:$D$336,"Disenso acomodaticio")</x:f>
        <x:v>0</x:v>
      </x:c>
    </x:row>
    <x:row r="65">
      <x:c r="A65" s="101" t="n">
        <x:f>Decisiones!B65</x:f>
        <x:v>39045</x:v>
      </x:c>
      <x:c r="B65" s="104" t="str">
        <x:f>Decisiones!A65</x:f>
        <x:v>D20061124</x:v>
      </x:c>
      <x:c r="C65" s="108" t="n">
        <x:f>Decisiones!H65</x:f>
        <x:v>0</x:v>
      </x:c>
      <x:c r="D65" s="109" t="n">
        <x:f>Decisiones!G65</x:f>
        <x:v>0</x:v>
      </x:c>
      <x:c r="E65" s="109" t="n">
        <x:f>COUNTIFS(Votaciones!$A$2:$A$336,B65,Votaciones!$D$2:$D$336,"Disenso restrictivo")</x:f>
        <x:v>0</x:v>
      </x:c>
      <x:c r="F65" s="109" t="n">
        <x:f>COUNTIFS(Votaciones!$A$2:$A$336,B65,Votaciones!$D$2:$D$336,"Disenso acomodaticio")</x:f>
        <x:v>0</x:v>
      </x:c>
    </x:row>
    <x:row r="66">
      <x:c r="A66" s="101" t="n">
        <x:f>Decisiones!B66</x:f>
        <x:v>39059</x:v>
      </x:c>
      <x:c r="B66" s="104" t="str">
        <x:f>Decisiones!A66</x:f>
        <x:v>D20061208</x:v>
      </x:c>
      <x:c r="C66" s="108" t="n">
        <x:f>Decisiones!H66</x:f>
        <x:v>0</x:v>
      </x:c>
      <x:c r="D66" s="109" t="n">
        <x:f>Decisiones!G66</x:f>
        <x:v>0</x:v>
      </x:c>
      <x:c r="E66" s="109" t="n">
        <x:f>COUNTIFS(Votaciones!$A$2:$A$336,B66,Votaciones!$D$2:$D$336,"Disenso restrictivo")</x:f>
        <x:v>0</x:v>
      </x:c>
      <x:c r="F66" s="109" t="n">
        <x:f>COUNTIFS(Votaciones!$A$2:$A$336,B66,Votaciones!$D$2:$D$336,"Disenso acomodaticio")</x:f>
        <x:v>0</x:v>
      </x:c>
    </x:row>
    <x:row r="67">
      <x:c r="A67" s="101" t="n">
        <x:f>Decisiones!B67</x:f>
        <x:v>39108</x:v>
      </x:c>
      <x:c r="B67" s="104" t="str">
        <x:f>Decisiones!A67</x:f>
        <x:v>D20070126</x:v>
      </x:c>
      <x:c r="C67" s="108" t="n">
        <x:f>Decisiones!H67</x:f>
        <x:v>0</x:v>
      </x:c>
      <x:c r="D67" s="109" t="n">
        <x:f>Decisiones!G67</x:f>
        <x:v>0</x:v>
      </x:c>
      <x:c r="E67" s="109" t="n">
        <x:f>COUNTIFS(Votaciones!$A$2:$A$336,B67,Votaciones!$D$2:$D$336,"Disenso restrictivo")</x:f>
        <x:v>0</x:v>
      </x:c>
      <x:c r="F67" s="109" t="n">
        <x:f>COUNTIFS(Votaciones!$A$2:$A$336,B67,Votaciones!$D$2:$D$336,"Disenso acomodaticio")</x:f>
        <x:v>0</x:v>
      </x:c>
    </x:row>
    <x:row r="68">
      <x:c r="A68" s="101" t="n">
        <x:f>Decisiones!B68</x:f>
        <x:v>39136</x:v>
      </x:c>
      <x:c r="B68" s="104" t="str">
        <x:f>Decisiones!A68</x:f>
        <x:v>D20070223</x:v>
      </x:c>
      <x:c r="C68" s="108" t="n">
        <x:f>Decisiones!H68</x:f>
        <x:v>0</x:v>
      </x:c>
      <x:c r="D68" s="109" t="n">
        <x:f>Decisiones!G68</x:f>
        <x:v>0</x:v>
      </x:c>
      <x:c r="E68" s="109" t="n">
        <x:f>COUNTIFS(Votaciones!$A$2:$A$336,B68,Votaciones!$D$2:$D$336,"Disenso restrictivo")</x:f>
        <x:v>0</x:v>
      </x:c>
      <x:c r="F68" s="109" t="n">
        <x:f>COUNTIFS(Votaciones!$A$2:$A$336,B68,Votaciones!$D$2:$D$336,"Disenso acomodaticio")</x:f>
        <x:v>0</x:v>
      </x:c>
    </x:row>
    <x:row r="69">
      <x:c r="A69" s="101" t="n">
        <x:f>Decisiones!B69</x:f>
        <x:v>39164</x:v>
      </x:c>
      <x:c r="B69" s="104" t="str">
        <x:f>Decisiones!A69</x:f>
        <x:v>D20070323</x:v>
      </x:c>
      <x:c r="C69" s="108" t="n">
        <x:f>Decisiones!H69</x:f>
        <x:v>0</x:v>
      </x:c>
      <x:c r="D69" s="109" t="n">
        <x:f>Decisiones!G69</x:f>
        <x:v>0</x:v>
      </x:c>
      <x:c r="E69" s="109" t="n">
        <x:f>COUNTIFS(Votaciones!$A$2:$A$336,B69,Votaciones!$D$2:$D$336,"Disenso restrictivo")</x:f>
        <x:v>0</x:v>
      </x:c>
      <x:c r="F69" s="109" t="n">
        <x:f>COUNTIFS(Votaciones!$A$2:$A$336,B69,Votaciones!$D$2:$D$336,"Disenso acomodaticio")</x:f>
        <x:v>0</x:v>
      </x:c>
    </x:row>
    <x:row r="70">
      <x:c r="A70" s="101" t="n">
        <x:f>Decisiones!B70</x:f>
        <x:v>39199</x:v>
      </x:c>
      <x:c r="B70" s="104" t="str">
        <x:f>Decisiones!A70</x:f>
        <x:v>D20070427</x:v>
      </x:c>
      <x:c r="C70" s="108" t="n">
        <x:f>Decisiones!H70</x:f>
        <x:v>0</x:v>
      </x:c>
      <x:c r="D70" s="109" t="n">
        <x:f>Decisiones!G70</x:f>
        <x:v>25</x:v>
      </x:c>
      <x:c r="E70" s="109" t="n">
        <x:f>COUNTIFS(Votaciones!$A$2:$A$336,B70,Votaciones!$D$2:$D$336,"Disenso restrictivo")</x:f>
        <x:v>0</x:v>
      </x:c>
      <x:c r="F70" s="109" t="n">
        <x:f>COUNTIFS(Votaciones!$A$2:$A$336,B70,Votaciones!$D$2:$D$336,"Disenso acomodaticio")</x:f>
        <x:v>0</x:v>
      </x:c>
    </x:row>
    <x:row r="71">
      <x:c r="A71" s="101" t="n">
        <x:f>Decisiones!B71</x:f>
        <x:v>39227</x:v>
      </x:c>
      <x:c r="B71" s="104" t="str">
        <x:f>Decisiones!A71</x:f>
        <x:v>D20070525</x:v>
      </x:c>
      <x:c r="C71" s="108" t="n">
        <x:f>Decisiones!H71</x:f>
        <x:v>0</x:v>
      </x:c>
      <x:c r="D71" s="109" t="n">
        <x:f>Decisiones!G71</x:f>
        <x:v>0</x:v>
      </x:c>
      <x:c r="E71" s="109" t="n">
        <x:f>COUNTIFS(Votaciones!$A$2:$A$336,B71,Votaciones!$D$2:$D$336,"Disenso restrictivo")</x:f>
        <x:v>0</x:v>
      </x:c>
      <x:c r="F71" s="109" t="n">
        <x:f>COUNTIFS(Votaciones!$A$2:$A$336,B71,Votaciones!$D$2:$D$336,"Disenso acomodaticio")</x:f>
        <x:v>0</x:v>
      </x:c>
    </x:row>
    <x:row r="72">
      <x:c r="A72" s="101" t="n">
        <x:f>Decisiones!B72</x:f>
        <x:v>39255</x:v>
      </x:c>
      <x:c r="B72" s="104" t="str">
        <x:f>Decisiones!A72</x:f>
        <x:v>D20070622</x:v>
      </x:c>
      <x:c r="C72" s="108" t="n">
        <x:f>Decisiones!H72</x:f>
        <x:v>0</x:v>
      </x:c>
      <x:c r="D72" s="109" t="n">
        <x:f>Decisiones!G72</x:f>
        <x:v>0</x:v>
      </x:c>
      <x:c r="E72" s="109" t="n">
        <x:f>COUNTIFS(Votaciones!$A$2:$A$336,B72,Votaciones!$D$2:$D$336,"Disenso restrictivo")</x:f>
        <x:v>0</x:v>
      </x:c>
      <x:c r="F72" s="109" t="n">
        <x:f>COUNTIFS(Votaciones!$A$2:$A$336,B72,Votaciones!$D$2:$D$336,"Disenso acomodaticio")</x:f>
        <x:v>0</x:v>
      </x:c>
    </x:row>
    <x:row r="73">
      <x:c r="A73" s="101" t="n">
        <x:f>Decisiones!B73</x:f>
        <x:v>39290</x:v>
      </x:c>
      <x:c r="B73" s="104" t="str">
        <x:f>Decisiones!A73</x:f>
        <x:v>D20070727</x:v>
      </x:c>
      <x:c r="C73" s="108" t="n">
        <x:f>Decisiones!H73</x:f>
        <x:v>0</x:v>
      </x:c>
      <x:c r="D73" s="109" t="n">
        <x:f>Decisiones!G73</x:f>
        <x:v>0</x:v>
      </x:c>
      <x:c r="E73" s="109" t="n">
        <x:f>COUNTIFS(Votaciones!$A$2:$A$336,B73,Votaciones!$D$2:$D$336,"Disenso restrictivo")</x:f>
        <x:v>0</x:v>
      </x:c>
      <x:c r="F73" s="109" t="n">
        <x:f>COUNTIFS(Votaciones!$A$2:$A$336,B73,Votaciones!$D$2:$D$336,"Disenso acomodaticio")</x:f>
        <x:v>0</x:v>
      </x:c>
    </x:row>
    <x:row r="74">
      <x:c r="A74" s="101" t="n">
        <x:f>Decisiones!B74</x:f>
        <x:v>39318</x:v>
      </x:c>
      <x:c r="B74" s="104" t="str">
        <x:f>Decisiones!A74</x:f>
        <x:v>D20070824</x:v>
      </x:c>
      <x:c r="C74" s="108" t="n">
        <x:f>Decisiones!H74</x:f>
        <x:v>0</x:v>
      </x:c>
      <x:c r="D74" s="109" t="n">
        <x:f>Decisiones!G74</x:f>
        <x:v>0</x:v>
      </x:c>
      <x:c r="E74" s="109" t="n">
        <x:f>COUNTIFS(Votaciones!$A$2:$A$336,B74,Votaciones!$D$2:$D$336,"Disenso restrictivo")</x:f>
        <x:v>0</x:v>
      </x:c>
      <x:c r="F74" s="109" t="n">
        <x:f>COUNTIFS(Votaciones!$A$2:$A$336,B74,Votaciones!$D$2:$D$336,"Disenso acomodaticio")</x:f>
        <x:v>0</x:v>
      </x:c>
    </x:row>
    <x:row r="75">
      <x:c r="A75" s="101" t="n">
        <x:f>Decisiones!B75</x:f>
        <x:v>39346</x:v>
      </x:c>
      <x:c r="B75" s="104" t="str">
        <x:f>Decisiones!A75</x:f>
        <x:v>D20070921</x:v>
      </x:c>
      <x:c r="C75" s="108" t="n">
        <x:f>Decisiones!H75</x:f>
        <x:v>0</x:v>
      </x:c>
      <x:c r="D75" s="109" t="n">
        <x:f>Decisiones!G75</x:f>
        <x:v>0</x:v>
      </x:c>
      <x:c r="E75" s="109" t="n">
        <x:f>COUNTIFS(Votaciones!$A$2:$A$336,B75,Votaciones!$D$2:$D$336,"Disenso restrictivo")</x:f>
        <x:v>0</x:v>
      </x:c>
      <x:c r="F75" s="109" t="n">
        <x:f>COUNTIFS(Votaciones!$A$2:$A$336,B75,Votaciones!$D$2:$D$336,"Disenso acomodaticio")</x:f>
        <x:v>0</x:v>
      </x:c>
    </x:row>
    <x:row r="76">
      <x:c r="A76" s="101" t="n">
        <x:f>Decisiones!B76</x:f>
        <x:v>39381</x:v>
      </x:c>
      <x:c r="B76" s="104" t="str">
        <x:f>Decisiones!A76</x:f>
        <x:v>D20071026</x:v>
      </x:c>
      <x:c r="C76" s="108" t="n">
        <x:f>Decisiones!H76</x:f>
        <x:v>0</x:v>
      </x:c>
      <x:c r="D76" s="109" t="n">
        <x:f>Decisiones!G76</x:f>
        <x:v>25</x:v>
      </x:c>
      <x:c r="E76" s="109" t="n">
        <x:f>COUNTIFS(Votaciones!$A$2:$A$336,B76,Votaciones!$D$2:$D$336,"Disenso restrictivo")</x:f>
        <x:v>0</x:v>
      </x:c>
      <x:c r="F76" s="109" t="n">
        <x:f>COUNTIFS(Votaciones!$A$2:$A$336,B76,Votaciones!$D$2:$D$336,"Disenso acomodaticio")</x:f>
        <x:v>0</x:v>
      </x:c>
    </x:row>
    <x:row r="77">
      <x:c r="A77" s="101" t="n">
        <x:f>Decisiones!B77</x:f>
        <x:v>39409</x:v>
      </x:c>
      <x:c r="B77" s="104" t="str">
        <x:f>Decisiones!A77</x:f>
        <x:v>D20071123</x:v>
      </x:c>
      <x:c r="C77" s="108" t="n">
        <x:f>Decisiones!H77</x:f>
        <x:v>0</x:v>
      </x:c>
      <x:c r="D77" s="109" t="n">
        <x:f>Decisiones!G77</x:f>
        <x:v>0</x:v>
      </x:c>
      <x:c r="E77" s="109" t="n">
        <x:f>COUNTIFS(Votaciones!$A$2:$A$336,B77,Votaciones!$D$2:$D$336,"Disenso restrictivo")</x:f>
        <x:v>0</x:v>
      </x:c>
      <x:c r="F77" s="109" t="n">
        <x:f>COUNTIFS(Votaciones!$A$2:$A$336,B77,Votaciones!$D$2:$D$336,"Disenso acomodaticio")</x:f>
        <x:v>0</x:v>
      </x:c>
    </x:row>
    <x:row r="78">
      <x:c r="A78" s="101" t="n">
        <x:f>Decisiones!B78</x:f>
        <x:v>39423</x:v>
      </x:c>
      <x:c r="B78" s="104" t="str">
        <x:f>Decisiones!A78</x:f>
        <x:v>D20071207</x:v>
      </x:c>
      <x:c r="C78" s="108" t="n">
        <x:f>Decisiones!H78</x:f>
        <x:v>0</x:v>
      </x:c>
      <x:c r="D78" s="109" t="n">
        <x:f>Decisiones!G78</x:f>
        <x:v>0</x:v>
      </x:c>
      <x:c r="E78" s="109" t="n">
        <x:f>COUNTIFS(Votaciones!$A$2:$A$336,B78,Votaciones!$D$2:$D$336,"Disenso restrictivo")</x:f>
        <x:v>0</x:v>
      </x:c>
      <x:c r="F78" s="109" t="n">
        <x:f>COUNTIFS(Votaciones!$A$2:$A$336,B78,Votaciones!$D$2:$D$336,"Disenso acomodaticio")</x:f>
        <x:v>0</x:v>
      </x:c>
    </x:row>
    <x:row r="79">
      <x:c r="A79" s="101" t="n">
        <x:f>Decisiones!B79</x:f>
        <x:v>39465</x:v>
      </x:c>
      <x:c r="B79" s="104" t="str">
        <x:f>Decisiones!A79</x:f>
        <x:v>D20080118</x:v>
      </x:c>
      <x:c r="C79" s="108" t="n">
        <x:f>Decisiones!H79</x:f>
        <x:v>0</x:v>
      </x:c>
      <x:c r="D79" s="109" t="n">
        <x:f>Decisiones!G79</x:f>
        <x:v>0</x:v>
      </x:c>
      <x:c r="E79" s="109" t="n">
        <x:f>COUNTIFS(Votaciones!$A$2:$A$336,B79,Votaciones!$D$2:$D$336,"Disenso restrictivo")</x:f>
        <x:v>0</x:v>
      </x:c>
      <x:c r="F79" s="109" t="n">
        <x:f>COUNTIFS(Votaciones!$A$2:$A$336,B79,Votaciones!$D$2:$D$336,"Disenso acomodaticio")</x:f>
        <x:v>0</x:v>
      </x:c>
    </x:row>
    <x:row r="80">
      <x:c r="A80" s="101" t="n">
        <x:f>Decisiones!B80</x:f>
        <x:v>39493</x:v>
      </x:c>
      <x:c r="B80" s="104" t="str">
        <x:f>Decisiones!A80</x:f>
        <x:v>D20080215</x:v>
      </x:c>
      <x:c r="C80" s="108" t="n">
        <x:f>Decisiones!H80</x:f>
        <x:v>7.5</x:v>
      </x:c>
      <x:c r="D80" s="109" t="n">
        <x:f>Decisiones!G80</x:f>
        <x:v>0</x:v>
      </x:c>
      <x:c r="E80" s="109" t="n">
        <x:f>COUNTIFS(Votaciones!$A$2:$A$336,B80,Votaciones!$D$2:$D$336,"Disenso restrictivo")</x:f>
        <x:v>0</x:v>
      </x:c>
      <x:c r="F80" s="109" t="n">
        <x:f>COUNTIFS(Votaciones!$A$2:$A$336,B80,Votaciones!$D$2:$D$336,"Disenso acomodaticio")</x:f>
        <x:v>0</x:v>
      </x:c>
    </x:row>
    <x:row r="81">
      <x:c r="A81" s="101" t="n">
        <x:f>Decisiones!B81</x:f>
        <x:v>39521</x:v>
      </x:c>
      <x:c r="B81" s="104" t="str">
        <x:f>Decisiones!A81</x:f>
        <x:v>D20080314</x:v>
      </x:c>
      <x:c r="C81" s="108" t="n">
        <x:f>Decisiones!H81</x:f>
        <x:v>7.5</x:v>
      </x:c>
      <x:c r="D81" s="109" t="n">
        <x:f>Decisiones!G81</x:f>
        <x:v>0</x:v>
      </x:c>
      <x:c r="E81" s="109" t="n">
        <x:f>COUNTIFS(Votaciones!$A$2:$A$336,B81,Votaciones!$D$2:$D$336,"Disenso restrictivo")</x:f>
        <x:v>0</x:v>
      </x:c>
      <x:c r="F81" s="109" t="n">
        <x:f>COUNTIFS(Votaciones!$A$2:$A$336,B81,Votaciones!$D$2:$D$336,"Disenso acomodaticio")</x:f>
        <x:v>0</x:v>
      </x:c>
    </x:row>
    <x:row r="82">
      <x:c r="A82" s="101" t="n">
        <x:f>Decisiones!B82</x:f>
        <x:v>39556</x:v>
      </x:c>
      <x:c r="B82" s="104" t="str">
        <x:f>Decisiones!A82</x:f>
        <x:v>D20080418</x:v>
      </x:c>
      <x:c r="C82" s="108" t="n">
        <x:f>Decisiones!H82</x:f>
        <x:v>7.5</x:v>
      </x:c>
      <x:c r="D82" s="109" t="n">
        <x:f>Decisiones!G82</x:f>
        <x:v>0</x:v>
      </x:c>
      <x:c r="E82" s="109" t="n">
        <x:f>COUNTIFS(Votaciones!$A$2:$A$336,B82,Votaciones!$D$2:$D$336,"Disenso restrictivo")</x:f>
        <x:v>0</x:v>
      </x:c>
      <x:c r="F82" s="109" t="n">
        <x:f>COUNTIFS(Votaciones!$A$2:$A$336,B82,Votaciones!$D$2:$D$336,"Disenso acomodaticio")</x:f>
        <x:v>0</x:v>
      </x:c>
    </x:row>
    <x:row r="83">
      <x:c r="A83" s="101" t="n">
        <x:f>Decisiones!B83</x:f>
        <x:v>39584</x:v>
      </x:c>
      <x:c r="B83" s="104" t="str">
        <x:f>Decisiones!A83</x:f>
        <x:v>D20080516</x:v>
      </x:c>
      <x:c r="C83" s="108" t="n">
        <x:f>Decisiones!H83</x:f>
        <x:v>7.5</x:v>
      </x:c>
      <x:c r="D83" s="109" t="n">
        <x:f>Decisiones!G83</x:f>
        <x:v>0</x:v>
      </x:c>
      <x:c r="E83" s="109" t="n">
        <x:f>COUNTIFS(Votaciones!$A$2:$A$336,B83,Votaciones!$D$2:$D$336,"Disenso restrictivo")</x:f>
        <x:v>0</x:v>
      </x:c>
      <x:c r="F83" s="109" t="n">
        <x:f>COUNTIFS(Votaciones!$A$2:$A$336,B83,Votaciones!$D$2:$D$336,"Disenso acomodaticio")</x:f>
        <x:v>0</x:v>
      </x:c>
    </x:row>
    <x:row r="84">
      <x:c r="A84" s="101" t="n">
        <x:f>Decisiones!B84</x:f>
        <x:v>39619</x:v>
      </x:c>
      <x:c r="B84" s="104" t="str">
        <x:f>Decisiones!A84</x:f>
        <x:v>D20080620</x:v>
      </x:c>
      <x:c r="C84" s="108" t="n">
        <x:f>Decisiones!H84</x:f>
        <x:v>7.75</x:v>
      </x:c>
      <x:c r="D84" s="109" t="n">
        <x:f>Decisiones!G84</x:f>
        <x:v>25</x:v>
      </x:c>
      <x:c r="E84" s="109" t="n">
        <x:f>COUNTIFS(Votaciones!$A$2:$A$336,B84,Votaciones!$D$2:$D$336,"Disenso restrictivo")</x:f>
        <x:v>0</x:v>
      </x:c>
      <x:c r="F84" s="109" t="n">
        <x:f>COUNTIFS(Votaciones!$A$2:$A$336,B84,Votaciones!$D$2:$D$336,"Disenso acomodaticio")</x:f>
        <x:v>0</x:v>
      </x:c>
    </x:row>
    <x:row r="85">
      <x:c r="A85" s="101" t="n">
        <x:f>Decisiones!B85</x:f>
        <x:v>39647</x:v>
      </x:c>
      <x:c r="B85" s="104" t="str">
        <x:f>Decisiones!A85</x:f>
        <x:v>D20080718</x:v>
      </x:c>
      <x:c r="C85" s="108" t="n">
        <x:f>Decisiones!H85</x:f>
        <x:v>8</x:v>
      </x:c>
      <x:c r="D85" s="109" t="n">
        <x:f>Decisiones!G85</x:f>
        <x:v>25</x:v>
      </x:c>
      <x:c r="E85" s="109" t="n">
        <x:f>COUNTIFS(Votaciones!$A$2:$A$336,B85,Votaciones!$D$2:$D$336,"Disenso restrictivo")</x:f>
        <x:v>0</x:v>
      </x:c>
      <x:c r="F85" s="109" t="n">
        <x:f>COUNTIFS(Votaciones!$A$2:$A$336,B85,Votaciones!$D$2:$D$336,"Disenso acomodaticio")</x:f>
        <x:v>0</x:v>
      </x:c>
    </x:row>
    <x:row r="86">
      <x:c r="A86" s="101" t="n">
        <x:f>Decisiones!B86</x:f>
        <x:v>39675</x:v>
      </x:c>
      <x:c r="B86" s="104" t="str">
        <x:f>Decisiones!A86</x:f>
        <x:v>D20080815</x:v>
      </x:c>
      <x:c r="C86" s="108" t="n">
        <x:f>Decisiones!H86</x:f>
        <x:v>8.25</x:v>
      </x:c>
      <x:c r="D86" s="109" t="n">
        <x:f>Decisiones!G86</x:f>
        <x:v>25</x:v>
      </x:c>
      <x:c r="E86" s="109" t="n">
        <x:f>COUNTIFS(Votaciones!$A$2:$A$336,B86,Votaciones!$D$2:$D$336,"Disenso restrictivo")</x:f>
        <x:v>0</x:v>
      </x:c>
      <x:c r="F86" s="109" t="n">
        <x:f>COUNTIFS(Votaciones!$A$2:$A$336,B86,Votaciones!$D$2:$D$336,"Disenso acomodaticio")</x:f>
        <x:v>0</x:v>
      </x:c>
    </x:row>
    <x:row r="87">
      <x:c r="A87" s="101" t="n">
        <x:f>Decisiones!B87</x:f>
        <x:v>39710</x:v>
      </x:c>
      <x:c r="B87" s="104" t="str">
        <x:f>Decisiones!A87</x:f>
        <x:v>D20080919</x:v>
      </x:c>
      <x:c r="C87" s="108" t="n">
        <x:f>Decisiones!H87</x:f>
        <x:v>8.25</x:v>
      </x:c>
      <x:c r="D87" s="109" t="n">
        <x:f>Decisiones!G87</x:f>
        <x:v>0</x:v>
      </x:c>
      <x:c r="E87" s="109" t="n">
        <x:f>COUNTIFS(Votaciones!$A$2:$A$336,B87,Votaciones!$D$2:$D$336,"Disenso restrictivo")</x:f>
        <x:v>0</x:v>
      </x:c>
      <x:c r="F87" s="109" t="n">
        <x:f>COUNTIFS(Votaciones!$A$2:$A$336,B87,Votaciones!$D$2:$D$336,"Disenso acomodaticio")</x:f>
        <x:v>0</x:v>
      </x:c>
    </x:row>
    <x:row r="88">
      <x:c r="A88" s="101" t="n">
        <x:f>Decisiones!B88</x:f>
        <x:v>39738</x:v>
      </x:c>
      <x:c r="B88" s="104" t="str">
        <x:f>Decisiones!A88</x:f>
        <x:v>D20081017</x:v>
      </x:c>
      <x:c r="C88" s="108" t="n">
        <x:f>Decisiones!H88</x:f>
        <x:v>8.25</x:v>
      </x:c>
      <x:c r="D88" s="109" t="n">
        <x:f>Decisiones!G88</x:f>
        <x:v>0</x:v>
      </x:c>
      <x:c r="E88" s="109" t="n">
        <x:f>COUNTIFS(Votaciones!$A$2:$A$336,B88,Votaciones!$D$2:$D$336,"Disenso restrictivo")</x:f>
        <x:v>0</x:v>
      </x:c>
      <x:c r="F88" s="109" t="n">
        <x:f>COUNTIFS(Votaciones!$A$2:$A$336,B88,Votaciones!$D$2:$D$336,"Disenso acomodaticio")</x:f>
        <x:v>0</x:v>
      </x:c>
    </x:row>
    <x:row r="89">
      <x:c r="A89" s="101" t="n">
        <x:f>Decisiones!B89</x:f>
        <x:v>39780</x:v>
      </x:c>
      <x:c r="B89" s="104" t="str">
        <x:f>Decisiones!A89</x:f>
        <x:v>D20081128</x:v>
      </x:c>
      <x:c r="C89" s="108" t="n">
        <x:f>Decisiones!H89</x:f>
        <x:v>8.25</x:v>
      </x:c>
      <x:c r="D89" s="109" t="n">
        <x:f>Decisiones!G89</x:f>
        <x:v>0</x:v>
      </x:c>
      <x:c r="E89" s="109" t="n">
        <x:f>COUNTIFS(Votaciones!$A$2:$A$336,B89,Votaciones!$D$2:$D$336,"Disenso restrictivo")</x:f>
        <x:v>0</x:v>
      </x:c>
      <x:c r="F89" s="109" t="n">
        <x:f>COUNTIFS(Votaciones!$A$2:$A$336,B89,Votaciones!$D$2:$D$336,"Disenso acomodaticio")</x:f>
        <x:v>0</x:v>
      </x:c>
    </x:row>
    <x:row r="90">
      <x:c r="A90" s="101" t="n">
        <x:f>Decisiones!B90</x:f>
        <x:v>39829</x:v>
      </x:c>
      <x:c r="B90" s="104" t="str">
        <x:f>Decisiones!A90</x:f>
        <x:v>D20090116</x:v>
      </x:c>
      <x:c r="C90" s="108" t="n">
        <x:f>Decisiones!H90</x:f>
        <x:v>7.75</x:v>
      </x:c>
      <x:c r="D90" s="109" t="n">
        <x:f>Decisiones!G90</x:f>
        <x:v>-50</x:v>
      </x:c>
      <x:c r="E90" s="109" t="n">
        <x:f>COUNTIFS(Votaciones!$A$2:$A$336,B90,Votaciones!$D$2:$D$336,"Disenso restrictivo")</x:f>
        <x:v>0</x:v>
      </x:c>
      <x:c r="F90" s="109" t="n">
        <x:f>COUNTIFS(Votaciones!$A$2:$A$336,B90,Votaciones!$D$2:$D$336,"Disenso acomodaticio")</x:f>
        <x:v>0</x:v>
      </x:c>
    </x:row>
    <x:row r="91">
      <x:c r="A91" s="101" t="n">
        <x:f>Decisiones!B91</x:f>
        <x:v>39864</x:v>
      </x:c>
      <x:c r="B91" s="104" t="str">
        <x:f>Decisiones!A91</x:f>
        <x:v>D20090220</x:v>
      </x:c>
      <x:c r="C91" s="108" t="n">
        <x:f>Decisiones!H91</x:f>
        <x:v>7.5</x:v>
      </x:c>
      <x:c r="D91" s="109" t="n">
        <x:f>Decisiones!G91</x:f>
        <x:v>-25</x:v>
      </x:c>
      <x:c r="E91" s="109" t="n">
        <x:f>COUNTIFS(Votaciones!$A$2:$A$336,B91,Votaciones!$D$2:$D$336,"Disenso restrictivo")</x:f>
        <x:v>0</x:v>
      </x:c>
      <x:c r="F91" s="109" t="n">
        <x:f>COUNTIFS(Votaciones!$A$2:$A$336,B91,Votaciones!$D$2:$D$336,"Disenso acomodaticio")</x:f>
        <x:v>0</x:v>
      </x:c>
    </x:row>
    <x:row r="92">
      <x:c r="A92" s="101" t="n">
        <x:f>Decisiones!B92</x:f>
        <x:v>39892</x:v>
      </x:c>
      <x:c r="B92" s="104" t="str">
        <x:f>Decisiones!A92</x:f>
        <x:v>D20090320</x:v>
      </x:c>
      <x:c r="C92" s="108" t="n">
        <x:f>Decisiones!H92</x:f>
        <x:v>6.75</x:v>
      </x:c>
      <x:c r="D92" s="109" t="n">
        <x:f>Decisiones!G92</x:f>
        <x:v>-75</x:v>
      </x:c>
      <x:c r="E92" s="109" t="n">
        <x:f>COUNTIFS(Votaciones!$A$2:$A$336,B92,Votaciones!$D$2:$D$336,"Disenso restrictivo")</x:f>
        <x:v>0</x:v>
      </x:c>
      <x:c r="F92" s="109" t="n">
        <x:f>COUNTIFS(Votaciones!$A$2:$A$336,B92,Votaciones!$D$2:$D$336,"Disenso acomodaticio")</x:f>
        <x:v>0</x:v>
      </x:c>
    </x:row>
    <x:row r="93">
      <x:c r="A93" s="101" t="n">
        <x:f>Decisiones!B93</x:f>
        <x:v>39920</x:v>
      </x:c>
      <x:c r="B93" s="104" t="str">
        <x:f>Decisiones!A93</x:f>
        <x:v>D20090417</x:v>
      </x:c>
      <x:c r="C93" s="108" t="n">
        <x:f>Decisiones!H93</x:f>
        <x:v>6</x:v>
      </x:c>
      <x:c r="D93" s="109" t="n">
        <x:f>Decisiones!G93</x:f>
        <x:v>-75</x:v>
      </x:c>
      <x:c r="E93" s="109" t="n">
        <x:f>COUNTIFS(Votaciones!$A$2:$A$336,B93,Votaciones!$D$2:$D$336,"Disenso restrictivo")</x:f>
        <x:v>0</x:v>
      </x:c>
      <x:c r="F93" s="109" t="n">
        <x:f>COUNTIFS(Votaciones!$A$2:$A$336,B93,Votaciones!$D$2:$D$336,"Disenso acomodaticio")</x:f>
        <x:v>0</x:v>
      </x:c>
    </x:row>
    <x:row r="94">
      <x:c r="A94" s="101" t="n">
        <x:f>Decisiones!B94</x:f>
        <x:v>39948</x:v>
      </x:c>
      <x:c r="B94" s="104" t="str">
        <x:f>Decisiones!A94</x:f>
        <x:v>D20090515</x:v>
      </x:c>
      <x:c r="C94" s="108" t="n">
        <x:f>Decisiones!H94</x:f>
        <x:v>5.25</x:v>
      </x:c>
      <x:c r="D94" s="109" t="n">
        <x:f>Decisiones!G94</x:f>
        <x:v>-75</x:v>
      </x:c>
      <x:c r="E94" s="109" t="n">
        <x:f>COUNTIFS(Votaciones!$A$2:$A$336,B94,Votaciones!$D$2:$D$336,"Disenso restrictivo")</x:f>
        <x:v>0</x:v>
      </x:c>
      <x:c r="F94" s="109" t="n">
        <x:f>COUNTIFS(Votaciones!$A$2:$A$336,B94,Votaciones!$D$2:$D$336,"Disenso acomodaticio")</x:f>
        <x:v>0</x:v>
      </x:c>
    </x:row>
    <x:row r="95">
      <x:c r="A95" s="101" t="n">
        <x:f>Decisiones!B95</x:f>
        <x:v>39983</x:v>
      </x:c>
      <x:c r="B95" s="104" t="str">
        <x:f>Decisiones!A95</x:f>
        <x:v>D20090619</x:v>
      </x:c>
      <x:c r="C95" s="108" t="n">
        <x:f>Decisiones!H95</x:f>
        <x:v>4.75</x:v>
      </x:c>
      <x:c r="D95" s="109" t="n">
        <x:f>Decisiones!G95</x:f>
        <x:v>-50</x:v>
      </x:c>
      <x:c r="E95" s="109" t="n">
        <x:f>COUNTIFS(Votaciones!$A$2:$A$336,B95,Votaciones!$D$2:$D$336,"Disenso restrictivo")</x:f>
        <x:v>0</x:v>
      </x:c>
      <x:c r="F95" s="109" t="n">
        <x:f>COUNTIFS(Votaciones!$A$2:$A$336,B95,Votaciones!$D$2:$D$336,"Disenso acomodaticio")</x:f>
        <x:v>0</x:v>
      </x:c>
    </x:row>
    <x:row r="96">
      <x:c r="A96" s="101" t="n">
        <x:f>Decisiones!B96</x:f>
        <x:v>40011</x:v>
      </x:c>
      <x:c r="B96" s="104" t="str">
        <x:f>Decisiones!A96</x:f>
        <x:v>D20090717</x:v>
      </x:c>
      <x:c r="C96" s="108" t="n">
        <x:f>Decisiones!H96</x:f>
        <x:v>4.5</x:v>
      </x:c>
      <x:c r="D96" s="109" t="n">
        <x:f>Decisiones!G96</x:f>
        <x:v>-25</x:v>
      </x:c>
      <x:c r="E96" s="109" t="n">
        <x:f>COUNTIFS(Votaciones!$A$2:$A$336,B96,Votaciones!$D$2:$D$336,"Disenso restrictivo")</x:f>
        <x:v>0</x:v>
      </x:c>
      <x:c r="F96" s="109" t="n">
        <x:f>COUNTIFS(Votaciones!$A$2:$A$336,B96,Votaciones!$D$2:$D$336,"Disenso acomodaticio")</x:f>
        <x:v>0</x:v>
      </x:c>
    </x:row>
    <x:row r="97">
      <x:c r="A97" s="101" t="n">
        <x:f>Decisiones!B97</x:f>
        <x:v>40046</x:v>
      </x:c>
      <x:c r="B97" s="104" t="str">
        <x:f>Decisiones!A97</x:f>
        <x:v>D20090821</x:v>
      </x:c>
      <x:c r="C97" s="108" t="n">
        <x:f>Decisiones!H97</x:f>
        <x:v>4.5</x:v>
      </x:c>
      <x:c r="D97" s="109" t="n">
        <x:f>Decisiones!G97</x:f>
        <x:v>0</x:v>
      </x:c>
      <x:c r="E97" s="109" t="n">
        <x:f>COUNTIFS(Votaciones!$A$2:$A$336,B97,Votaciones!$D$2:$D$336,"Disenso restrictivo")</x:f>
        <x:v>0</x:v>
      </x:c>
      <x:c r="F97" s="109" t="n">
        <x:f>COUNTIFS(Votaciones!$A$2:$A$336,B97,Votaciones!$D$2:$D$336,"Disenso acomodaticio")</x:f>
        <x:v>0</x:v>
      </x:c>
    </x:row>
    <x:row r="98">
      <x:c r="A98" s="101" t="n">
        <x:f>Decisiones!B98</x:f>
        <x:v>40074</x:v>
      </x:c>
      <x:c r="B98" s="104" t="str">
        <x:f>Decisiones!A98</x:f>
        <x:v>D20090918</x:v>
      </x:c>
      <x:c r="C98" s="108" t="n">
        <x:f>Decisiones!H98</x:f>
        <x:v>4.5</x:v>
      </x:c>
      <x:c r="D98" s="109" t="n">
        <x:f>Decisiones!G98</x:f>
        <x:v>0</x:v>
      </x:c>
      <x:c r="E98" s="109" t="n">
        <x:f>COUNTIFS(Votaciones!$A$2:$A$336,B98,Votaciones!$D$2:$D$336,"Disenso restrictivo")</x:f>
        <x:v>0</x:v>
      </x:c>
      <x:c r="F98" s="109" t="n">
        <x:f>COUNTIFS(Votaciones!$A$2:$A$336,B98,Votaciones!$D$2:$D$336,"Disenso acomodaticio")</x:f>
        <x:v>0</x:v>
      </x:c>
    </x:row>
    <x:row r="99">
      <x:c r="A99" s="101" t="n">
        <x:f>Decisiones!B99</x:f>
        <x:v>40102</x:v>
      </x:c>
      <x:c r="B99" s="104" t="str">
        <x:f>Decisiones!A99</x:f>
        <x:v>D20091016</x:v>
      </x:c>
      <x:c r="C99" s="108" t="n">
        <x:f>Decisiones!H99</x:f>
        <x:v>4.5</x:v>
      </x:c>
      <x:c r="D99" s="109" t="n">
        <x:f>Decisiones!G99</x:f>
        <x:v>0</x:v>
      </x:c>
      <x:c r="E99" s="109" t="n">
        <x:f>COUNTIFS(Votaciones!$A$2:$A$336,B99,Votaciones!$D$2:$D$336,"Disenso restrictivo")</x:f>
        <x:v>0</x:v>
      </x:c>
      <x:c r="F99" s="109" t="n">
        <x:f>COUNTIFS(Votaciones!$A$2:$A$336,B99,Votaciones!$D$2:$D$336,"Disenso acomodaticio")</x:f>
        <x:v>0</x:v>
      </x:c>
    </x:row>
    <x:row r="100">
      <x:c r="A100" s="101" t="n">
        <x:f>Decisiones!B100</x:f>
        <x:v>40144</x:v>
      </x:c>
      <x:c r="B100" s="104" t="str">
        <x:f>Decisiones!A100</x:f>
        <x:v>D20091127</x:v>
      </x:c>
      <x:c r="C100" s="108" t="n">
        <x:f>Decisiones!H100</x:f>
        <x:v>4.5</x:v>
      </x:c>
      <x:c r="D100" s="109" t="n">
        <x:f>Decisiones!G100</x:f>
        <x:v>0</x:v>
      </x:c>
      <x:c r="E100" s="109" t="n">
        <x:f>COUNTIFS(Votaciones!$A$2:$A$336,B100,Votaciones!$D$2:$D$336,"Disenso restrictivo")</x:f>
        <x:v>0</x:v>
      </x:c>
      <x:c r="F100" s="109" t="n">
        <x:f>COUNTIFS(Votaciones!$A$2:$A$336,B100,Votaciones!$D$2:$D$336,"Disenso acomodaticio")</x:f>
        <x:v>0</x:v>
      </x:c>
    </x:row>
    <x:row r="101">
      <x:c r="A101" s="101" t="n">
        <x:f>Decisiones!B101</x:f>
        <x:v>40193</x:v>
      </x:c>
      <x:c r="B101" s="104" t="str">
        <x:f>Decisiones!A101</x:f>
        <x:v>D20100115</x:v>
      </x:c>
      <x:c r="C101" s="108" t="n">
        <x:f>Decisiones!H101</x:f>
        <x:v>4.5</x:v>
      </x:c>
      <x:c r="D101" s="109" t="n">
        <x:f>Decisiones!G101</x:f>
        <x:v>0</x:v>
      </x:c>
      <x:c r="E101" s="109" t="n">
        <x:f>COUNTIFS(Votaciones!$A$2:$A$336,B101,Votaciones!$D$2:$D$336,"Disenso restrictivo")</x:f>
        <x:v>0</x:v>
      </x:c>
      <x:c r="F101" s="109" t="n">
        <x:f>COUNTIFS(Votaciones!$A$2:$A$336,B101,Votaciones!$D$2:$D$336,"Disenso acomodaticio")</x:f>
        <x:v>0</x:v>
      </x:c>
    </x:row>
    <x:row r="102">
      <x:c r="A102" s="101" t="n">
        <x:f>Decisiones!B102</x:f>
        <x:v>40228</x:v>
      </x:c>
      <x:c r="B102" s="104" t="str">
        <x:f>Decisiones!A102</x:f>
        <x:v>D20100219</x:v>
      </x:c>
      <x:c r="C102" s="108" t="n">
        <x:f>Decisiones!H102</x:f>
        <x:v>4.5</x:v>
      </x:c>
      <x:c r="D102" s="109" t="n">
        <x:f>Decisiones!G102</x:f>
        <x:v>0</x:v>
      </x:c>
      <x:c r="E102" s="109" t="n">
        <x:f>COUNTIFS(Votaciones!$A$2:$A$336,B102,Votaciones!$D$2:$D$336,"Disenso restrictivo")</x:f>
        <x:v>0</x:v>
      </x:c>
      <x:c r="F102" s="109" t="n">
        <x:f>COUNTIFS(Votaciones!$A$2:$A$336,B102,Votaciones!$D$2:$D$336,"Disenso acomodaticio")</x:f>
        <x:v>0</x:v>
      </x:c>
    </x:row>
    <x:row r="103">
      <x:c r="A103" s="101" t="n">
        <x:f>Decisiones!B103</x:f>
        <x:v>40256</x:v>
      </x:c>
      <x:c r="B103" s="104" t="str">
        <x:f>Decisiones!A103</x:f>
        <x:v>D20100319</x:v>
      </x:c>
      <x:c r="C103" s="108" t="n">
        <x:f>Decisiones!H103</x:f>
        <x:v>4.5</x:v>
      </x:c>
      <x:c r="D103" s="109" t="n">
        <x:f>Decisiones!G103</x:f>
        <x:v>0</x:v>
      </x:c>
      <x:c r="E103" s="109" t="n">
        <x:f>COUNTIFS(Votaciones!$A$2:$A$336,B103,Votaciones!$D$2:$D$336,"Disenso restrictivo")</x:f>
        <x:v>0</x:v>
      </x:c>
      <x:c r="F103" s="109" t="n">
        <x:f>COUNTIFS(Votaciones!$A$2:$A$336,B103,Votaciones!$D$2:$D$336,"Disenso acomodaticio")</x:f>
        <x:v>0</x:v>
      </x:c>
    </x:row>
    <x:row r="104">
      <x:c r="A104" s="101" t="n">
        <x:f>Decisiones!B104</x:f>
        <x:v>40284</x:v>
      </x:c>
      <x:c r="B104" s="104" t="str">
        <x:f>Decisiones!A104</x:f>
        <x:v>D20100416</x:v>
      </x:c>
      <x:c r="C104" s="108" t="n">
        <x:f>Decisiones!H104</x:f>
        <x:v>4.5</x:v>
      </x:c>
      <x:c r="D104" s="109" t="n">
        <x:f>Decisiones!G104</x:f>
        <x:v>0</x:v>
      </x:c>
      <x:c r="E104" s="109" t="n">
        <x:f>COUNTIFS(Votaciones!$A$2:$A$336,B104,Votaciones!$D$2:$D$336,"Disenso restrictivo")</x:f>
        <x:v>0</x:v>
      </x:c>
      <x:c r="F104" s="109" t="n">
        <x:f>COUNTIFS(Votaciones!$A$2:$A$336,B104,Votaciones!$D$2:$D$336,"Disenso acomodaticio")</x:f>
        <x:v>0</x:v>
      </x:c>
    </x:row>
    <x:row r="105">
      <x:c r="A105" s="101" t="n">
        <x:f>Decisiones!B105</x:f>
        <x:v>40319</x:v>
      </x:c>
      <x:c r="B105" s="104" t="str">
        <x:f>Decisiones!A105</x:f>
        <x:v>D20100521</x:v>
      </x:c>
      <x:c r="C105" s="108" t="n">
        <x:f>Decisiones!H105</x:f>
        <x:v>4.5</x:v>
      </x:c>
      <x:c r="D105" s="109" t="n">
        <x:f>Decisiones!G105</x:f>
        <x:v>0</x:v>
      </x:c>
      <x:c r="E105" s="109" t="n">
        <x:f>COUNTIFS(Votaciones!$A$2:$A$336,B105,Votaciones!$D$2:$D$336,"Disenso restrictivo")</x:f>
        <x:v>0</x:v>
      </x:c>
      <x:c r="F105" s="109" t="n">
        <x:f>COUNTIFS(Votaciones!$A$2:$A$336,B105,Votaciones!$D$2:$D$336,"Disenso acomodaticio")</x:f>
        <x:v>0</x:v>
      </x:c>
    </x:row>
    <x:row r="106">
      <x:c r="A106" s="101" t="n">
        <x:f>Decisiones!B106</x:f>
        <x:v>40347</x:v>
      </x:c>
      <x:c r="B106" s="104" t="str">
        <x:f>Decisiones!A106</x:f>
        <x:v>D20100618</x:v>
      </x:c>
      <x:c r="C106" s="108" t="n">
        <x:f>Decisiones!H106</x:f>
        <x:v>4.5</x:v>
      </x:c>
      <x:c r="D106" s="109" t="n">
        <x:f>Decisiones!G106</x:f>
        <x:v>0</x:v>
      </x:c>
      <x:c r="E106" s="109" t="n">
        <x:f>COUNTIFS(Votaciones!$A$2:$A$336,B106,Votaciones!$D$2:$D$336,"Disenso restrictivo")</x:f>
        <x:v>0</x:v>
      </x:c>
      <x:c r="F106" s="109" t="n">
        <x:f>COUNTIFS(Votaciones!$A$2:$A$336,B106,Votaciones!$D$2:$D$336,"Disenso acomodaticio")</x:f>
        <x:v>0</x:v>
      </x:c>
    </x:row>
    <x:row r="107">
      <x:c r="A107" s="101" t="n">
        <x:f>Decisiones!B107</x:f>
        <x:v>40375</x:v>
      </x:c>
      <x:c r="B107" s="104" t="str">
        <x:f>Decisiones!A107</x:f>
        <x:v>D20100716</x:v>
      </x:c>
      <x:c r="C107" s="108" t="n">
        <x:f>Decisiones!H107</x:f>
        <x:v>4.5</x:v>
      </x:c>
      <x:c r="D107" s="109" t="n">
        <x:f>Decisiones!G107</x:f>
        <x:v>0</x:v>
      </x:c>
      <x:c r="E107" s="109" t="n">
        <x:f>COUNTIFS(Votaciones!$A$2:$A$336,B107,Votaciones!$D$2:$D$336,"Disenso restrictivo")</x:f>
        <x:v>0</x:v>
      </x:c>
      <x:c r="F107" s="109" t="n">
        <x:f>COUNTIFS(Votaciones!$A$2:$A$336,B107,Votaciones!$D$2:$D$336,"Disenso acomodaticio")</x:f>
        <x:v>0</x:v>
      </x:c>
    </x:row>
    <x:row r="108">
      <x:c r="A108" s="101" t="n">
        <x:f>Decisiones!B108</x:f>
        <x:v>40410</x:v>
      </x:c>
      <x:c r="B108" s="104" t="str">
        <x:f>Decisiones!A108</x:f>
        <x:v>D20100820</x:v>
      </x:c>
      <x:c r="C108" s="108" t="n">
        <x:f>Decisiones!H108</x:f>
        <x:v>4.5</x:v>
      </x:c>
      <x:c r="D108" s="109" t="n">
        <x:f>Decisiones!G108</x:f>
        <x:v>0</x:v>
      </x:c>
      <x:c r="E108" s="109" t="n">
        <x:f>COUNTIFS(Votaciones!$A$2:$A$336,B108,Votaciones!$D$2:$D$336,"Disenso restrictivo")</x:f>
        <x:v>0</x:v>
      </x:c>
      <x:c r="F108" s="109" t="n">
        <x:f>COUNTIFS(Votaciones!$A$2:$A$336,B108,Votaciones!$D$2:$D$336,"Disenso acomodaticio")</x:f>
        <x:v>0</x:v>
      </x:c>
    </x:row>
    <x:row r="109">
      <x:c r="A109" s="101" t="n">
        <x:f>Decisiones!B109</x:f>
        <x:v>40445</x:v>
      </x:c>
      <x:c r="B109" s="104" t="str">
        <x:f>Decisiones!A109</x:f>
        <x:v>D20100924</x:v>
      </x:c>
      <x:c r="C109" s="108" t="n">
        <x:f>Decisiones!H109</x:f>
        <x:v>4.5</x:v>
      </x:c>
      <x:c r="D109" s="109" t="n">
        <x:f>Decisiones!G109</x:f>
        <x:v>0</x:v>
      </x:c>
      <x:c r="E109" s="109" t="n">
        <x:f>COUNTIFS(Votaciones!$A$2:$A$336,B109,Votaciones!$D$2:$D$336,"Disenso restrictivo")</x:f>
        <x:v>0</x:v>
      </x:c>
      <x:c r="F109" s="109" t="n">
        <x:f>COUNTIFS(Votaciones!$A$2:$A$336,B109,Votaciones!$D$2:$D$336,"Disenso acomodaticio")</x:f>
        <x:v>0</x:v>
      </x:c>
    </x:row>
    <x:row r="110">
      <x:c r="A110" s="101" t="n">
        <x:f>Decisiones!B110</x:f>
        <x:v>40466</x:v>
      </x:c>
      <x:c r="B110" s="104" t="str">
        <x:f>Decisiones!A110</x:f>
        <x:v>D20101015</x:v>
      </x:c>
      <x:c r="C110" s="108" t="n">
        <x:f>Decisiones!H110</x:f>
        <x:v>4.5</x:v>
      </x:c>
      <x:c r="D110" s="109" t="n">
        <x:f>Decisiones!G110</x:f>
        <x:v>0</x:v>
      </x:c>
      <x:c r="E110" s="109" t="n">
        <x:f>COUNTIFS(Votaciones!$A$2:$A$336,B110,Votaciones!$D$2:$D$336,"Disenso restrictivo")</x:f>
        <x:v>0</x:v>
      </x:c>
      <x:c r="F110" s="109" t="n">
        <x:f>COUNTIFS(Votaciones!$A$2:$A$336,B110,Votaciones!$D$2:$D$336,"Disenso acomodaticio")</x:f>
        <x:v>0</x:v>
      </x:c>
    </x:row>
    <x:row r="111">
      <x:c r="A111" s="101" t="n">
        <x:f>Decisiones!B111</x:f>
        <x:v>40508</x:v>
      </x:c>
      <x:c r="B111" s="104" t="str">
        <x:f>Decisiones!A111</x:f>
        <x:v>D20101126</x:v>
      </x:c>
      <x:c r="C111" s="108" t="n">
        <x:f>Decisiones!H111</x:f>
        <x:v>4.5</x:v>
      </x:c>
      <x:c r="D111" s="109" t="n">
        <x:f>Decisiones!G111</x:f>
        <x:v>0</x:v>
      </x:c>
      <x:c r="E111" s="109" t="n">
        <x:f>COUNTIFS(Votaciones!$A$2:$A$336,B111,Votaciones!$D$2:$D$336,"Disenso restrictivo")</x:f>
        <x:v>0</x:v>
      </x:c>
      <x:c r="F111" s="109" t="n">
        <x:f>COUNTIFS(Votaciones!$A$2:$A$336,B111,Votaciones!$D$2:$D$336,"Disenso acomodaticio")</x:f>
        <x:v>0</x:v>
      </x:c>
    </x:row>
    <x:row r="112">
      <x:c r="A112" s="101" t="n">
        <x:f>Decisiones!B112</x:f>
        <x:v>40564</x:v>
      </x:c>
      <x:c r="B112" s="104" t="str">
        <x:f>Decisiones!A112</x:f>
        <x:v>D20110121</x:v>
      </x:c>
      <x:c r="C112" s="108" t="n">
        <x:f>Decisiones!H112</x:f>
        <x:v>4.5</x:v>
      </x:c>
      <x:c r="D112" s="109" t="n">
        <x:f>Decisiones!G112</x:f>
        <x:v>0</x:v>
      </x:c>
      <x:c r="E112" s="109" t="n">
        <x:f>COUNTIFS(Votaciones!$A$2:$A$336,B112,Votaciones!$D$2:$D$336,"Disenso restrictivo")</x:f>
        <x:v>0</x:v>
      </x:c>
      <x:c r="F112" s="109" t="n">
        <x:f>COUNTIFS(Votaciones!$A$2:$A$336,B112,Votaciones!$D$2:$D$336,"Disenso acomodaticio")</x:f>
        <x:v>0</x:v>
      </x:c>
    </x:row>
    <x:row r="113">
      <x:c r="A113" s="101" t="n">
        <x:f>Decisiones!B113</x:f>
        <x:v>40606</x:v>
      </x:c>
      <x:c r="B113" s="104" t="str">
        <x:f>Decisiones!A113</x:f>
        <x:v>D20110304</x:v>
      </x:c>
      <x:c r="C113" s="108" t="n">
        <x:f>Decisiones!H113</x:f>
        <x:v>4.5</x:v>
      </x:c>
      <x:c r="D113" s="109" t="n">
        <x:f>Decisiones!G113</x:f>
        <x:v>0</x:v>
      </x:c>
      <x:c r="E113" s="109" t="n">
        <x:f>COUNTIFS(Votaciones!$A$2:$A$336,B113,Votaciones!$D$2:$D$336,"Disenso restrictivo")</x:f>
        <x:v>0</x:v>
      </x:c>
      <x:c r="F113" s="109" t="n">
        <x:f>COUNTIFS(Votaciones!$A$2:$A$336,B113,Votaciones!$D$2:$D$336,"Disenso acomodaticio")</x:f>
        <x:v>0</x:v>
      </x:c>
    </x:row>
    <x:row r="114">
      <x:c r="A114" s="101" t="n">
        <x:f>Decisiones!B114</x:f>
        <x:v>40648</x:v>
      </x:c>
      <x:c r="B114" s="104" t="str">
        <x:f>Decisiones!A114</x:f>
        <x:v>D20110415</x:v>
      </x:c>
      <x:c r="C114" s="108" t="n">
        <x:f>Decisiones!H114</x:f>
        <x:v>4.5</x:v>
      </x:c>
      <x:c r="D114" s="109" t="n">
        <x:f>Decisiones!G114</x:f>
        <x:v>0</x:v>
      </x:c>
      <x:c r="E114" s="109" t="n">
        <x:f>COUNTIFS(Votaciones!$A$2:$A$336,B114,Votaciones!$D$2:$D$336,"Disenso restrictivo")</x:f>
        <x:v>0</x:v>
      </x:c>
      <x:c r="F114" s="109" t="n">
        <x:f>COUNTIFS(Votaciones!$A$2:$A$336,B114,Votaciones!$D$2:$D$336,"Disenso acomodaticio")</x:f>
        <x:v>0</x:v>
      </x:c>
    </x:row>
    <x:row r="115">
      <x:c r="A115" s="101" t="n">
        <x:f>Decisiones!B115</x:f>
        <x:v>40690</x:v>
      </x:c>
      <x:c r="B115" s="104" t="str">
        <x:f>Decisiones!A115</x:f>
        <x:v>D20110527</x:v>
      </x:c>
      <x:c r="C115" s="108" t="n">
        <x:f>Decisiones!H115</x:f>
        <x:v>4.5</x:v>
      </x:c>
      <x:c r="D115" s="109" t="n">
        <x:f>Decisiones!G115</x:f>
        <x:v>0</x:v>
      </x:c>
      <x:c r="E115" s="109" t="n">
        <x:f>COUNTIFS(Votaciones!$A$2:$A$336,B115,Votaciones!$D$2:$D$336,"Disenso restrictivo")</x:f>
        <x:v>0</x:v>
      </x:c>
      <x:c r="F115" s="109" t="n">
        <x:f>COUNTIFS(Votaciones!$A$2:$A$336,B115,Votaciones!$D$2:$D$336,"Disenso acomodaticio")</x:f>
        <x:v>0</x:v>
      </x:c>
    </x:row>
    <x:row r="116">
      <x:c r="A116" s="101" t="n">
        <x:f>Decisiones!B116</x:f>
        <x:v>40732</x:v>
      </x:c>
      <x:c r="B116" s="104" t="str">
        <x:f>Decisiones!A116</x:f>
        <x:v>D20110708</x:v>
      </x:c>
      <x:c r="C116" s="108" t="n">
        <x:f>Decisiones!H116</x:f>
        <x:v>4.5</x:v>
      </x:c>
      <x:c r="D116" s="109" t="n">
        <x:f>Decisiones!G116</x:f>
        <x:v>0</x:v>
      </x:c>
      <x:c r="E116" s="109" t="n">
        <x:f>COUNTIFS(Votaciones!$A$2:$A$336,B116,Votaciones!$D$2:$D$336,"Disenso restrictivo")</x:f>
        <x:v>0</x:v>
      </x:c>
      <x:c r="F116" s="109" t="n">
        <x:f>COUNTIFS(Votaciones!$A$2:$A$336,B116,Votaciones!$D$2:$D$336,"Disenso acomodaticio")</x:f>
        <x:v>0</x:v>
      </x:c>
    </x:row>
    <x:row r="117">
      <x:c r="A117" s="101" t="n">
        <x:f>Decisiones!B117</x:f>
        <x:v>40781</x:v>
      </x:c>
      <x:c r="B117" s="104" t="str">
        <x:f>Decisiones!A117</x:f>
        <x:v>D20110826</x:v>
      </x:c>
      <x:c r="C117" s="108" t="n">
        <x:f>Decisiones!H117</x:f>
        <x:v>4.5</x:v>
      </x:c>
      <x:c r="D117" s="109" t="n">
        <x:f>Decisiones!G117</x:f>
        <x:v>0</x:v>
      </x:c>
      <x:c r="E117" s="109" t="n">
        <x:f>COUNTIFS(Votaciones!$A$2:$A$336,B117,Votaciones!$D$2:$D$336,"Disenso restrictivo")</x:f>
        <x:v>0</x:v>
      </x:c>
      <x:c r="F117" s="109" t="n">
        <x:f>COUNTIFS(Votaciones!$A$2:$A$336,B117,Votaciones!$D$2:$D$336,"Disenso acomodaticio")</x:f>
        <x:v>0</x:v>
      </x:c>
    </x:row>
    <x:row r="118">
      <x:c r="A118" s="101" t="n">
        <x:f>Decisiones!B118</x:f>
        <x:v>40830</x:v>
      </x:c>
      <x:c r="B118" s="104" t="str">
        <x:f>Decisiones!A118</x:f>
        <x:v>D20111014</x:v>
      </x:c>
      <x:c r="C118" s="108" t="n">
        <x:f>Decisiones!H118</x:f>
        <x:v>4.5</x:v>
      </x:c>
      <x:c r="D118" s="109" t="n">
        <x:f>Decisiones!G118</x:f>
        <x:v>0</x:v>
      </x:c>
      <x:c r="E118" s="109" t="n">
        <x:f>COUNTIFS(Votaciones!$A$2:$A$336,B118,Votaciones!$D$2:$D$336,"Disenso restrictivo")</x:f>
        <x:v>0</x:v>
      </x:c>
      <x:c r="F118" s="109" t="n">
        <x:f>COUNTIFS(Votaciones!$A$2:$A$336,B118,Votaciones!$D$2:$D$336,"Disenso acomodaticio")</x:f>
        <x:v>0</x:v>
      </x:c>
    </x:row>
    <x:row r="119">
      <x:c r="A119" s="101" t="n">
        <x:f>Decisiones!B119</x:f>
        <x:v>40879</x:v>
      </x:c>
      <x:c r="B119" s="104" t="str">
        <x:f>Decisiones!A119</x:f>
        <x:v>D20111202</x:v>
      </x:c>
      <x:c r="C119" s="108" t="n">
        <x:f>Decisiones!H119</x:f>
        <x:v>4.5</x:v>
      </x:c>
      <x:c r="D119" s="109" t="n">
        <x:f>Decisiones!G119</x:f>
        <x:v>0</x:v>
      </x:c>
      <x:c r="E119" s="109" t="n">
        <x:f>COUNTIFS(Votaciones!$A$2:$A$336,B119,Votaciones!$D$2:$D$336,"Disenso restrictivo")</x:f>
        <x:v>0</x:v>
      </x:c>
      <x:c r="F119" s="109" t="n">
        <x:f>COUNTIFS(Votaciones!$A$2:$A$336,B119,Votaciones!$D$2:$D$336,"Disenso acomodaticio")</x:f>
        <x:v>0</x:v>
      </x:c>
    </x:row>
    <x:row r="120">
      <x:c r="A120" s="101" t="n">
        <x:f>Decisiones!B120</x:f>
        <x:v>40928</x:v>
      </x:c>
      <x:c r="B120" s="104" t="str">
        <x:f>Decisiones!A120</x:f>
        <x:v>D20120120</x:v>
      </x:c>
      <x:c r="C120" s="108" t="n">
        <x:f>Decisiones!H120</x:f>
        <x:v>4.5</x:v>
      </x:c>
      <x:c r="D120" s="109" t="n">
        <x:f>Decisiones!G120</x:f>
        <x:v>0</x:v>
      </x:c>
      <x:c r="E120" s="109" t="n">
        <x:f>COUNTIFS(Votaciones!$A$2:$A$336,B120,Votaciones!$D$2:$D$336,"Disenso restrictivo")</x:f>
        <x:v>0</x:v>
      </x:c>
      <x:c r="F120" s="109" t="n">
        <x:f>COUNTIFS(Votaciones!$A$2:$A$336,B120,Votaciones!$D$2:$D$336,"Disenso acomodaticio")</x:f>
        <x:v>0</x:v>
      </x:c>
    </x:row>
    <x:row r="121">
      <x:c r="A121" s="101" t="n">
        <x:f>Decisiones!B121</x:f>
        <x:v>40984</x:v>
      </x:c>
      <x:c r="B121" s="104" t="str">
        <x:f>Decisiones!A121</x:f>
        <x:v>D20120316</x:v>
      </x:c>
      <x:c r="C121" s="108" t="n">
        <x:f>Decisiones!H121</x:f>
        <x:v>4.5</x:v>
      </x:c>
      <x:c r="D121" s="109" t="n">
        <x:f>Decisiones!G121</x:f>
        <x:v>0</x:v>
      </x:c>
      <x:c r="E121" s="109" t="n">
        <x:f>COUNTIFS(Votaciones!$A$2:$A$336,B121,Votaciones!$D$2:$D$336,"Disenso restrictivo")</x:f>
        <x:v>0</x:v>
      </x:c>
      <x:c r="F121" s="109" t="n">
        <x:f>COUNTIFS(Votaciones!$A$2:$A$336,B121,Votaciones!$D$2:$D$336,"Disenso acomodaticio")</x:f>
        <x:v>0</x:v>
      </x:c>
    </x:row>
    <x:row r="122">
      <x:c r="A122" s="101" t="n">
        <x:f>Decisiones!B122</x:f>
        <x:v>41026</x:v>
      </x:c>
      <x:c r="B122" s="104" t="str">
        <x:f>Decisiones!A122</x:f>
        <x:v>D20120427</x:v>
      </x:c>
      <x:c r="C122" s="108" t="n">
        <x:f>Decisiones!H122</x:f>
        <x:v>4.5</x:v>
      </x:c>
      <x:c r="D122" s="109" t="n">
        <x:f>Decisiones!G122</x:f>
        <x:v>0</x:v>
      </x:c>
      <x:c r="E122" s="109" t="n">
        <x:f>COUNTIFS(Votaciones!$A$2:$A$336,B122,Votaciones!$D$2:$D$336,"Disenso restrictivo")</x:f>
        <x:v>0</x:v>
      </x:c>
      <x:c r="F122" s="109" t="n">
        <x:f>COUNTIFS(Votaciones!$A$2:$A$336,B122,Votaciones!$D$2:$D$336,"Disenso acomodaticio")</x:f>
        <x:v>0</x:v>
      </x:c>
    </x:row>
    <x:row r="123">
      <x:c r="A123" s="101" t="n">
        <x:f>Decisiones!B123</x:f>
        <x:v>41068</x:v>
      </x:c>
      <x:c r="B123" s="104" t="str">
        <x:f>Decisiones!A123</x:f>
        <x:v>D20120608</x:v>
      </x:c>
      <x:c r="C123" s="108" t="n">
        <x:f>Decisiones!H123</x:f>
        <x:v>4.5</x:v>
      </x:c>
      <x:c r="D123" s="109" t="n">
        <x:f>Decisiones!G123</x:f>
        <x:v>0</x:v>
      </x:c>
      <x:c r="E123" s="109" t="n">
        <x:f>COUNTIFS(Votaciones!$A$2:$A$336,B123,Votaciones!$D$2:$D$336,"Disenso restrictivo")</x:f>
        <x:v>0</x:v>
      </x:c>
      <x:c r="F123" s="109" t="n">
        <x:f>COUNTIFS(Votaciones!$A$2:$A$336,B123,Votaciones!$D$2:$D$336,"Disenso acomodaticio")</x:f>
        <x:v>0</x:v>
      </x:c>
    </x:row>
    <x:row r="124">
      <x:c r="A124" s="101" t="n">
        <x:f>Decisiones!B124</x:f>
        <x:v>41110</x:v>
      </x:c>
      <x:c r="B124" s="104" t="str">
        <x:f>Decisiones!A124</x:f>
        <x:v>D20120720</x:v>
      </x:c>
      <x:c r="C124" s="108" t="n">
        <x:f>Decisiones!H124</x:f>
        <x:v>4.5</x:v>
      </x:c>
      <x:c r="D124" s="109" t="n">
        <x:f>Decisiones!G124</x:f>
        <x:v>0</x:v>
      </x:c>
      <x:c r="E124" s="109" t="n">
        <x:f>COUNTIFS(Votaciones!$A$2:$A$336,B124,Votaciones!$D$2:$D$336,"Disenso restrictivo")</x:f>
        <x:v>0</x:v>
      </x:c>
      <x:c r="F124" s="109" t="n">
        <x:f>COUNTIFS(Votaciones!$A$2:$A$336,B124,Votaciones!$D$2:$D$336,"Disenso acomodaticio")</x:f>
        <x:v>0</x:v>
      </x:c>
    </x:row>
    <x:row r="125">
      <x:c r="A125" s="101" t="n">
        <x:f>Decisiones!B125</x:f>
        <x:v>41159</x:v>
      </x:c>
      <x:c r="B125" s="104" t="str">
        <x:f>Decisiones!A125</x:f>
        <x:v>D20120907</x:v>
      </x:c>
      <x:c r="C125" s="108" t="n">
        <x:f>Decisiones!H125</x:f>
        <x:v>4.5</x:v>
      </x:c>
      <x:c r="D125" s="109" t="n">
        <x:f>Decisiones!G125</x:f>
        <x:v>0</x:v>
      </x:c>
      <x:c r="E125" s="109" t="n">
        <x:f>COUNTIFS(Votaciones!$A$2:$A$336,B125,Votaciones!$D$2:$D$336,"Disenso restrictivo")</x:f>
        <x:v>0</x:v>
      </x:c>
      <x:c r="F125" s="109" t="n">
        <x:f>COUNTIFS(Votaciones!$A$2:$A$336,B125,Votaciones!$D$2:$D$336,"Disenso acomodaticio")</x:f>
        <x:v>0</x:v>
      </x:c>
    </x:row>
    <x:row r="126">
      <x:c r="A126" s="101" t="n">
        <x:f>Decisiones!B126</x:f>
        <x:v>41208</x:v>
      </x:c>
      <x:c r="B126" s="104" t="str">
        <x:f>Decisiones!A126</x:f>
        <x:v>D20121026</x:v>
      </x:c>
      <x:c r="C126" s="108" t="n">
        <x:f>Decisiones!H126</x:f>
        <x:v>4.5</x:v>
      </x:c>
      <x:c r="D126" s="109" t="n">
        <x:f>Decisiones!G126</x:f>
        <x:v>0</x:v>
      </x:c>
      <x:c r="E126" s="109" t="n">
        <x:f>COUNTIFS(Votaciones!$A$2:$A$336,B126,Votaciones!$D$2:$D$336,"Disenso restrictivo")</x:f>
        <x:v>0</x:v>
      </x:c>
      <x:c r="F126" s="109" t="n">
        <x:f>COUNTIFS(Votaciones!$A$2:$A$336,B126,Votaciones!$D$2:$D$336,"Disenso acomodaticio")</x:f>
        <x:v>0</x:v>
      </x:c>
    </x:row>
    <x:row r="127">
      <x:c r="A127" s="101" t="n">
        <x:f>Decisiones!B127</x:f>
        <x:v>41243</x:v>
      </x:c>
      <x:c r="B127" s="104" t="str">
        <x:f>Decisiones!A127</x:f>
        <x:v>D20121130</x:v>
      </x:c>
      <x:c r="C127" s="108" t="n">
        <x:f>Decisiones!H127</x:f>
        <x:v>4.5</x:v>
      </x:c>
      <x:c r="D127" s="109" t="n">
        <x:f>Decisiones!G127</x:f>
        <x:v>0</x:v>
      </x:c>
      <x:c r="E127" s="109" t="n">
        <x:f>COUNTIFS(Votaciones!$A$2:$A$336,B127,Votaciones!$D$2:$D$336,"Disenso restrictivo")</x:f>
        <x:v>0</x:v>
      </x:c>
      <x:c r="F127" s="109" t="n">
        <x:f>COUNTIFS(Votaciones!$A$2:$A$336,B127,Votaciones!$D$2:$D$336,"Disenso acomodaticio")</x:f>
        <x:v>0</x:v>
      </x:c>
    </x:row>
    <x:row r="128">
      <x:c r="A128" s="101" t="n">
        <x:f>Decisiones!B128</x:f>
        <x:v>41292</x:v>
      </x:c>
      <x:c r="B128" s="104" t="str">
        <x:f>Decisiones!A128</x:f>
        <x:v>D20130118</x:v>
      </x:c>
      <x:c r="C128" s="108" t="n">
        <x:f>Decisiones!H128</x:f>
        <x:v>4.5</x:v>
      </x:c>
      <x:c r="D128" s="109" t="n">
        <x:f>Decisiones!G128</x:f>
        <x:v>0</x:v>
      </x:c>
      <x:c r="E128" s="109" t="n">
        <x:f>COUNTIFS(Votaciones!$A$2:$A$336,B128,Votaciones!$D$2:$D$336,"Disenso restrictivo")</x:f>
        <x:v>0</x:v>
      </x:c>
      <x:c r="F128" s="109" t="n">
        <x:f>COUNTIFS(Votaciones!$A$2:$A$336,B128,Votaciones!$D$2:$D$336,"Disenso acomodaticio")</x:f>
        <x:v>0</x:v>
      </x:c>
    </x:row>
    <x:row r="129">
      <x:c r="A129" s="101" t="n">
        <x:f>Decisiones!B129</x:f>
        <x:v>41341</x:v>
      </x:c>
      <x:c r="B129" s="104" t="str">
        <x:f>Decisiones!A129</x:f>
        <x:v>D20130308</x:v>
      </x:c>
      <x:c r="C129" s="108" t="n">
        <x:f>Decisiones!H129</x:f>
        <x:v>4</x:v>
      </x:c>
      <x:c r="D129" s="109" t="n">
        <x:f>Decisiones!G129</x:f>
        <x:v>-50</x:v>
      </x:c>
      <x:c r="E129" s="109" t="n">
        <x:f>COUNTIFS(Votaciones!$A$2:$A$336,B129,Votaciones!$D$2:$D$336,"Disenso restrictivo")</x:f>
        <x:v>0</x:v>
      </x:c>
      <x:c r="F129" s="109" t="n">
        <x:f>COUNTIFS(Votaciones!$A$2:$A$336,B129,Votaciones!$D$2:$D$336,"Disenso acomodaticio")</x:f>
        <x:v>0</x:v>
      </x:c>
    </x:row>
    <x:row r="130">
      <x:c r="A130" s="101" t="n">
        <x:f>Decisiones!B130</x:f>
        <x:v>41390</x:v>
      </x:c>
      <x:c r="B130" s="104" t="str">
        <x:f>Decisiones!A130</x:f>
        <x:v>D20130426</x:v>
      </x:c>
      <x:c r="C130" s="108" t="n">
        <x:f>Decisiones!H130</x:f>
        <x:v>4</x:v>
      </x:c>
      <x:c r="D130" s="109" t="n">
        <x:f>Decisiones!G130</x:f>
        <x:v>0</x:v>
      </x:c>
      <x:c r="E130" s="109" t="n">
        <x:f>COUNTIFS(Votaciones!$A$2:$A$336,B130,Votaciones!$D$2:$D$336,"Disenso restrictivo")</x:f>
        <x:v>0</x:v>
      </x:c>
      <x:c r="F130" s="109" t="n">
        <x:f>COUNTIFS(Votaciones!$A$2:$A$336,B130,Votaciones!$D$2:$D$336,"Disenso acomodaticio")</x:f>
        <x:v>0</x:v>
      </x:c>
    </x:row>
    <x:row r="131">
      <x:c r="A131" s="101" t="n">
        <x:f>Decisiones!B131</x:f>
        <x:v>41432</x:v>
      </x:c>
      <x:c r="B131" s="104" t="str">
        <x:f>Decisiones!A131</x:f>
        <x:v>D20130607</x:v>
      </x:c>
      <x:c r="C131" s="108" t="n">
        <x:f>Decisiones!H131</x:f>
        <x:v>4</x:v>
      </x:c>
      <x:c r="D131" s="109" t="n">
        <x:f>Decisiones!G131</x:f>
        <x:v>0</x:v>
      </x:c>
      <x:c r="E131" s="109" t="n">
        <x:f>COUNTIFS(Votaciones!$A$2:$A$336,B131,Votaciones!$D$2:$D$336,"Disenso restrictivo")</x:f>
        <x:v>0</x:v>
      </x:c>
      <x:c r="F131" s="109" t="n">
        <x:f>COUNTIFS(Votaciones!$A$2:$A$336,B131,Votaciones!$D$2:$D$336,"Disenso acomodaticio")</x:f>
        <x:v>0</x:v>
      </x:c>
    </x:row>
    <x:row r="132">
      <x:c r="A132" s="101" t="n">
        <x:f>Decisiones!B132</x:f>
        <x:v>41467</x:v>
      </x:c>
      <x:c r="B132" s="104" t="str">
        <x:f>Decisiones!A132</x:f>
        <x:v>D20130712</x:v>
      </x:c>
      <x:c r="C132" s="108" t="n">
        <x:f>Decisiones!H132</x:f>
        <x:v>4</x:v>
      </x:c>
      <x:c r="D132" s="109" t="n">
        <x:f>Decisiones!G132</x:f>
        <x:v>0</x:v>
      </x:c>
      <x:c r="E132" s="109" t="n">
        <x:f>COUNTIFS(Votaciones!$A$2:$A$336,B132,Votaciones!$D$2:$D$336,"Disenso restrictivo")</x:f>
        <x:v>0</x:v>
      </x:c>
      <x:c r="F132" s="109" t="n">
        <x:f>COUNTIFS(Votaciones!$A$2:$A$336,B132,Votaciones!$D$2:$D$336,"Disenso acomodaticio")</x:f>
        <x:v>0</x:v>
      </x:c>
    </x:row>
    <x:row r="133">
      <x:c r="A133" s="101" t="n">
        <x:f>Decisiones!B133</x:f>
        <x:v>41523</x:v>
      </x:c>
      <x:c r="B133" s="104" t="str">
        <x:f>Decisiones!A133</x:f>
        <x:v>D20130906</x:v>
      </x:c>
      <x:c r="C133" s="108" t="n">
        <x:f>Decisiones!H133</x:f>
        <x:v>3.75</x:v>
      </x:c>
      <x:c r="D133" s="109" t="n">
        <x:f>Decisiones!G133</x:f>
        <x:v>-25</x:v>
      </x:c>
      <x:c r="E133" s="109" t="n">
        <x:f>COUNTIFS(Votaciones!$A$2:$A$336,B133,Votaciones!$D$2:$D$336,"Disenso restrictivo")</x:f>
        <x:v>0</x:v>
      </x:c>
      <x:c r="F133" s="109" t="n">
        <x:f>COUNTIFS(Votaciones!$A$2:$A$336,B133,Votaciones!$D$2:$D$336,"Disenso acomodaticio")</x:f>
        <x:v>0</x:v>
      </x:c>
    </x:row>
    <x:row r="134">
      <x:c r="A134" s="101" t="n">
        <x:f>Decisiones!B134</x:f>
        <x:v>41572</x:v>
      </x:c>
      <x:c r="B134" s="104" t="str">
        <x:f>Decisiones!A134</x:f>
        <x:v>D20131025</x:v>
      </x:c>
      <x:c r="C134" s="108" t="n">
        <x:f>Decisiones!H134</x:f>
        <x:v>3.5</x:v>
      </x:c>
      <x:c r="D134" s="109" t="n">
        <x:f>Decisiones!G134</x:f>
        <x:v>-25</x:v>
      </x:c>
      <x:c r="E134" s="109" t="n">
        <x:f>COUNTIFS(Votaciones!$A$2:$A$336,B134,Votaciones!$D$2:$D$336,"Disenso restrictivo")</x:f>
        <x:v>0</x:v>
      </x:c>
      <x:c r="F134" s="109" t="n">
        <x:f>COUNTIFS(Votaciones!$A$2:$A$336,B134,Votaciones!$D$2:$D$336,"Disenso acomodaticio")</x:f>
        <x:v>0</x:v>
      </x:c>
    </x:row>
    <x:row r="135">
      <x:c r="A135" s="101" t="n">
        <x:f>Decisiones!B135</x:f>
        <x:v>41614</x:v>
      </x:c>
      <x:c r="B135" s="104" t="str">
        <x:f>Decisiones!A135</x:f>
        <x:v>D20131206</x:v>
      </x:c>
      <x:c r="C135" s="108" t="n">
        <x:f>Decisiones!H135</x:f>
        <x:v>3.5</x:v>
      </x:c>
      <x:c r="D135" s="109" t="n">
        <x:f>Decisiones!G135</x:f>
        <x:v>0</x:v>
      </x:c>
      <x:c r="E135" s="109" t="n">
        <x:f>COUNTIFS(Votaciones!$A$2:$A$336,B135,Votaciones!$D$2:$D$336,"Disenso restrictivo")</x:f>
        <x:v>0</x:v>
      </x:c>
      <x:c r="F135" s="109" t="n">
        <x:f>COUNTIFS(Votaciones!$A$2:$A$336,B135,Votaciones!$D$2:$D$336,"Disenso acomodaticio")</x:f>
        <x:v>0</x:v>
      </x:c>
    </x:row>
    <x:row r="136">
      <x:c r="A136" s="101" t="n">
        <x:f>Decisiones!B136</x:f>
        <x:v>41670</x:v>
      </x:c>
      <x:c r="B136" s="104" t="str">
        <x:f>Decisiones!A136</x:f>
        <x:v>D20140131</x:v>
      </x:c>
      <x:c r="C136" s="108" t="n">
        <x:f>Decisiones!H136</x:f>
        <x:v>3.5</x:v>
      </x:c>
      <x:c r="D136" s="109" t="n">
        <x:f>Decisiones!G136</x:f>
        <x:v>0</x:v>
      </x:c>
      <x:c r="E136" s="109" t="n">
        <x:f>COUNTIFS(Votaciones!$A$2:$A$336,B136,Votaciones!$D$2:$D$336,"Disenso restrictivo")</x:f>
        <x:v>0</x:v>
      </x:c>
      <x:c r="F136" s="109" t="n">
        <x:f>COUNTIFS(Votaciones!$A$2:$A$336,B136,Votaciones!$D$2:$D$336,"Disenso acomodaticio")</x:f>
        <x:v>0</x:v>
      </x:c>
    </x:row>
    <x:row r="137">
      <x:c r="A137" s="101" t="n">
        <x:f>Decisiones!B137</x:f>
        <x:v>41719</x:v>
      </x:c>
      <x:c r="B137" s="104" t="str">
        <x:f>Decisiones!A137</x:f>
        <x:v>D20140321</x:v>
      </x:c>
      <x:c r="C137" s="108" t="n">
        <x:f>Decisiones!H137</x:f>
        <x:v>3.5</x:v>
      </x:c>
      <x:c r="D137" s="109" t="n">
        <x:f>Decisiones!G137</x:f>
        <x:v>0</x:v>
      </x:c>
      <x:c r="E137" s="109" t="n">
        <x:f>COUNTIFS(Votaciones!$A$2:$A$336,B137,Votaciones!$D$2:$D$336,"Disenso restrictivo")</x:f>
        <x:v>0</x:v>
      </x:c>
      <x:c r="F137" s="109" t="n">
        <x:f>COUNTIFS(Votaciones!$A$2:$A$336,B137,Votaciones!$D$2:$D$336,"Disenso acomodaticio")</x:f>
        <x:v>0</x:v>
      </x:c>
    </x:row>
    <x:row r="138">
      <x:c r="A138" s="101" t="n">
        <x:f>Decisiones!B138</x:f>
        <x:v>41754</x:v>
      </x:c>
      <x:c r="B138" s="104" t="str">
        <x:f>Decisiones!A138</x:f>
        <x:v>D20140425</x:v>
      </x:c>
      <x:c r="C138" s="108" t="n">
        <x:f>Decisiones!H138</x:f>
        <x:v>3.5</x:v>
      </x:c>
      <x:c r="D138" s="109" t="n">
        <x:f>Decisiones!G138</x:f>
        <x:v>0</x:v>
      </x:c>
      <x:c r="E138" s="109" t="n">
        <x:f>COUNTIFS(Votaciones!$A$2:$A$336,B138,Votaciones!$D$2:$D$336,"Disenso restrictivo")</x:f>
        <x:v>0</x:v>
      </x:c>
      <x:c r="F138" s="109" t="n">
        <x:f>COUNTIFS(Votaciones!$A$2:$A$336,B138,Votaciones!$D$2:$D$336,"Disenso acomodaticio")</x:f>
        <x:v>0</x:v>
      </x:c>
    </x:row>
    <x:row r="139">
      <x:c r="A139" s="101" t="n">
        <x:f>Decisiones!B139</x:f>
        <x:v>41796</x:v>
      </x:c>
      <x:c r="B139" s="104" t="str">
        <x:f>Decisiones!A139</x:f>
        <x:v>D20140606</x:v>
      </x:c>
      <x:c r="C139" s="108" t="n">
        <x:f>Decisiones!H139</x:f>
        <x:v>3</x:v>
      </x:c>
      <x:c r="D139" s="109" t="n">
        <x:f>Decisiones!G139</x:f>
        <x:v>-50</x:v>
      </x:c>
      <x:c r="E139" s="109" t="n">
        <x:f>COUNTIFS(Votaciones!$A$2:$A$336,B139,Votaciones!$D$2:$D$336,"Disenso restrictivo")</x:f>
        <x:v>0</x:v>
      </x:c>
      <x:c r="F139" s="109" t="n">
        <x:f>COUNTIFS(Votaciones!$A$2:$A$336,B139,Votaciones!$D$2:$D$336,"Disenso acomodaticio")</x:f>
        <x:v>0</x:v>
      </x:c>
    </x:row>
    <x:row r="140">
      <x:c r="A140" s="101" t="n">
        <x:f>Decisiones!B140</x:f>
        <x:v>41831</x:v>
      </x:c>
      <x:c r="B140" s="104" t="str">
        <x:f>Decisiones!A140</x:f>
        <x:v>D20140711</x:v>
      </x:c>
      <x:c r="C140" s="108" t="n">
        <x:f>Decisiones!H140</x:f>
        <x:v>3</x:v>
      </x:c>
      <x:c r="D140" s="109" t="n">
        <x:f>Decisiones!G140</x:f>
        <x:v>0</x:v>
      </x:c>
      <x:c r="E140" s="109" t="n">
        <x:f>COUNTIFS(Votaciones!$A$2:$A$336,B140,Votaciones!$D$2:$D$336,"Disenso restrictivo")</x:f>
        <x:v>0</x:v>
      </x:c>
      <x:c r="F140" s="109" t="n">
        <x:f>COUNTIFS(Votaciones!$A$2:$A$336,B140,Votaciones!$D$2:$D$336,"Disenso acomodaticio")</x:f>
        <x:v>0</x:v>
      </x:c>
    </x:row>
    <x:row r="141">
      <x:c r="A141" s="101" t="n">
        <x:f>Decisiones!B141</x:f>
        <x:v>41887</x:v>
      </x:c>
      <x:c r="B141" s="104" t="str">
        <x:f>Decisiones!A141</x:f>
        <x:v>D20140905</x:v>
      </x:c>
      <x:c r="C141" s="108" t="n">
        <x:f>Decisiones!H141</x:f>
        <x:v>3</x:v>
      </x:c>
      <x:c r="D141" s="109" t="n">
        <x:f>Decisiones!G141</x:f>
        <x:v>0</x:v>
      </x:c>
      <x:c r="E141" s="109" t="n">
        <x:f>COUNTIFS(Votaciones!$A$2:$A$336,B141,Votaciones!$D$2:$D$336,"Disenso restrictivo")</x:f>
        <x:v>0</x:v>
      </x:c>
      <x:c r="F141" s="109" t="n">
        <x:f>COUNTIFS(Votaciones!$A$2:$A$336,B141,Votaciones!$D$2:$D$336,"Disenso acomodaticio")</x:f>
        <x:v>0</x:v>
      </x:c>
    </x:row>
    <x:row r="142">
      <x:c r="A142" s="101" t="n">
        <x:f>Decisiones!B142</x:f>
        <x:v>41943</x:v>
      </x:c>
      <x:c r="B142" s="104" t="str">
        <x:f>Decisiones!A142</x:f>
        <x:v>D20141031</x:v>
      </x:c>
      <x:c r="C142" s="108" t="n">
        <x:f>Decisiones!H142</x:f>
        <x:v>3</x:v>
      </x:c>
      <x:c r="D142" s="109" t="n">
        <x:f>Decisiones!G142</x:f>
        <x:v>0</x:v>
      </x:c>
      <x:c r="E142" s="109" t="n">
        <x:f>COUNTIFS(Votaciones!$A$2:$A$336,B142,Votaciones!$D$2:$D$336,"Disenso restrictivo")</x:f>
        <x:v>0</x:v>
      </x:c>
      <x:c r="F142" s="109" t="n">
        <x:f>COUNTIFS(Votaciones!$A$2:$A$336,B142,Votaciones!$D$2:$D$336,"Disenso acomodaticio")</x:f>
        <x:v>0</x:v>
      </x:c>
    </x:row>
    <x:row r="143">
      <x:c r="A143" s="101" t="n">
        <x:f>Decisiones!B143</x:f>
        <x:v>41978</x:v>
      </x:c>
      <x:c r="B143" s="104" t="str">
        <x:f>Decisiones!A143</x:f>
        <x:v>D20141205</x:v>
      </x:c>
      <x:c r="C143" s="108" t="n">
        <x:f>Decisiones!H143</x:f>
        <x:v>3</x:v>
      </x:c>
      <x:c r="D143" s="109" t="n">
        <x:f>Decisiones!G143</x:f>
        <x:v>0</x:v>
      </x:c>
      <x:c r="E143" s="109" t="n">
        <x:f>COUNTIFS(Votaciones!$A$2:$A$336,B143,Votaciones!$D$2:$D$336,"Disenso restrictivo")</x:f>
        <x:v>0</x:v>
      </x:c>
      <x:c r="F143" s="109" t="n">
        <x:f>COUNTIFS(Votaciones!$A$2:$A$336,B143,Votaciones!$D$2:$D$336,"Disenso acomodaticio")</x:f>
        <x:v>0</x:v>
      </x:c>
    </x:row>
    <x:row r="144">
      <x:c r="A144" s="101" t="n">
        <x:f>Decisiones!B144</x:f>
        <x:v>42033</x:v>
      </x:c>
      <x:c r="B144" s="104" t="str">
        <x:f>Decisiones!A144</x:f>
        <x:v>D20150129</x:v>
      </x:c>
      <x:c r="C144" s="108" t="n">
        <x:f>Decisiones!H144</x:f>
        <x:v>3</x:v>
      </x:c>
      <x:c r="D144" s="109" t="n">
        <x:f>Decisiones!G144</x:f>
        <x:v>0</x:v>
      </x:c>
      <x:c r="E144" s="109" t="n">
        <x:f>COUNTIFS(Votaciones!$A$2:$A$336,B144,Votaciones!$D$2:$D$336,"Disenso restrictivo")</x:f>
        <x:v>0</x:v>
      </x:c>
      <x:c r="F144" s="109" t="n">
        <x:f>COUNTIFS(Votaciones!$A$2:$A$336,B144,Votaciones!$D$2:$D$336,"Disenso acomodaticio")</x:f>
        <x:v>0</x:v>
      </x:c>
    </x:row>
    <x:row r="145">
      <x:c r="A145" s="101" t="n">
        <x:f>Decisiones!B145</x:f>
        <x:v>42089</x:v>
      </x:c>
      <x:c r="B145" s="104" t="str">
        <x:f>Decisiones!A145</x:f>
        <x:v>D20150326</x:v>
      </x:c>
      <x:c r="C145" s="108" t="n">
        <x:f>Decisiones!H145</x:f>
        <x:v>3</x:v>
      </x:c>
      <x:c r="D145" s="109" t="n">
        <x:f>Decisiones!G145</x:f>
        <x:v>0</x:v>
      </x:c>
      <x:c r="E145" s="109" t="n">
        <x:f>COUNTIFS(Votaciones!$A$2:$A$336,B145,Votaciones!$D$2:$D$336,"Disenso restrictivo")</x:f>
        <x:v>0</x:v>
      </x:c>
      <x:c r="F145" s="109" t="n">
        <x:f>COUNTIFS(Votaciones!$A$2:$A$336,B145,Votaciones!$D$2:$D$336,"Disenso acomodaticio")</x:f>
        <x:v>0</x:v>
      </x:c>
    </x:row>
    <x:row r="146">
      <x:c r="A146" s="101" t="n">
        <x:f>Decisiones!B146</x:f>
        <x:v>42124</x:v>
      </x:c>
      <x:c r="B146" s="104" t="str">
        <x:f>Decisiones!A146</x:f>
        <x:v>D20150430</x:v>
      </x:c>
      <x:c r="C146" s="108" t="n">
        <x:f>Decisiones!H146</x:f>
        <x:v>3</x:v>
      </x:c>
      <x:c r="D146" s="109" t="n">
        <x:f>Decisiones!G146</x:f>
        <x:v>0</x:v>
      </x:c>
      <x:c r="E146" s="109" t="n">
        <x:f>COUNTIFS(Votaciones!$A$2:$A$336,B146,Votaciones!$D$2:$D$336,"Disenso restrictivo")</x:f>
        <x:v>0</x:v>
      </x:c>
      <x:c r="F146" s="109" t="n">
        <x:f>COUNTIFS(Votaciones!$A$2:$A$336,B146,Votaciones!$D$2:$D$336,"Disenso acomodaticio")</x:f>
        <x:v>0</x:v>
      </x:c>
    </x:row>
    <x:row r="147">
      <x:c r="A147" s="101" t="n">
        <x:f>Decisiones!B147</x:f>
        <x:v>42159</x:v>
      </x:c>
      <x:c r="B147" s="104" t="str">
        <x:f>Decisiones!A147</x:f>
        <x:v>D20150604</x:v>
      </x:c>
      <x:c r="C147" s="108" t="n">
        <x:f>Decisiones!H147</x:f>
        <x:v>3</x:v>
      </x:c>
      <x:c r="D147" s="109" t="n">
        <x:f>Decisiones!G147</x:f>
        <x:v>0</x:v>
      </x:c>
      <x:c r="E147" s="109" t="n">
        <x:f>COUNTIFS(Votaciones!$A$2:$A$336,B147,Votaciones!$D$2:$D$336,"Disenso restrictivo")</x:f>
        <x:v>0</x:v>
      </x:c>
      <x:c r="F147" s="109" t="n">
        <x:f>COUNTIFS(Votaciones!$A$2:$A$336,B147,Votaciones!$D$2:$D$336,"Disenso acomodaticio")</x:f>
        <x:v>0</x:v>
      </x:c>
    </x:row>
    <x:row r="148">
      <x:c r="A148" s="101" t="n">
        <x:f>Decisiones!B148</x:f>
        <x:v>42215</x:v>
      </x:c>
      <x:c r="B148" s="104" t="str">
        <x:f>Decisiones!A148</x:f>
        <x:v>D20150730</x:v>
      </x:c>
      <x:c r="C148" s="108" t="n">
        <x:f>Decisiones!H148</x:f>
        <x:v>3</x:v>
      </x:c>
      <x:c r="D148" s="109" t="n">
        <x:f>Decisiones!G148</x:f>
        <x:v>0</x:v>
      </x:c>
      <x:c r="E148" s="109" t="n">
        <x:f>COUNTIFS(Votaciones!$A$2:$A$336,B148,Votaciones!$D$2:$D$336,"Disenso restrictivo")</x:f>
        <x:v>0</x:v>
      </x:c>
      <x:c r="F148" s="109" t="n">
        <x:f>COUNTIFS(Votaciones!$A$2:$A$336,B148,Votaciones!$D$2:$D$336,"Disenso acomodaticio")</x:f>
        <x:v>0</x:v>
      </x:c>
    </x:row>
    <x:row r="149">
      <x:c r="A149" s="101" t="n">
        <x:f>Decisiones!B149</x:f>
        <x:v>42268</x:v>
      </x:c>
      <x:c r="B149" s="104" t="str">
        <x:f>Decisiones!A149</x:f>
        <x:v>D20150921</x:v>
      </x:c>
      <x:c r="C149" s="108" t="n">
        <x:f>Decisiones!H149</x:f>
        <x:v>3</x:v>
      </x:c>
      <x:c r="D149" s="109" t="n">
        <x:f>Decisiones!G149</x:f>
        <x:v>0</x:v>
      </x:c>
      <x:c r="E149" s="109" t="n">
        <x:f>COUNTIFS(Votaciones!$A$2:$A$336,B149,Votaciones!$D$2:$D$336,"Disenso restrictivo")</x:f>
        <x:v>0</x:v>
      </x:c>
      <x:c r="F149" s="109" t="n">
        <x:f>COUNTIFS(Votaciones!$A$2:$A$336,B149,Votaciones!$D$2:$D$336,"Disenso acomodaticio")</x:f>
        <x:v>0</x:v>
      </x:c>
    </x:row>
    <x:row r="150">
      <x:c r="A150" s="101" t="n">
        <x:f>Decisiones!B150</x:f>
        <x:v>42306</x:v>
      </x:c>
      <x:c r="B150" s="104" t="str">
        <x:f>Decisiones!A150</x:f>
        <x:v>D20151029</x:v>
      </x:c>
      <x:c r="C150" s="108" t="n">
        <x:f>Decisiones!H150</x:f>
        <x:v>3</x:v>
      </x:c>
      <x:c r="D150" s="109" t="n">
        <x:f>Decisiones!G150</x:f>
        <x:v>0</x:v>
      </x:c>
      <x:c r="E150" s="109" t="n">
        <x:f>COUNTIFS(Votaciones!$A$2:$A$336,B150,Votaciones!$D$2:$D$336,"Disenso restrictivo")</x:f>
        <x:v>0</x:v>
      </x:c>
      <x:c r="F150" s="109" t="n">
        <x:f>COUNTIFS(Votaciones!$A$2:$A$336,B150,Votaciones!$D$2:$D$336,"Disenso acomodaticio")</x:f>
        <x:v>0</x:v>
      </x:c>
    </x:row>
    <x:row r="151">
      <x:c r="A151" s="101" t="n">
        <x:f>Decisiones!B151</x:f>
        <x:v>42355</x:v>
      </x:c>
      <x:c r="B151" s="104" t="str">
        <x:f>Decisiones!A151</x:f>
        <x:v>D20151217</x:v>
      </x:c>
      <x:c r="C151" s="108" t="n">
        <x:f>Decisiones!H151</x:f>
        <x:v>3.25</x:v>
      </x:c>
      <x:c r="D151" s="109" t="n">
        <x:f>Decisiones!G151</x:f>
        <x:v>25</x:v>
      </x:c>
      <x:c r="E151" s="109" t="n">
        <x:f>COUNTIFS(Votaciones!$A$2:$A$336,B151,Votaciones!$D$2:$D$336,"Disenso restrictivo")</x:f>
        <x:v>0</x:v>
      </x:c>
      <x:c r="F151" s="109" t="n">
        <x:f>COUNTIFS(Votaciones!$A$2:$A$336,B151,Votaciones!$D$2:$D$336,"Disenso acomodaticio")</x:f>
        <x:v>0</x:v>
      </x:c>
    </x:row>
    <x:row r="152">
      <x:c r="A152" s="101" t="n">
        <x:f>Decisiones!B152</x:f>
        <x:v>42404</x:v>
      </x:c>
      <x:c r="B152" s="104" t="str">
        <x:f>Decisiones!A152</x:f>
        <x:v>D20160204</x:v>
      </x:c>
      <x:c r="C152" s="108" t="n">
        <x:f>Decisiones!H152</x:f>
        <x:v>3.25</x:v>
      </x:c>
      <x:c r="D152" s="109" t="n">
        <x:f>Decisiones!G152</x:f>
        <x:v>0</x:v>
      </x:c>
      <x:c r="E152" s="109" t="n">
        <x:f>COUNTIFS(Votaciones!$A$2:$A$336,B152,Votaciones!$D$2:$D$336,"Disenso restrictivo")</x:f>
        <x:v>0</x:v>
      </x:c>
      <x:c r="F152" s="109" t="n">
        <x:f>COUNTIFS(Votaciones!$A$2:$A$336,B152,Votaciones!$D$2:$D$336,"Disenso acomodaticio")</x:f>
        <x:v>0</x:v>
      </x:c>
    </x:row>
    <x:row r="153">
      <x:c r="A153" s="101" t="n">
        <x:f>Decisiones!B153</x:f>
        <x:v>42417</x:v>
      </x:c>
      <x:c r="B153" s="104" t="str">
        <x:f>Decisiones!A153</x:f>
        <x:v>D20160217</x:v>
      </x:c>
      <x:c r="C153" s="108" t="n">
        <x:f>Decisiones!H153</x:f>
        <x:v>3.75</x:v>
      </x:c>
      <x:c r="D153" s="109" t="n">
        <x:f>Decisiones!G153</x:f>
        <x:v>50</x:v>
      </x:c>
      <x:c r="E153" s="109" t="n">
        <x:f>COUNTIFS(Votaciones!$A$2:$A$336,B153,Votaciones!$D$2:$D$336,"Disenso restrictivo")</x:f>
        <x:v>0</x:v>
      </x:c>
      <x:c r="F153" s="109" t="n">
        <x:f>COUNTIFS(Votaciones!$A$2:$A$336,B153,Votaciones!$D$2:$D$336,"Disenso acomodaticio")</x:f>
        <x:v>0</x:v>
      </x:c>
    </x:row>
    <x:row r="154">
      <x:c r="A154" s="101" t="n">
        <x:f>Decisiones!B154</x:f>
        <x:v>42447</x:v>
      </x:c>
      <x:c r="B154" s="104" t="str">
        <x:f>Decisiones!A154</x:f>
        <x:v>D20160318</x:v>
      </x:c>
      <x:c r="C154" s="108" t="n">
        <x:f>Decisiones!H154</x:f>
        <x:v>3.75</x:v>
      </x:c>
      <x:c r="D154" s="109" t="n">
        <x:f>Decisiones!G154</x:f>
        <x:v>0</x:v>
      </x:c>
      <x:c r="E154" s="109" t="n">
        <x:f>COUNTIFS(Votaciones!$A$2:$A$336,B154,Votaciones!$D$2:$D$336,"Disenso restrictivo")</x:f>
        <x:v>0</x:v>
      </x:c>
      <x:c r="F154" s="109" t="n">
        <x:f>COUNTIFS(Votaciones!$A$2:$A$336,B154,Votaciones!$D$2:$D$336,"Disenso acomodaticio")</x:f>
        <x:v>0</x:v>
      </x:c>
    </x:row>
    <x:row r="155">
      <x:c r="A155" s="101" t="n">
        <x:f>Decisiones!B155</x:f>
        <x:v>42495</x:v>
      </x:c>
      <x:c r="B155" s="104" t="str">
        <x:f>Decisiones!A155</x:f>
        <x:v>D20160505</x:v>
      </x:c>
      <x:c r="C155" s="108" t="n">
        <x:f>Decisiones!H155</x:f>
        <x:v>3.75</x:v>
      </x:c>
      <x:c r="D155" s="109" t="n">
        <x:f>Decisiones!G155</x:f>
        <x:v>0</x:v>
      </x:c>
      <x:c r="E155" s="109" t="n">
        <x:f>COUNTIFS(Votaciones!$A$2:$A$336,B155,Votaciones!$D$2:$D$336,"Disenso restrictivo")</x:f>
        <x:v>0</x:v>
      </x:c>
      <x:c r="F155" s="109" t="n">
        <x:f>COUNTIFS(Votaciones!$A$2:$A$336,B155,Votaciones!$D$2:$D$336,"Disenso acomodaticio")</x:f>
        <x:v>0</x:v>
      </x:c>
    </x:row>
    <x:row r="156">
      <x:c r="A156" s="101" t="n">
        <x:f>Decisiones!B156</x:f>
        <x:v>42551</x:v>
      </x:c>
      <x:c r="B156" s="104" t="str">
        <x:f>Decisiones!A156</x:f>
        <x:v>D20160630</x:v>
      </x:c>
      <x:c r="C156" s="108" t="n">
        <x:f>Decisiones!H156</x:f>
        <x:v>4.25</x:v>
      </x:c>
      <x:c r="D156" s="109" t="n">
        <x:f>Decisiones!G156</x:f>
        <x:v>50</x:v>
      </x:c>
      <x:c r="E156" s="109" t="n">
        <x:f>COUNTIFS(Votaciones!$A$2:$A$336,B156,Votaciones!$D$2:$D$336,"Disenso restrictivo")</x:f>
        <x:v>0</x:v>
      </x:c>
      <x:c r="F156" s="109" t="n">
        <x:f>COUNTIFS(Votaciones!$A$2:$A$336,B156,Votaciones!$D$2:$D$336,"Disenso acomodaticio")</x:f>
        <x:v>0</x:v>
      </x:c>
    </x:row>
    <x:row r="157">
      <x:c r="A157" s="101" t="n">
        <x:f>Decisiones!B157</x:f>
        <x:v>42593</x:v>
      </x:c>
      <x:c r="B157" s="104" t="str">
        <x:f>Decisiones!A157</x:f>
        <x:v>D20160811</x:v>
      </x:c>
      <x:c r="C157" s="108" t="n">
        <x:f>Decisiones!H157</x:f>
        <x:v>4.25</x:v>
      </x:c>
      <x:c r="D157" s="109" t="n">
        <x:f>Decisiones!G157</x:f>
        <x:v>0</x:v>
      </x:c>
      <x:c r="E157" s="109" t="n">
        <x:f>COUNTIFS(Votaciones!$A$2:$A$336,B157,Votaciones!$D$2:$D$336,"Disenso restrictivo")</x:f>
        <x:v>0</x:v>
      </x:c>
      <x:c r="F157" s="109" t="n">
        <x:f>COUNTIFS(Votaciones!$A$2:$A$336,B157,Votaciones!$D$2:$D$336,"Disenso acomodaticio")</x:f>
        <x:v>0</x:v>
      </x:c>
    </x:row>
    <x:row r="158">
      <x:c r="A158" s="101" t="n">
        <x:f>Decisiones!B158</x:f>
        <x:v>42642</x:v>
      </x:c>
      <x:c r="B158" s="104" t="str">
        <x:f>Decisiones!A158</x:f>
        <x:v>D20160929</x:v>
      </x:c>
      <x:c r="C158" s="108" t="n">
        <x:f>Decisiones!H158</x:f>
        <x:v>4.75</x:v>
      </x:c>
      <x:c r="D158" s="109" t="n">
        <x:f>Decisiones!G158</x:f>
        <x:v>50</x:v>
      </x:c>
      <x:c r="E158" s="109" t="n">
        <x:f>COUNTIFS(Votaciones!$A$2:$A$336,B158,Votaciones!$D$2:$D$336,"Disenso restrictivo")</x:f>
        <x:v>0</x:v>
      </x:c>
      <x:c r="F158" s="109" t="n">
        <x:f>COUNTIFS(Votaciones!$A$2:$A$336,B158,Votaciones!$D$2:$D$336,"Disenso acomodaticio")</x:f>
        <x:v>0</x:v>
      </x:c>
    </x:row>
    <x:row r="159">
      <x:c r="A159" s="101" t="n">
        <x:f>Decisiones!B159</x:f>
        <x:v>42691</x:v>
      </x:c>
      <x:c r="B159" s="104" t="str">
        <x:f>Decisiones!A159</x:f>
        <x:v>D20161117</x:v>
      </x:c>
      <x:c r="C159" s="108" t="n">
        <x:f>Decisiones!H159</x:f>
        <x:v>5.25</x:v>
      </x:c>
      <x:c r="D159" s="109" t="n">
        <x:f>Decisiones!G159</x:f>
        <x:v>50</x:v>
      </x:c>
      <x:c r="E159" s="109" t="n">
        <x:f>COUNTIFS(Votaciones!$A$2:$A$336,B159,Votaciones!$D$2:$D$336,"Disenso restrictivo")</x:f>
        <x:v>0</x:v>
      </x:c>
      <x:c r="F159" s="109" t="n">
        <x:f>COUNTIFS(Votaciones!$A$2:$A$336,B159,Votaciones!$D$2:$D$336,"Disenso acomodaticio")</x:f>
        <x:v>0</x:v>
      </x:c>
    </x:row>
    <x:row r="160">
      <x:c r="A160" s="101" t="n">
        <x:f>Decisiones!B160</x:f>
        <x:v>42719</x:v>
      </x:c>
      <x:c r="B160" s="104" t="str">
        <x:f>Decisiones!A160</x:f>
        <x:v>D20161215</x:v>
      </x:c>
      <x:c r="C160" s="108" t="n">
        <x:f>Decisiones!H160</x:f>
        <x:v>5.75</x:v>
      </x:c>
      <x:c r="D160" s="109" t="n">
        <x:f>Decisiones!G160</x:f>
        <x:v>50</x:v>
      </x:c>
      <x:c r="E160" s="109" t="n">
        <x:f>COUNTIFS(Votaciones!$A$2:$A$336,B160,Votaciones!$D$2:$D$336,"Disenso restrictivo")</x:f>
        <x:v>0</x:v>
      </x:c>
      <x:c r="F160" s="109" t="n">
        <x:f>COUNTIFS(Votaciones!$A$2:$A$336,B160,Votaciones!$D$2:$D$336,"Disenso acomodaticio")</x:f>
        <x:v>0</x:v>
      </x:c>
    </x:row>
    <x:row r="161">
      <x:c r="A161" s="101" t="n">
        <x:f>Decisiones!B161</x:f>
        <x:v>42775</x:v>
      </x:c>
      <x:c r="B161" s="104" t="str">
        <x:f>Decisiones!A161</x:f>
        <x:v>D20170209</x:v>
      </x:c>
      <x:c r="C161" s="108" t="n">
        <x:f>Decisiones!H161</x:f>
        <x:v>6.25</x:v>
      </x:c>
      <x:c r="D161" s="109" t="n">
        <x:f>Decisiones!G161</x:f>
        <x:v>50</x:v>
      </x:c>
      <x:c r="E161" s="109" t="n">
        <x:f>COUNTIFS(Votaciones!$A$2:$A$336,B161,Votaciones!$D$2:$D$336,"Disenso restrictivo")</x:f>
        <x:v>0</x:v>
      </x:c>
      <x:c r="F161" s="109" t="n">
        <x:f>COUNTIFS(Votaciones!$A$2:$A$336,B161,Votaciones!$D$2:$D$336,"Disenso acomodaticio")</x:f>
        <x:v>0</x:v>
      </x:c>
    </x:row>
    <x:row r="162">
      <x:c r="A162" s="101" t="n">
        <x:f>Decisiones!B162</x:f>
        <x:v>42824</x:v>
      </x:c>
      <x:c r="B162" s="104" t="str">
        <x:f>Decisiones!A162</x:f>
        <x:v>D20170330</x:v>
      </x:c>
      <x:c r="C162" s="108" t="n">
        <x:f>Decisiones!H162</x:f>
        <x:v>6.5</x:v>
      </x:c>
      <x:c r="D162" s="109" t="n">
        <x:f>Decisiones!G162</x:f>
        <x:v>25</x:v>
      </x:c>
      <x:c r="E162" s="109" t="n">
        <x:f>COUNTIFS(Votaciones!$A$2:$A$336,B162,Votaciones!$D$2:$D$336,"Disenso restrictivo")</x:f>
        <x:v>0</x:v>
      </x:c>
      <x:c r="F162" s="109" t="n">
        <x:f>COUNTIFS(Votaciones!$A$2:$A$336,B162,Votaciones!$D$2:$D$336,"Disenso acomodaticio")</x:f>
        <x:v>0</x:v>
      </x:c>
    </x:row>
    <x:row r="163">
      <x:c r="A163" s="101" t="n">
        <x:f>Decisiones!B163</x:f>
        <x:v>42873</x:v>
      </x:c>
      <x:c r="B163" s="104" t="str">
        <x:f>Decisiones!A163</x:f>
        <x:v>D20170518</x:v>
      </x:c>
      <x:c r="C163" s="108" t="n">
        <x:f>Decisiones!H163</x:f>
        <x:v>6.75</x:v>
      </x:c>
      <x:c r="D163" s="109" t="n">
        <x:f>Decisiones!G163</x:f>
        <x:v>25</x:v>
      </x:c>
      <x:c r="E163" s="109" t="n">
        <x:f>COUNTIFS(Votaciones!$A$2:$A$336,B163,Votaciones!$D$2:$D$336,"Disenso restrictivo")</x:f>
        <x:v>0</x:v>
      </x:c>
      <x:c r="F163" s="109" t="n">
        <x:f>COUNTIFS(Votaciones!$A$2:$A$336,B163,Votaciones!$D$2:$D$336,"Disenso acomodaticio")</x:f>
        <x:v>0</x:v>
      </x:c>
    </x:row>
    <x:row r="164">
      <x:c r="A164" s="101" t="n">
        <x:f>Decisiones!B164</x:f>
        <x:v>42908</x:v>
      </x:c>
      <x:c r="B164" s="104" t="str">
        <x:f>Decisiones!A164</x:f>
        <x:v>D20170622</x:v>
      </x:c>
      <x:c r="C164" s="108" t="n">
        <x:f>Decisiones!H164</x:f>
        <x:v>7</x:v>
      </x:c>
      <x:c r="D164" s="109" t="n">
        <x:f>Decisiones!G164</x:f>
        <x:v>25</x:v>
      </x:c>
      <x:c r="E164" s="109" t="n">
        <x:f>COUNTIFS(Votaciones!$A$2:$A$336,B164,Votaciones!$D$2:$D$336,"Disenso restrictivo")</x:f>
        <x:v>0</x:v>
      </x:c>
      <x:c r="F164" s="109" t="n">
        <x:f>COUNTIFS(Votaciones!$A$2:$A$336,B164,Votaciones!$D$2:$D$336,"Disenso acomodaticio")</x:f>
        <x:v>0</x:v>
      </x:c>
    </x:row>
    <x:row r="165">
      <x:c r="A165" s="101" t="n">
        <x:f>Decisiones!B165</x:f>
        <x:v>42957</x:v>
      </x:c>
      <x:c r="B165" s="104" t="str">
        <x:f>Decisiones!A165</x:f>
        <x:v>D20170810</x:v>
      </x:c>
      <x:c r="C165" s="108" t="n">
        <x:f>Decisiones!H165</x:f>
        <x:v>7</x:v>
      </x:c>
      <x:c r="D165" s="109" t="n">
        <x:f>Decisiones!G165</x:f>
        <x:v>0</x:v>
      </x:c>
      <x:c r="E165" s="109" t="n">
        <x:f>COUNTIFS(Votaciones!$A$2:$A$336,B165,Votaciones!$D$2:$D$336,"Disenso restrictivo")</x:f>
        <x:v>0</x:v>
      </x:c>
      <x:c r="F165" s="109" t="n">
        <x:f>COUNTIFS(Votaciones!$A$2:$A$336,B165,Votaciones!$D$2:$D$336,"Disenso acomodaticio")</x:f>
        <x:v>0</x:v>
      </x:c>
    </x:row>
    <x:row r="166">
      <x:c r="A166" s="101" t="n">
        <x:f>Decisiones!B166</x:f>
        <x:v>43006</x:v>
      </x:c>
      <x:c r="B166" s="104" t="str">
        <x:f>Decisiones!A166</x:f>
        <x:v>D20170928</x:v>
      </x:c>
      <x:c r="C166" s="108" t="n">
        <x:f>Decisiones!H166</x:f>
        <x:v>7</x:v>
      </x:c>
      <x:c r="D166" s="109" t="n">
        <x:f>Decisiones!G166</x:f>
        <x:v>0</x:v>
      </x:c>
      <x:c r="E166" s="109" t="n">
        <x:f>COUNTIFS(Votaciones!$A$2:$A$336,B166,Votaciones!$D$2:$D$336,"Disenso restrictivo")</x:f>
        <x:v>0</x:v>
      </x:c>
      <x:c r="F166" s="109" t="n">
        <x:f>COUNTIFS(Votaciones!$A$2:$A$336,B166,Votaciones!$D$2:$D$336,"Disenso acomodaticio")</x:f>
        <x:v>0</x:v>
      </x:c>
    </x:row>
    <x:row r="167">
      <x:c r="A167" s="101" t="n">
        <x:f>Decisiones!B167</x:f>
        <x:v>43048</x:v>
      </x:c>
      <x:c r="B167" s="104" t="str">
        <x:f>Decisiones!A167</x:f>
        <x:v>D20171109</x:v>
      </x:c>
      <x:c r="C167" s="108" t="n">
        <x:f>Decisiones!H167</x:f>
        <x:v>7</x:v>
      </x:c>
      <x:c r="D167" s="109" t="n">
        <x:f>Decisiones!G167</x:f>
        <x:v>0</x:v>
      </x:c>
      <x:c r="E167" s="109" t="n">
        <x:f>COUNTIFS(Votaciones!$A$2:$A$336,B167,Votaciones!$D$2:$D$336,"Disenso restrictivo")</x:f>
        <x:v>0</x:v>
      </x:c>
      <x:c r="F167" s="109" t="n">
        <x:f>COUNTIFS(Votaciones!$A$2:$A$336,B167,Votaciones!$D$2:$D$336,"Disenso acomodaticio")</x:f>
        <x:v>0</x:v>
      </x:c>
    </x:row>
    <x:row r="168">
      <x:c r="A168" s="101" t="n">
        <x:f>Decisiones!B168</x:f>
        <x:v>43083</x:v>
      </x:c>
      <x:c r="B168" s="104" t="str">
        <x:f>Decisiones!A168</x:f>
        <x:v>D20171214</x:v>
      </x:c>
      <x:c r="C168" s="108" t="n">
        <x:f>Decisiones!H168</x:f>
        <x:v>7.25</x:v>
      </x:c>
      <x:c r="D168" s="109" t="n">
        <x:f>Decisiones!G168</x:f>
        <x:v>25</x:v>
      </x:c>
      <x:c r="E168" s="109" t="n">
        <x:f>COUNTIFS(Votaciones!$A$2:$A$336,B168,Votaciones!$D$2:$D$336,"Disenso restrictivo")</x:f>
        <x:v>0</x:v>
      </x:c>
      <x:c r="F168" s="109" t="n">
        <x:f>COUNTIFS(Votaciones!$A$2:$A$336,B168,Votaciones!$D$2:$D$336,"Disenso acomodaticio")</x:f>
        <x:v>0</x:v>
      </x:c>
    </x:row>
    <x:row r="169">
      <x:c r="A169" s="101" t="n">
        <x:f>Decisiones!B169</x:f>
        <x:v>43139</x:v>
      </x:c>
      <x:c r="B169" s="104" t="str">
        <x:f>Decisiones!A169</x:f>
        <x:v>D20180208</x:v>
      </x:c>
      <x:c r="C169" s="108" t="n">
        <x:f>Decisiones!H169</x:f>
        <x:v>7.5</x:v>
      </x:c>
      <x:c r="D169" s="109" t="n">
        <x:f>Decisiones!G169</x:f>
        <x:v>25</x:v>
      </x:c>
      <x:c r="E169" s="109" t="n">
        <x:f>COUNTIFS(Votaciones!$A$2:$A$336,B169,Votaciones!$D$2:$D$336,"Disenso restrictivo")</x:f>
        <x:v>0</x:v>
      </x:c>
      <x:c r="F169" s="109" t="n">
        <x:f>COUNTIFS(Votaciones!$A$2:$A$336,B169,Votaciones!$D$2:$D$336,"Disenso acomodaticio")</x:f>
        <x:v>0</x:v>
      </x:c>
    </x:row>
    <x:row r="170">
      <x:c r="A170" s="101" t="n">
        <x:f>Decisiones!B170</x:f>
        <x:v>43202</x:v>
      </x:c>
      <x:c r="B170" s="104" t="str">
        <x:f>Decisiones!A170</x:f>
        <x:v>D20180412</x:v>
      </x:c>
      <x:c r="C170" s="108" t="n">
        <x:f>Decisiones!H170</x:f>
        <x:v>7.5</x:v>
      </x:c>
      <x:c r="D170" s="109" t="n">
        <x:f>Decisiones!G170</x:f>
        <x:v>0</x:v>
      </x:c>
      <x:c r="E170" s="109" t="n">
        <x:f>COUNTIFS(Votaciones!$A$2:$A$336,B170,Votaciones!$D$2:$D$336,"Disenso restrictivo")</x:f>
        <x:v>0</x:v>
      </x:c>
      <x:c r="F170" s="109" t="n">
        <x:f>COUNTIFS(Votaciones!$A$2:$A$336,B170,Votaciones!$D$2:$D$336,"Disenso acomodaticio")</x:f>
        <x:v>0</x:v>
      </x:c>
    </x:row>
    <x:row r="171">
      <x:c r="A171" s="101" t="n">
        <x:f>Decisiones!B171</x:f>
        <x:v>43237</x:v>
      </x:c>
      <x:c r="B171" s="104" t="str">
        <x:f>Decisiones!A171</x:f>
        <x:v>D20180517</x:v>
      </x:c>
      <x:c r="C171" s="108" t="n">
        <x:f>Decisiones!H171</x:f>
        <x:v>7.5</x:v>
      </x:c>
      <x:c r="D171" s="109" t="n">
        <x:f>Decisiones!G171</x:f>
        <x:v>0</x:v>
      </x:c>
      <x:c r="E171" s="109" t="n">
        <x:f>COUNTIFS(Votaciones!$A$2:$A$336,B171,Votaciones!$D$2:$D$336,"Disenso restrictivo")</x:f>
        <x:v>0</x:v>
      </x:c>
      <x:c r="F171" s="109" t="n">
        <x:f>COUNTIFS(Votaciones!$A$2:$A$336,B171,Votaciones!$D$2:$D$336,"Disenso acomodaticio")</x:f>
        <x:v>0</x:v>
      </x:c>
    </x:row>
    <x:row r="172">
      <x:c r="A172" s="101" t="n">
        <x:f>Decisiones!B172</x:f>
        <x:v>43272</x:v>
      </x:c>
      <x:c r="B172" s="104" t="str">
        <x:f>Decisiones!A172</x:f>
        <x:v>D20180621</x:v>
      </x:c>
      <x:c r="C172" s="108" t="n">
        <x:f>Decisiones!H172</x:f>
        <x:v>7.75</x:v>
      </x:c>
      <x:c r="D172" s="109" t="n">
        <x:f>Decisiones!G172</x:f>
        <x:v>25</x:v>
      </x:c>
      <x:c r="E172" s="109" t="n">
        <x:f>COUNTIFS(Votaciones!$A$2:$A$336,B172,Votaciones!$D$2:$D$336,"Disenso restrictivo")</x:f>
        <x:v>0</x:v>
      </x:c>
      <x:c r="F172" s="109" t="n">
        <x:f>COUNTIFS(Votaciones!$A$2:$A$336,B172,Votaciones!$D$2:$D$336,"Disenso acomodaticio")</x:f>
        <x:v>0</x:v>
      </x:c>
    </x:row>
    <x:row r="173">
      <x:c r="A173" s="101" t="n">
        <x:f>Decisiones!B173</x:f>
        <x:v>43314</x:v>
      </x:c>
      <x:c r="B173" s="104" t="str">
        <x:f>Decisiones!A173</x:f>
        <x:v>D20180802</x:v>
      </x:c>
      <x:c r="C173" s="108" t="n">
        <x:f>Decisiones!H173</x:f>
        <x:v>7.75</x:v>
      </x:c>
      <x:c r="D173" s="109" t="n">
        <x:f>Decisiones!G173</x:f>
        <x:v>0</x:v>
      </x:c>
      <x:c r="E173" s="109" t="n">
        <x:f>COUNTIFS(Votaciones!$A$2:$A$336,B173,Votaciones!$D$2:$D$336,"Disenso restrictivo")</x:f>
        <x:v>0</x:v>
      </x:c>
      <x:c r="F173" s="109" t="n">
        <x:f>COUNTIFS(Votaciones!$A$2:$A$336,B173,Votaciones!$D$2:$D$336,"Disenso acomodaticio")</x:f>
        <x:v>0</x:v>
      </x:c>
    </x:row>
    <x:row r="174">
      <x:c r="A174" s="101" t="n">
        <x:f>Decisiones!B174</x:f>
        <x:v>43377</x:v>
      </x:c>
      <x:c r="B174" s="104" t="str">
        <x:f>Decisiones!A174</x:f>
        <x:v>D20181004</x:v>
      </x:c>
      <x:c r="C174" s="108" t="n">
        <x:f>Decisiones!H174</x:f>
        <x:v>7.75</x:v>
      </x:c>
      <x:c r="D174" s="109" t="n">
        <x:f>Decisiones!G174</x:f>
        <x:v>0</x:v>
      </x:c>
      <x:c r="E174" s="109" t="n">
        <x:f>COUNTIFS(Votaciones!$A$2:$A$336,B174,Votaciones!$D$2:$D$336,"Disenso restrictivo")</x:f>
        <x:v>1</x:v>
      </x:c>
      <x:c r="F174" s="109" t="n">
        <x:f>COUNTIFS(Votaciones!$A$2:$A$336,B174,Votaciones!$D$2:$D$336,"Disenso acomodaticio")</x:f>
        <x:v>0</x:v>
      </x:c>
    </x:row>
    <x:row r="175">
      <x:c r="A175" s="101" t="n">
        <x:f>Decisiones!B175</x:f>
        <x:v>43419</x:v>
      </x:c>
      <x:c r="B175" s="104" t="str">
        <x:f>Decisiones!A175</x:f>
        <x:v>D20181115</x:v>
      </x:c>
      <x:c r="C175" s="108" t="n">
        <x:f>Decisiones!H175</x:f>
        <x:v>8</x:v>
      </x:c>
      <x:c r="D175" s="109" t="n">
        <x:f>Decisiones!G175</x:f>
        <x:v>25</x:v>
      </x:c>
      <x:c r="E175" s="109" t="n">
        <x:f>COUNTIFS(Votaciones!$A$2:$A$336,B175,Votaciones!$D$2:$D$336,"Disenso restrictivo")</x:f>
        <x:v>1</x:v>
      </x:c>
      <x:c r="F175" s="109" t="n">
        <x:f>COUNTIFS(Votaciones!$A$2:$A$336,B175,Votaciones!$D$2:$D$336,"Disenso acomodaticio")</x:f>
        <x:v>0</x:v>
      </x:c>
    </x:row>
    <x:row r="176">
      <x:c r="A176" s="101" t="n">
        <x:f>Decisiones!B176</x:f>
        <x:v>43454</x:v>
      </x:c>
      <x:c r="B176" s="104" t="str">
        <x:f>Decisiones!A176</x:f>
        <x:v>D20181220</x:v>
      </x:c>
      <x:c r="C176" s="108" t="n">
        <x:f>Decisiones!H176</x:f>
        <x:v>8.25</x:v>
      </x:c>
      <x:c r="D176" s="109" t="n">
        <x:f>Decisiones!G176</x:f>
        <x:v>25</x:v>
      </x:c>
      <x:c r="E176" s="109" t="n">
        <x:f>COUNTIFS(Votaciones!$A$2:$A$336,B176,Votaciones!$D$2:$D$336,"Disenso restrictivo")</x:f>
        <x:v>0</x:v>
      </x:c>
      <x:c r="F176" s="109" t="n">
        <x:f>COUNTIFS(Votaciones!$A$2:$A$336,B176,Votaciones!$D$2:$D$336,"Disenso acomodaticio")</x:f>
        <x:v>0</x:v>
      </x:c>
    </x:row>
    <x:row r="177">
      <x:c r="A177" s="101" t="n">
        <x:f>Decisiones!B177</x:f>
        <x:v>43503</x:v>
      </x:c>
      <x:c r="B177" s="104" t="str">
        <x:f>Decisiones!A177</x:f>
        <x:v>D20190207</x:v>
      </x:c>
      <x:c r="C177" s="108" t="n">
        <x:f>Decisiones!H177</x:f>
        <x:v>8.25</x:v>
      </x:c>
      <x:c r="D177" s="109" t="n">
        <x:f>Decisiones!G177</x:f>
        <x:v>0</x:v>
      </x:c>
      <x:c r="E177" s="109" t="n">
        <x:f>COUNTIFS(Votaciones!$A$2:$A$336,B177,Votaciones!$D$2:$D$336,"Disenso restrictivo")</x:f>
        <x:v>0</x:v>
      </x:c>
      <x:c r="F177" s="109" t="n">
        <x:f>COUNTIFS(Votaciones!$A$2:$A$336,B177,Votaciones!$D$2:$D$336,"Disenso acomodaticio")</x:f>
        <x:v>0</x:v>
      </x:c>
    </x:row>
    <x:row r="178">
      <x:c r="A178" s="101" t="n">
        <x:f>Decisiones!B178</x:f>
        <x:v>43552</x:v>
      </x:c>
      <x:c r="B178" s="104" t="str">
        <x:f>Decisiones!A178</x:f>
        <x:v>D20190328</x:v>
      </x:c>
      <x:c r="C178" s="108" t="n">
        <x:f>Decisiones!H178</x:f>
        <x:v>8.25</x:v>
      </x:c>
      <x:c r="D178" s="109" t="n">
        <x:f>Decisiones!G178</x:f>
        <x:v>0</x:v>
      </x:c>
      <x:c r="E178" s="109" t="n">
        <x:f>COUNTIFS(Votaciones!$A$2:$A$336,B178,Votaciones!$D$2:$D$336,"Disenso restrictivo")</x:f>
        <x:v>0</x:v>
      </x:c>
      <x:c r="F178" s="109" t="n">
        <x:f>COUNTIFS(Votaciones!$A$2:$A$336,B178,Votaciones!$D$2:$D$336,"Disenso acomodaticio")</x:f>
        <x:v>0</x:v>
      </x:c>
    </x:row>
    <x:row r="179">
      <x:c r="A179" s="101" t="n">
        <x:f>Decisiones!B179</x:f>
        <x:v>43601</x:v>
      </x:c>
      <x:c r="B179" s="104" t="str">
        <x:f>Decisiones!A179</x:f>
        <x:v>D20190516</x:v>
      </x:c>
      <x:c r="C179" s="108" t="n">
        <x:f>Decisiones!H179</x:f>
        <x:v>8.25</x:v>
      </x:c>
      <x:c r="D179" s="109" t="n">
        <x:f>Decisiones!G179</x:f>
        <x:v>0</x:v>
      </x:c>
      <x:c r="E179" s="109" t="n">
        <x:f>COUNTIFS(Votaciones!$A$2:$A$336,B179,Votaciones!$D$2:$D$336,"Disenso restrictivo")</x:f>
        <x:v>0</x:v>
      </x:c>
      <x:c r="F179" s="109" t="n">
        <x:f>COUNTIFS(Votaciones!$A$2:$A$336,B179,Votaciones!$D$2:$D$336,"Disenso acomodaticio")</x:f>
        <x:v>0</x:v>
      </x:c>
    </x:row>
    <x:row r="180">
      <x:c r="A180" s="101" t="n">
        <x:f>Decisiones!B180</x:f>
        <x:v>43643</x:v>
      </x:c>
      <x:c r="B180" s="104" t="str">
        <x:f>Decisiones!A180</x:f>
        <x:v>D20190627</x:v>
      </x:c>
      <x:c r="C180" s="108" t="n">
        <x:f>Decisiones!H180</x:f>
        <x:v>8.25</x:v>
      </x:c>
      <x:c r="D180" s="109" t="n">
        <x:f>Decisiones!G180</x:f>
        <x:v>0</x:v>
      </x:c>
      <x:c r="E180" s="109" t="n">
        <x:f>COUNTIFS(Votaciones!$A$2:$A$336,B180,Votaciones!$D$2:$D$336,"Disenso restrictivo")</x:f>
        <x:v>0</x:v>
      </x:c>
      <x:c r="F180" s="109" t="n">
        <x:f>COUNTIFS(Votaciones!$A$2:$A$336,B180,Votaciones!$D$2:$D$336,"Disenso acomodaticio")</x:f>
        <x:v>1</x:v>
      </x:c>
    </x:row>
    <x:row r="181">
      <x:c r="A181" s="101" t="n">
        <x:f>Decisiones!B181</x:f>
        <x:v>43692</x:v>
      </x:c>
      <x:c r="B181" s="104" t="str">
        <x:f>Decisiones!A181</x:f>
        <x:v>D20190815</x:v>
      </x:c>
      <x:c r="C181" s="108" t="n">
        <x:f>Decisiones!H181</x:f>
        <x:v>8</x:v>
      </x:c>
      <x:c r="D181" s="109" t="n">
        <x:f>Decisiones!G181</x:f>
        <x:v>-25</x:v>
      </x:c>
      <x:c r="E181" s="109" t="n">
        <x:f>COUNTIFS(Votaciones!$A$2:$A$336,B181,Votaciones!$D$2:$D$336,"Disenso restrictivo")</x:f>
        <x:v>1</x:v>
      </x:c>
      <x:c r="F181" s="109" t="n">
        <x:f>COUNTIFS(Votaciones!$A$2:$A$336,B181,Votaciones!$D$2:$D$336,"Disenso acomodaticio")</x:f>
        <x:v>0</x:v>
      </x:c>
    </x:row>
    <x:row r="182">
      <x:c r="A182" s="101" t="n">
        <x:f>Decisiones!B182</x:f>
        <x:v>43734</x:v>
      </x:c>
      <x:c r="B182" s="104" t="str">
        <x:f>Decisiones!A182</x:f>
        <x:v>D20190926</x:v>
      </x:c>
      <x:c r="C182" s="108" t="n">
        <x:f>Decisiones!H182</x:f>
        <x:v>7.75</x:v>
      </x:c>
      <x:c r="D182" s="109" t="n">
        <x:f>Decisiones!G182</x:f>
        <x:v>-25</x:v>
      </x:c>
      <x:c r="E182" s="109" t="n">
        <x:f>COUNTIFS(Votaciones!$A$2:$A$336,B182,Votaciones!$D$2:$D$336,"Disenso restrictivo")</x:f>
        <x:v>0</x:v>
      </x:c>
      <x:c r="F182" s="109" t="n">
        <x:f>COUNTIFS(Votaciones!$A$2:$A$336,B182,Votaciones!$D$2:$D$336,"Disenso acomodaticio")</x:f>
        <x:v>2</x:v>
      </x:c>
    </x:row>
    <x:row r="183">
      <x:c r="A183" s="101" t="n">
        <x:f>Decisiones!B183</x:f>
        <x:v>43783</x:v>
      </x:c>
      <x:c r="B183" s="104" t="str">
        <x:f>Decisiones!A183</x:f>
        <x:v>D20191114</x:v>
      </x:c>
      <x:c r="C183" s="108" t="n">
        <x:f>Decisiones!H183</x:f>
        <x:v>7.5</x:v>
      </x:c>
      <x:c r="D183" s="109" t="n">
        <x:f>Decisiones!G183</x:f>
        <x:v>-25</x:v>
      </x:c>
      <x:c r="E183" s="109" t="n">
        <x:f>COUNTIFS(Votaciones!$A$2:$A$336,B183,Votaciones!$D$2:$D$336,"Disenso restrictivo")</x:f>
        <x:v>0</x:v>
      </x:c>
      <x:c r="F183" s="109" t="n">
        <x:f>COUNTIFS(Votaciones!$A$2:$A$336,B183,Votaciones!$D$2:$D$336,"Disenso acomodaticio")</x:f>
        <x:v>2</x:v>
      </x:c>
    </x:row>
    <x:row r="184">
      <x:c r="A184" s="101" t="n">
        <x:f>Decisiones!B184</x:f>
        <x:v>43818</x:v>
      </x:c>
      <x:c r="B184" s="104" t="str">
        <x:f>Decisiones!A184</x:f>
        <x:v>D20191219</x:v>
      </x:c>
      <x:c r="C184" s="108" t="n">
        <x:f>Decisiones!H184</x:f>
        <x:v>7.25</x:v>
      </x:c>
      <x:c r="D184" s="109" t="n">
        <x:f>Decisiones!G184</x:f>
        <x:v>-25</x:v>
      </x:c>
      <x:c r="E184" s="109" t="n">
        <x:f>COUNTIFS(Votaciones!$A$2:$A$336,B184,Votaciones!$D$2:$D$336,"Disenso restrictivo")</x:f>
        <x:v>0</x:v>
      </x:c>
      <x:c r="F184" s="109" t="n">
        <x:f>COUNTIFS(Votaciones!$A$2:$A$336,B184,Votaciones!$D$2:$D$336,"Disenso acomodaticio")</x:f>
        <x:v>1</x:v>
      </x:c>
    </x:row>
    <x:row r="185">
      <x:c r="A185" s="101" t="n">
        <x:f>Decisiones!B185</x:f>
        <x:v>43874</x:v>
      </x:c>
      <x:c r="B185" s="104" t="str">
        <x:f>Decisiones!A185</x:f>
        <x:v>D20200213</x:v>
      </x:c>
      <x:c r="C185" s="108" t="n">
        <x:f>Decisiones!H185</x:f>
        <x:v>7</x:v>
      </x:c>
      <x:c r="D185" s="109" t="n">
        <x:f>Decisiones!G185</x:f>
        <x:v>-25</x:v>
      </x:c>
      <x:c r="E185" s="109" t="n">
        <x:f>COUNTIFS(Votaciones!$A$2:$A$336,B185,Votaciones!$D$2:$D$336,"Disenso restrictivo")</x:f>
        <x:v>0</x:v>
      </x:c>
      <x:c r="F185" s="109" t="n">
        <x:f>COUNTIFS(Votaciones!$A$2:$A$336,B185,Votaciones!$D$2:$D$336,"Disenso acomodaticio")</x:f>
        <x:v>0</x:v>
      </x:c>
    </x:row>
    <x:row r="186">
      <x:c r="A186" s="101" t="n">
        <x:f>Decisiones!B186</x:f>
        <x:v>43910</x:v>
      </x:c>
      <x:c r="B186" s="104" t="str">
        <x:f>Decisiones!A186</x:f>
        <x:v>D20200320</x:v>
      </x:c>
      <x:c r="C186" s="108" t="n">
        <x:f>Decisiones!H186</x:f>
        <x:v>6.5</x:v>
      </x:c>
      <x:c r="D186" s="109" t="n">
        <x:f>Decisiones!G186</x:f>
        <x:v>-50</x:v>
      </x:c>
      <x:c r="E186" s="109" t="n">
        <x:f>COUNTIFS(Votaciones!$A$2:$A$336,B186,Votaciones!$D$2:$D$336,"Disenso restrictivo")</x:f>
        <x:v>1</x:v>
      </x:c>
      <x:c r="F186" s="109" t="n">
        <x:f>COUNTIFS(Votaciones!$A$2:$A$336,B186,Votaciones!$D$2:$D$336,"Disenso acomodaticio")</x:f>
        <x:v>0</x:v>
      </x:c>
    </x:row>
    <x:row r="187">
      <x:c r="A187" s="101" t="n">
        <x:f>Decisiones!B187</x:f>
        <x:v>43942</x:v>
      </x:c>
      <x:c r="B187" s="104" t="str">
        <x:f>Decisiones!A187</x:f>
        <x:v>D20200421</x:v>
      </x:c>
      <x:c r="C187" s="108" t="n">
        <x:f>Decisiones!H187</x:f>
        <x:v>6</x:v>
      </x:c>
      <x:c r="D187" s="109" t="n">
        <x:f>Decisiones!G187</x:f>
        <x:v>-50</x:v>
      </x:c>
      <x:c r="E187" s="109" t="n">
        <x:f>COUNTIFS(Votaciones!$A$2:$A$336,B187,Votaciones!$D$2:$D$336,"Disenso restrictivo")</x:f>
        <x:v>0</x:v>
      </x:c>
      <x:c r="F187" s="109" t="n">
        <x:f>COUNTIFS(Votaciones!$A$2:$A$336,B187,Votaciones!$D$2:$D$336,"Disenso acomodaticio")</x:f>
        <x:v>0</x:v>
      </x:c>
    </x:row>
    <x:row r="188">
      <x:c r="A188" s="101" t="n">
        <x:f>Decisiones!B188</x:f>
        <x:v>43965</x:v>
      </x:c>
      <x:c r="B188" s="104" t="str">
        <x:f>Decisiones!A188</x:f>
        <x:v>D20200514</x:v>
      </x:c>
      <x:c r="C188" s="108" t="n">
        <x:f>Decisiones!H188</x:f>
        <x:v>5.5</x:v>
      </x:c>
      <x:c r="D188" s="109" t="n">
        <x:f>Decisiones!G188</x:f>
        <x:v>-50</x:v>
      </x:c>
      <x:c r="E188" s="109" t="n">
        <x:f>COUNTIFS(Votaciones!$A$2:$A$336,B188,Votaciones!$D$2:$D$336,"Disenso restrictivo")</x:f>
        <x:v>0</x:v>
      </x:c>
      <x:c r="F188" s="109" t="n">
        <x:f>COUNTIFS(Votaciones!$A$2:$A$336,B188,Votaciones!$D$2:$D$336,"Disenso acomodaticio")</x:f>
        <x:v>0</x:v>
      </x:c>
    </x:row>
    <x:row r="189">
      <x:c r="A189" s="101" t="n">
        <x:f>Decisiones!B189</x:f>
        <x:v>44007</x:v>
      </x:c>
      <x:c r="B189" s="104" t="str">
        <x:f>Decisiones!A189</x:f>
        <x:v>D20200625</x:v>
      </x:c>
      <x:c r="C189" s="108" t="n">
        <x:f>Decisiones!H189</x:f>
        <x:v>5</x:v>
      </x:c>
      <x:c r="D189" s="109" t="n">
        <x:f>Decisiones!G189</x:f>
        <x:v>-50</x:v>
      </x:c>
      <x:c r="E189" s="109" t="n">
        <x:f>COUNTIFS(Votaciones!$A$2:$A$336,B189,Votaciones!$D$2:$D$336,"Disenso restrictivo")</x:f>
        <x:v>0</x:v>
      </x:c>
      <x:c r="F189" s="109" t="n">
        <x:f>COUNTIFS(Votaciones!$A$2:$A$336,B189,Votaciones!$D$2:$D$336,"Disenso acomodaticio")</x:f>
        <x:v>0</x:v>
      </x:c>
    </x:row>
    <x:row r="190">
      <x:c r="A190" s="101" t="n">
        <x:f>Decisiones!B190</x:f>
        <x:v>44056</x:v>
      </x:c>
      <x:c r="B190" s="104" t="str">
        <x:f>Decisiones!A190</x:f>
        <x:v>D20200813</x:v>
      </x:c>
      <x:c r="C190" s="108" t="n">
        <x:f>Decisiones!H190</x:f>
        <x:v>4.5</x:v>
      </x:c>
      <x:c r="D190" s="109" t="n">
        <x:f>Decisiones!G190</x:f>
        <x:v>-50</x:v>
      </x:c>
      <x:c r="E190" s="109" t="n">
        <x:f>COUNTIFS(Votaciones!$A$2:$A$336,B190,Votaciones!$D$2:$D$336,"Disenso restrictivo")</x:f>
        <x:v>1</x:v>
      </x:c>
      <x:c r="F190" s="109" t="n">
        <x:f>COUNTIFS(Votaciones!$A$2:$A$336,B190,Votaciones!$D$2:$D$336,"Disenso acomodaticio")</x:f>
        <x:v>0</x:v>
      </x:c>
    </x:row>
    <x:row r="191">
      <x:c r="A191" s="101" t="n">
        <x:f>Decisiones!B191</x:f>
        <x:v>44098</x:v>
      </x:c>
      <x:c r="B191" s="104" t="str">
        <x:f>Decisiones!A191</x:f>
        <x:v>D20200924</x:v>
      </x:c>
      <x:c r="C191" s="108" t="n">
        <x:f>Decisiones!H191</x:f>
        <x:v>4.25</x:v>
      </x:c>
      <x:c r="D191" s="109" t="n">
        <x:f>Decisiones!G191</x:f>
        <x:v>-25</x:v>
      </x:c>
      <x:c r="E191" s="109" t="n">
        <x:f>COUNTIFS(Votaciones!$A$2:$A$336,B191,Votaciones!$D$2:$D$336,"Disenso restrictivo")</x:f>
        <x:v>0</x:v>
      </x:c>
      <x:c r="F191" s="109" t="n">
        <x:f>COUNTIFS(Votaciones!$A$2:$A$336,B191,Votaciones!$D$2:$D$336,"Disenso acomodaticio")</x:f>
        <x:v>0</x:v>
      </x:c>
    </x:row>
    <x:row r="192">
      <x:c r="A192" s="101" t="n">
        <x:f>Decisiones!B192</x:f>
        <x:v>44147</x:v>
      </x:c>
      <x:c r="B192" s="104" t="str">
        <x:f>Decisiones!A192</x:f>
        <x:v>D20201112</x:v>
      </x:c>
      <x:c r="C192" s="108" t="n">
        <x:f>Decisiones!H192</x:f>
        <x:v>4.25</x:v>
      </x:c>
      <x:c r="D192" s="109" t="n">
        <x:f>Decisiones!G192</x:f>
        <x:v>0</x:v>
      </x:c>
      <x:c r="E192" s="109" t="n">
        <x:f>COUNTIFS(Votaciones!$A$2:$A$336,B192,Votaciones!$D$2:$D$336,"Disenso restrictivo")</x:f>
        <x:v>0</x:v>
      </x:c>
      <x:c r="F192" s="109" t="n">
        <x:f>COUNTIFS(Votaciones!$A$2:$A$336,B192,Votaciones!$D$2:$D$336,"Disenso acomodaticio")</x:f>
        <x:v>1</x:v>
      </x:c>
    </x:row>
    <x:row r="193">
      <x:c r="A193" s="101" t="n">
        <x:f>Decisiones!B193</x:f>
        <x:v>44182</x:v>
      </x:c>
      <x:c r="B193" s="104" t="str">
        <x:f>Decisiones!A193</x:f>
        <x:v>D20201217</x:v>
      </x:c>
      <x:c r="C193" s="108" t="n">
        <x:f>Decisiones!H193</x:f>
        <x:v>4.25</x:v>
      </x:c>
      <x:c r="D193" s="109" t="n">
        <x:f>Decisiones!G193</x:f>
        <x:v>0</x:v>
      </x:c>
      <x:c r="E193" s="109" t="n">
        <x:f>COUNTIFS(Votaciones!$A$2:$A$336,B193,Votaciones!$D$2:$D$336,"Disenso restrictivo")</x:f>
        <x:v>0</x:v>
      </x:c>
      <x:c r="F193" s="109" t="n">
        <x:f>COUNTIFS(Votaciones!$A$2:$A$336,B193,Votaciones!$D$2:$D$336,"Disenso acomodaticio")</x:f>
        <x:v>2</x:v>
      </x:c>
    </x:row>
    <x:row r="194">
      <x:c r="A194" s="101" t="n">
        <x:f>Decisiones!B194</x:f>
        <x:v>44238</x:v>
      </x:c>
      <x:c r="B194" s="104" t="str">
        <x:f>Decisiones!A194</x:f>
        <x:v>D20210211</x:v>
      </x:c>
      <x:c r="C194" s="108" t="n">
        <x:f>Decisiones!H194</x:f>
        <x:v>4</x:v>
      </x:c>
      <x:c r="D194" s="109" t="n">
        <x:f>Decisiones!G194</x:f>
        <x:v>-25</x:v>
      </x:c>
      <x:c r="E194" s="109" t="n">
        <x:f>COUNTIFS(Votaciones!$A$2:$A$336,B194,Votaciones!$D$2:$D$336,"Disenso restrictivo")</x:f>
        <x:v>0</x:v>
      </x:c>
      <x:c r="F194" s="109" t="n">
        <x:f>COUNTIFS(Votaciones!$A$2:$A$336,B194,Votaciones!$D$2:$D$336,"Disenso acomodaticio")</x:f>
        <x:v>0</x:v>
      </x:c>
    </x:row>
    <x:row r="195">
      <x:c r="A195" s="101" t="n">
        <x:f>Decisiones!B195</x:f>
        <x:v>44280</x:v>
      </x:c>
      <x:c r="B195" s="104" t="str">
        <x:f>Decisiones!A195</x:f>
        <x:v>D20210325</x:v>
      </x:c>
      <x:c r="C195" s="108" t="n">
        <x:f>Decisiones!H195</x:f>
        <x:v>4</x:v>
      </x:c>
      <x:c r="D195" s="109" t="n">
        <x:f>Decisiones!G195</x:f>
        <x:v>0</x:v>
      </x:c>
      <x:c r="E195" s="109" t="n">
        <x:f>COUNTIFS(Votaciones!$A$2:$A$336,B195,Votaciones!$D$2:$D$336,"Disenso restrictivo")</x:f>
        <x:v>0</x:v>
      </x:c>
      <x:c r="F195" s="109" t="n">
        <x:f>COUNTIFS(Votaciones!$A$2:$A$336,B195,Votaciones!$D$2:$D$336,"Disenso acomodaticio")</x:f>
        <x:v>0</x:v>
      </x:c>
    </x:row>
    <x:row r="196">
      <x:c r="A196" s="101" t="n">
        <x:f>Decisiones!B196</x:f>
        <x:v>44329</x:v>
      </x:c>
      <x:c r="B196" s="104" t="str">
        <x:f>Decisiones!A196</x:f>
        <x:v>D20210513</x:v>
      </x:c>
      <x:c r="C196" s="108" t="n">
        <x:f>Decisiones!H196</x:f>
        <x:v>4</x:v>
      </x:c>
      <x:c r="D196" s="109" t="n">
        <x:f>Decisiones!G196</x:f>
        <x:v>0</x:v>
      </x:c>
      <x:c r="E196" s="109" t="n">
        <x:f>COUNTIFS(Votaciones!$A$2:$A$336,B196,Votaciones!$D$2:$D$336,"Disenso restrictivo")</x:f>
        <x:v>0</x:v>
      </x:c>
      <x:c r="F196" s="109" t="n">
        <x:f>COUNTIFS(Votaciones!$A$2:$A$336,B196,Votaciones!$D$2:$D$336,"Disenso acomodaticio")</x:f>
        <x:v>0</x:v>
      </x:c>
    </x:row>
    <x:row r="197">
      <x:c r="A197" s="101" t="n">
        <x:f>Decisiones!B197</x:f>
        <x:v>44371</x:v>
      </x:c>
      <x:c r="B197" s="104" t="str">
        <x:f>Decisiones!A197</x:f>
        <x:v>D20210624</x:v>
      </x:c>
      <x:c r="C197" s="108" t="n">
        <x:f>Decisiones!H197</x:f>
        <x:v>4.25</x:v>
      </x:c>
      <x:c r="D197" s="109" t="n">
        <x:f>Decisiones!G197</x:f>
        <x:v>25</x:v>
      </x:c>
      <x:c r="E197" s="109" t="n">
        <x:f>COUNTIFS(Votaciones!$A$2:$A$336,B197,Votaciones!$D$2:$D$336,"Disenso restrictivo")</x:f>
        <x:v>0</x:v>
      </x:c>
      <x:c r="F197" s="109" t="n">
        <x:f>COUNTIFS(Votaciones!$A$2:$A$336,B197,Votaciones!$D$2:$D$336,"Disenso acomodaticio")</x:f>
        <x:v>2</x:v>
      </x:c>
    </x:row>
    <x:row r="198">
      <x:c r="A198" s="101" t="n">
        <x:f>Decisiones!B198</x:f>
        <x:v>44420</x:v>
      </x:c>
      <x:c r="B198" s="104" t="str">
        <x:f>Decisiones!A198</x:f>
        <x:v>D20210812</x:v>
      </x:c>
      <x:c r="C198" s="108" t="n">
        <x:f>Decisiones!H198</x:f>
        <x:v>4.5</x:v>
      </x:c>
      <x:c r="D198" s="109" t="n">
        <x:f>Decisiones!G198</x:f>
        <x:v>25</x:v>
      </x:c>
      <x:c r="E198" s="109" t="n">
        <x:f>COUNTIFS(Votaciones!$A$2:$A$336,B198,Votaciones!$D$2:$D$336,"Disenso restrictivo")</x:f>
        <x:v>0</x:v>
      </x:c>
      <x:c r="F198" s="109" t="n">
        <x:f>COUNTIFS(Votaciones!$A$2:$A$336,B198,Votaciones!$D$2:$D$336,"Disenso acomodaticio")</x:f>
        <x:v>2</x:v>
      </x:c>
    </x:row>
    <x:row r="199">
      <x:c r="A199" s="101" t="n">
        <x:f>Decisiones!B199</x:f>
        <x:v>44469</x:v>
      </x:c>
      <x:c r="B199" s="104" t="str">
        <x:f>Decisiones!A199</x:f>
        <x:v>D20210930</x:v>
      </x:c>
      <x:c r="C199" s="108" t="n">
        <x:f>Decisiones!H199</x:f>
        <x:v>4.75</x:v>
      </x:c>
      <x:c r="D199" s="109" t="n">
        <x:f>Decisiones!G199</x:f>
        <x:v>25</x:v>
      </x:c>
      <x:c r="E199" s="109" t="n">
        <x:f>COUNTIFS(Votaciones!$A$2:$A$336,B199,Votaciones!$D$2:$D$336,"Disenso restrictivo")</x:f>
        <x:v>0</x:v>
      </x:c>
      <x:c r="F199" s="109" t="n">
        <x:f>COUNTIFS(Votaciones!$A$2:$A$336,B199,Votaciones!$D$2:$D$336,"Disenso acomodaticio")</x:f>
        <x:v>1</x:v>
      </x:c>
    </x:row>
    <x:row r="200">
      <x:c r="A200" s="101" t="n">
        <x:f>Decisiones!B200</x:f>
        <x:v>44511</x:v>
      </x:c>
      <x:c r="B200" s="104" t="str">
        <x:f>Decisiones!A200</x:f>
        <x:v>D20211111</x:v>
      </x:c>
      <x:c r="C200" s="108" t="n">
        <x:f>Decisiones!H200</x:f>
        <x:v>5</x:v>
      </x:c>
      <x:c r="D200" s="109" t="n">
        <x:f>Decisiones!G200</x:f>
        <x:v>25</x:v>
      </x:c>
      <x:c r="E200" s="109" t="n">
        <x:f>COUNTIFS(Votaciones!$A$2:$A$336,B200,Votaciones!$D$2:$D$336,"Disenso restrictivo")</x:f>
        <x:v>0</x:v>
      </x:c>
      <x:c r="F200" s="109" t="n">
        <x:f>COUNTIFS(Votaciones!$A$2:$A$336,B200,Votaciones!$D$2:$D$336,"Disenso acomodaticio")</x:f>
        <x:v>1</x:v>
      </x:c>
    </x:row>
    <x:row r="201">
      <x:c r="A201" s="101" t="n">
        <x:f>Decisiones!B201</x:f>
        <x:v>44546</x:v>
      </x:c>
      <x:c r="B201" s="104" t="str">
        <x:f>Decisiones!A201</x:f>
        <x:v>D20211216</x:v>
      </x:c>
      <x:c r="C201" s="108" t="n">
        <x:f>Decisiones!H201</x:f>
        <x:v>5.5</x:v>
      </x:c>
      <x:c r="D201" s="109" t="n">
        <x:f>Decisiones!G201</x:f>
        <x:v>50</x:v>
      </x:c>
      <x:c r="E201" s="109" t="n">
        <x:f>COUNTIFS(Votaciones!$A$2:$A$336,B201,Votaciones!$D$2:$D$336,"Disenso restrictivo")</x:f>
        <x:v>0</x:v>
      </x:c>
      <x:c r="F201" s="109" t="n">
        <x:f>COUNTIFS(Votaciones!$A$2:$A$336,B201,Votaciones!$D$2:$D$336,"Disenso acomodaticio")</x:f>
        <x:v>1</x:v>
      </x:c>
    </x:row>
    <x:row r="202">
      <x:c r="A202" s="101" t="n">
        <x:f>Decisiones!B202</x:f>
        <x:v>44602</x:v>
      </x:c>
      <x:c r="B202" s="104" t="str">
        <x:f>Decisiones!A202</x:f>
        <x:v>D20220210</x:v>
      </x:c>
      <x:c r="C202" s="108" t="n">
        <x:f>Decisiones!H202</x:f>
        <x:v>6</x:v>
      </x:c>
      <x:c r="D202" s="109" t="n">
        <x:f>Decisiones!G202</x:f>
        <x:v>50</x:v>
      </x:c>
      <x:c r="E202" s="109" t="n">
        <x:f>COUNTIFS(Votaciones!$A$2:$A$336,B202,Votaciones!$D$2:$D$336,"Disenso restrictivo")</x:f>
        <x:v>0</x:v>
      </x:c>
      <x:c r="F202" s="109" t="n">
        <x:f>COUNTIFS(Votaciones!$A$2:$A$336,B202,Votaciones!$D$2:$D$336,"Disenso acomodaticio")</x:f>
        <x:v>1</x:v>
      </x:c>
    </x:row>
    <x:row r="203">
      <x:c r="A203" s="101" t="n">
        <x:f>Decisiones!B203</x:f>
        <x:v>44644</x:v>
      </x:c>
      <x:c r="B203" s="104" t="str">
        <x:f>Decisiones!A203</x:f>
        <x:v>D20220324</x:v>
      </x:c>
      <x:c r="C203" s="108" t="n">
        <x:f>Decisiones!H203</x:f>
        <x:v>6.5</x:v>
      </x:c>
      <x:c r="D203" s="109" t="n">
        <x:f>Decisiones!G203</x:f>
        <x:v>50</x:v>
      </x:c>
      <x:c r="E203" s="109" t="n">
        <x:f>COUNTIFS(Votaciones!$A$2:$A$336,B203,Votaciones!$D$2:$D$336,"Disenso restrictivo")</x:f>
        <x:v>0</x:v>
      </x:c>
      <x:c r="F203" s="109" t="n">
        <x:f>COUNTIFS(Votaciones!$A$2:$A$336,B203,Votaciones!$D$2:$D$336,"Disenso acomodaticio")</x:f>
        <x:v>0</x:v>
      </x:c>
    </x:row>
    <x:row r="204">
      <x:c r="A204" s="101" t="n">
        <x:f>Decisiones!B204</x:f>
        <x:v>44693</x:v>
      </x:c>
      <x:c r="B204" s="104" t="str">
        <x:f>Decisiones!A204</x:f>
        <x:v>D20220512</x:v>
      </x:c>
      <x:c r="C204" s="108" t="n">
        <x:f>Decisiones!H204</x:f>
        <x:v>7</x:v>
      </x:c>
      <x:c r="D204" s="109" t="n">
        <x:f>Decisiones!G204</x:f>
        <x:v>50</x:v>
      </x:c>
      <x:c r="E204" s="109" t="n">
        <x:f>COUNTIFS(Votaciones!$A$2:$A$336,B204,Votaciones!$D$2:$D$336,"Disenso restrictivo")</x:f>
        <x:v>1</x:v>
      </x:c>
      <x:c r="F204" s="109" t="n">
        <x:f>COUNTIFS(Votaciones!$A$2:$A$336,B204,Votaciones!$D$2:$D$336,"Disenso acomodaticio")</x:f>
        <x:v>0</x:v>
      </x:c>
    </x:row>
    <x:row r="205">
      <x:c r="A205" s="101" t="n">
        <x:f>Decisiones!B205</x:f>
        <x:v>44735</x:v>
      </x:c>
      <x:c r="B205" s="104" t="str">
        <x:f>Decisiones!A205</x:f>
        <x:v>D20220623</x:v>
      </x:c>
      <x:c r="C205" s="108" t="n">
        <x:f>Decisiones!H205</x:f>
        <x:v>7.75</x:v>
      </x:c>
      <x:c r="D205" s="109" t="n">
        <x:f>Decisiones!G205</x:f>
        <x:v>75</x:v>
      </x:c>
      <x:c r="E205" s="109" t="n">
        <x:f>COUNTIFS(Votaciones!$A$2:$A$336,B205,Votaciones!$D$2:$D$336,"Disenso restrictivo")</x:f>
        <x:v>0</x:v>
      </x:c>
      <x:c r="F205" s="109" t="n">
        <x:f>COUNTIFS(Votaciones!$A$2:$A$336,B205,Votaciones!$D$2:$D$336,"Disenso acomodaticio")</x:f>
        <x:v>0</x:v>
      </x:c>
    </x:row>
    <x:row r="206">
      <x:c r="A206" s="101" t="n">
        <x:f>Decisiones!B206</x:f>
        <x:v>44784</x:v>
      </x:c>
      <x:c r="B206" s="104" t="str">
        <x:f>Decisiones!A206</x:f>
        <x:v>D20220811</x:v>
      </x:c>
      <x:c r="C206" s="108" t="n">
        <x:f>Decisiones!H206</x:f>
        <x:v>8.5</x:v>
      </x:c>
      <x:c r="D206" s="109" t="n">
        <x:f>Decisiones!G206</x:f>
        <x:v>75</x:v>
      </x:c>
      <x:c r="E206" s="109" t="n">
        <x:f>COUNTIFS(Votaciones!$A$2:$A$336,B206,Votaciones!$D$2:$D$336,"Disenso restrictivo")</x:f>
        <x:v>0</x:v>
      </x:c>
      <x:c r="F206" s="109" t="n">
        <x:f>COUNTIFS(Votaciones!$A$2:$A$336,B206,Votaciones!$D$2:$D$336,"Disenso acomodaticio")</x:f>
        <x:v>0</x:v>
      </x:c>
    </x:row>
    <x:row r="207">
      <x:c r="A207" s="101" t="n">
        <x:f>Decisiones!B207</x:f>
        <x:v>44833</x:v>
      </x:c>
      <x:c r="B207" s="104" t="str">
        <x:f>Decisiones!A207</x:f>
        <x:v>D20220929</x:v>
      </x:c>
      <x:c r="C207" s="108" t="n">
        <x:f>Decisiones!H207</x:f>
        <x:v>9.25</x:v>
      </x:c>
      <x:c r="D207" s="109" t="n">
        <x:f>Decisiones!G207</x:f>
        <x:v>75</x:v>
      </x:c>
      <x:c r="E207" s="109" t="n">
        <x:f>COUNTIFS(Votaciones!$A$2:$A$336,B207,Votaciones!$D$2:$D$336,"Disenso restrictivo")</x:f>
        <x:v>0</x:v>
      </x:c>
      <x:c r="F207" s="109" t="n">
        <x:f>COUNTIFS(Votaciones!$A$2:$A$336,B207,Votaciones!$D$2:$D$336,"Disenso acomodaticio")</x:f>
        <x:v>0</x:v>
      </x:c>
    </x:row>
    <x:row r="208">
      <x:c r="A208" s="101" t="n">
        <x:f>Decisiones!B208</x:f>
        <x:v>44875</x:v>
      </x:c>
      <x:c r="B208" s="104" t="str">
        <x:f>Decisiones!A208</x:f>
        <x:v>D20221110</x:v>
      </x:c>
      <x:c r="C208" s="108" t="n">
        <x:f>Decisiones!H208</x:f>
        <x:v>10</x:v>
      </x:c>
      <x:c r="D208" s="109" t="n">
        <x:f>Decisiones!G208</x:f>
        <x:v>75</x:v>
      </x:c>
      <x:c r="E208" s="109" t="n">
        <x:f>COUNTIFS(Votaciones!$A$2:$A$336,B208,Votaciones!$D$2:$D$336,"Disenso restrictivo")</x:f>
        <x:v>0</x:v>
      </x:c>
      <x:c r="F208" s="109" t="n">
        <x:f>COUNTIFS(Votaciones!$A$2:$A$336,B208,Votaciones!$D$2:$D$336,"Disenso acomodaticio")</x:f>
        <x:v>1</x:v>
      </x:c>
    </x:row>
    <x:row r="209">
      <x:c r="A209" s="101" t="n">
        <x:f>Decisiones!B209</x:f>
        <x:v>44910</x:v>
      </x:c>
      <x:c r="B209" s="104" t="str">
        <x:f>Decisiones!A209</x:f>
        <x:v>D20221215</x:v>
      </x:c>
      <x:c r="C209" s="108" t="n">
        <x:f>Decisiones!H209</x:f>
        <x:v>10.5</x:v>
      </x:c>
      <x:c r="D209" s="109" t="n">
        <x:f>Decisiones!G209</x:f>
        <x:v>50</x:v>
      </x:c>
      <x:c r="E209" s="109" t="n">
        <x:f>COUNTIFS(Votaciones!$A$2:$A$336,B209,Votaciones!$D$2:$D$336,"Disenso restrictivo")</x:f>
        <x:v>0</x:v>
      </x:c>
      <x:c r="F209" s="109" t="n">
        <x:f>COUNTIFS(Votaciones!$A$2:$A$336,B209,Votaciones!$D$2:$D$336,"Disenso acomodaticio")</x:f>
        <x:v>1</x:v>
      </x:c>
    </x:row>
    <x:row r="210">
      <x:c r="A210" s="101" t="n">
        <x:f>Decisiones!B210</x:f>
        <x:v>44966</x:v>
      </x:c>
      <x:c r="B210" s="104" t="str">
        <x:f>Decisiones!A210</x:f>
        <x:v>D20230209</x:v>
      </x:c>
      <x:c r="C210" s="108" t="n">
        <x:f>Decisiones!H210</x:f>
        <x:v>11</x:v>
      </x:c>
      <x:c r="D210" s="109" t="n">
        <x:f>Decisiones!G210</x:f>
        <x:v>50</x:v>
      </x:c>
      <x:c r="E210" s="109" t="n">
        <x:f>COUNTIFS(Votaciones!$A$2:$A$336,B210,Votaciones!$D$2:$D$336,"Disenso restrictivo")</x:f>
        <x:v>0</x:v>
      </x:c>
      <x:c r="F210" s="109" t="n">
        <x:f>COUNTIFS(Votaciones!$A$2:$A$336,B210,Votaciones!$D$2:$D$336,"Disenso acomodaticio")</x:f>
        <x:v>0</x:v>
      </x:c>
    </x:row>
    <x:row r="211">
      <x:c r="A211" s="101" t="n">
        <x:f>Decisiones!B211</x:f>
        <x:v>45015</x:v>
      </x:c>
      <x:c r="B211" s="104" t="str">
        <x:f>Decisiones!A211</x:f>
        <x:v>D20230330</x:v>
      </x:c>
      <x:c r="C211" s="108" t="n">
        <x:f>Decisiones!H211</x:f>
        <x:v>11.25</x:v>
      </x:c>
      <x:c r="D211" s="109" t="n">
        <x:f>Decisiones!G211</x:f>
        <x:v>25</x:v>
      </x:c>
      <x:c r="E211" s="109" t="n">
        <x:f>COUNTIFS(Votaciones!$A$2:$A$336,B211,Votaciones!$D$2:$D$336,"Disenso restrictivo")</x:f>
        <x:v>0</x:v>
      </x:c>
      <x:c r="F211" s="109" t="n">
        <x:f>COUNTIFS(Votaciones!$A$2:$A$336,B211,Votaciones!$D$2:$D$336,"Disenso acomodaticio")</x:f>
        <x:v>0</x:v>
      </x:c>
    </x:row>
    <x:row r="212">
      <x:c r="A212" s="101" t="n">
        <x:f>Decisiones!B212</x:f>
        <x:v>45064</x:v>
      </x:c>
      <x:c r="B212" s="104" t="str">
        <x:f>Decisiones!A212</x:f>
        <x:v>D20230518</x:v>
      </x:c>
      <x:c r="C212" s="108" t="n">
        <x:f>Decisiones!H212</x:f>
        <x:v>11.25</x:v>
      </x:c>
      <x:c r="D212" s="109" t="n">
        <x:f>Decisiones!G212</x:f>
        <x:v>0</x:v>
      </x:c>
      <x:c r="E212" s="109" t="n">
        <x:f>COUNTIFS(Votaciones!$A$2:$A$336,B212,Votaciones!$D$2:$D$336,"Disenso restrictivo")</x:f>
        <x:v>0</x:v>
      </x:c>
      <x:c r="F212" s="109" t="n">
        <x:f>COUNTIFS(Votaciones!$A$2:$A$336,B212,Votaciones!$D$2:$D$336,"Disenso acomodaticio")</x:f>
        <x:v>0</x:v>
      </x:c>
    </x:row>
    <x:row r="213">
      <x:c r="A213" s="101" t="n">
        <x:f>Decisiones!B213</x:f>
        <x:v>45099</x:v>
      </x:c>
      <x:c r="B213" s="104" t="str">
        <x:f>Decisiones!A213</x:f>
        <x:v>D20230622</x:v>
      </x:c>
      <x:c r="C213" s="108" t="n">
        <x:f>Decisiones!H213</x:f>
        <x:v>11.25</x:v>
      </x:c>
      <x:c r="D213" s="109" t="n">
        <x:f>Decisiones!G213</x:f>
        <x:v>0</x:v>
      </x:c>
      <x:c r="E213" s="109" t="n">
        <x:f>COUNTIFS(Votaciones!$A$2:$A$336,B213,Votaciones!$D$2:$D$336,"Disenso restrictivo")</x:f>
        <x:v>0</x:v>
      </x:c>
      <x:c r="F213" s="109" t="n">
        <x:f>COUNTIFS(Votaciones!$A$2:$A$336,B213,Votaciones!$D$2:$D$336,"Disenso acomodaticio")</x:f>
        <x:v>0</x:v>
      </x:c>
    </x:row>
    <x:row r="214">
      <x:c r="A214" s="101" t="n">
        <x:f>Decisiones!B214</x:f>
        <x:v>45148</x:v>
      </x:c>
      <x:c r="B214" s="104" t="str">
        <x:f>Decisiones!A214</x:f>
        <x:v>D20230810</x:v>
      </x:c>
      <x:c r="C214" s="108" t="n">
        <x:f>Decisiones!H214</x:f>
        <x:v>11.25</x:v>
      </x:c>
      <x:c r="D214" s="109" t="n">
        <x:f>Decisiones!G214</x:f>
        <x:v>0</x:v>
      </x:c>
      <x:c r="E214" s="109" t="n">
        <x:f>COUNTIFS(Votaciones!$A$2:$A$336,B214,Votaciones!$D$2:$D$336,"Disenso restrictivo")</x:f>
        <x:v>0</x:v>
      </x:c>
      <x:c r="F214" s="109" t="n">
        <x:f>COUNTIFS(Votaciones!$A$2:$A$336,B214,Votaciones!$D$2:$D$336,"Disenso acomodaticio")</x:f>
        <x:v>0</x:v>
      </x:c>
    </x:row>
    <x:row r="215">
      <x:c r="A215" s="101" t="n">
        <x:f>Decisiones!B215</x:f>
        <x:v>45197</x:v>
      </x:c>
      <x:c r="B215" s="104" t="str">
        <x:f>Decisiones!A215</x:f>
        <x:v>D20230928</x:v>
      </x:c>
      <x:c r="C215" s="108" t="n">
        <x:f>Decisiones!H215</x:f>
        <x:v>11.25</x:v>
      </x:c>
      <x:c r="D215" s="109" t="n">
        <x:f>Decisiones!G215</x:f>
        <x:v>0</x:v>
      </x:c>
      <x:c r="E215" s="109" t="n">
        <x:f>COUNTIFS(Votaciones!$A$2:$A$336,B215,Votaciones!$D$2:$D$336,"Disenso restrictivo")</x:f>
        <x:v>0</x:v>
      </x:c>
      <x:c r="F215" s="109" t="n">
        <x:f>COUNTIFS(Votaciones!$A$2:$A$336,B215,Votaciones!$D$2:$D$336,"Disenso acomodaticio")</x:f>
        <x:v>0</x:v>
      </x:c>
    </x:row>
    <x:row r="216">
      <x:c r="A216" s="101" t="n">
        <x:f>Decisiones!B216</x:f>
        <x:v>45239</x:v>
      </x:c>
      <x:c r="B216" s="104" t="str">
        <x:f>Decisiones!A216</x:f>
        <x:v>D20231109</x:v>
      </x:c>
      <x:c r="C216" s="108" t="n">
        <x:f>Decisiones!H216</x:f>
        <x:v>11.25</x:v>
      </x:c>
      <x:c r="D216" s="109" t="n">
        <x:f>Decisiones!G216</x:f>
        <x:v>0</x:v>
      </x:c>
      <x:c r="E216" s="109" t="n">
        <x:f>COUNTIFS(Votaciones!$A$2:$A$336,B216,Votaciones!$D$2:$D$336,"Disenso restrictivo")</x:f>
        <x:v>0</x:v>
      </x:c>
      <x:c r="F216" s="109" t="n">
        <x:f>COUNTIFS(Votaciones!$A$2:$A$336,B216,Votaciones!$D$2:$D$336,"Disenso acomodaticio")</x:f>
        <x:v>0</x:v>
      </x:c>
    </x:row>
    <x:row r="217">
      <x:c r="A217" s="101" t="n">
        <x:f>Decisiones!B217</x:f>
        <x:v>45274</x:v>
      </x:c>
      <x:c r="B217" s="104" t="str">
        <x:f>Decisiones!A217</x:f>
        <x:v>D20231214</x:v>
      </x:c>
      <x:c r="C217" s="108" t="n">
        <x:f>Decisiones!H217</x:f>
        <x:v>11.25</x:v>
      </x:c>
      <x:c r="D217" s="109" t="n">
        <x:f>Decisiones!G217</x:f>
        <x:v>0</x:v>
      </x:c>
      <x:c r="E217" s="109" t="n">
        <x:f>COUNTIFS(Votaciones!$A$2:$A$336,B217,Votaciones!$D$2:$D$336,"Disenso restrictivo")</x:f>
        <x:v>0</x:v>
      </x:c>
      <x:c r="F217" s="109" t="n">
        <x:f>COUNTIFS(Votaciones!$A$2:$A$336,B217,Votaciones!$D$2:$D$336,"Disenso acomodaticio")</x:f>
        <x:v>0</x:v>
      </x:c>
    </x:row>
    <x:row r="218">
      <x:c r="A218" s="101" t="n">
        <x:f>Decisiones!B218</x:f>
        <x:v>45330</x:v>
      </x:c>
      <x:c r="B218" s="104" t="str">
        <x:f>Decisiones!A218</x:f>
        <x:v>D20240208</x:v>
      </x:c>
      <x:c r="C218" s="108" t="n">
        <x:f>Decisiones!H218</x:f>
        <x:v>11.25</x:v>
      </x:c>
      <x:c r="D218" s="109" t="n">
        <x:f>Decisiones!G218</x:f>
        <x:v>0</x:v>
      </x:c>
      <x:c r="E218" s="109" t="n">
        <x:f>COUNTIFS(Votaciones!$A$2:$A$336,B218,Votaciones!$D$2:$D$336,"Disenso restrictivo")</x:f>
        <x:v>0</x:v>
      </x:c>
      <x:c r="F218" s="109" t="n">
        <x:f>COUNTIFS(Votaciones!$A$2:$A$336,B218,Votaciones!$D$2:$D$336,"Disenso acomodaticio")</x:f>
        <x:v>0</x:v>
      </x:c>
    </x:row>
    <x:row r="219">
      <x:c r="A219" s="101" t="n">
        <x:f>Decisiones!B219</x:f>
        <x:v>45372</x:v>
      </x:c>
      <x:c r="B219" s="104" t="str">
        <x:f>Decisiones!A219</x:f>
        <x:v>D20240321</x:v>
      </x:c>
      <x:c r="C219" s="108" t="n">
        <x:f>Decisiones!H219</x:f>
        <x:v>11</x:v>
      </x:c>
      <x:c r="D219" s="109" t="n">
        <x:f>Decisiones!G219</x:f>
        <x:v>-25</x:v>
      </x:c>
      <x:c r="E219" s="109" t="n">
        <x:f>COUNTIFS(Votaciones!$A$2:$A$336,B219,Votaciones!$D$2:$D$336,"Disenso restrictivo")</x:f>
        <x:v>1</x:v>
      </x:c>
      <x:c r="F219" s="109" t="n">
        <x:f>COUNTIFS(Votaciones!$A$2:$A$336,B219,Votaciones!$D$2:$D$336,"Disenso acomodaticio")</x:f>
        <x:v>0</x:v>
      </x:c>
    </x:row>
    <x:row r="220">
      <x:c r="A220" s="101" t="n">
        <x:f>Decisiones!B220</x:f>
        <x:v>45421</x:v>
      </x:c>
      <x:c r="B220" s="104" t="str">
        <x:f>Decisiones!A220</x:f>
        <x:v>D20240509</x:v>
      </x:c>
      <x:c r="C220" s="108" t="n">
        <x:f>Decisiones!H220</x:f>
        <x:v>11</x:v>
      </x:c>
      <x:c r="D220" s="109" t="n">
        <x:f>Decisiones!G220</x:f>
        <x:v>0</x:v>
      </x:c>
      <x:c r="E220" s="109" t="n">
        <x:f>COUNTIFS(Votaciones!$A$2:$A$336,B220,Votaciones!$D$2:$D$336,"Disenso restrictivo")</x:f>
        <x:v>0</x:v>
      </x:c>
      <x:c r="F220" s="109" t="n">
        <x:f>COUNTIFS(Votaciones!$A$2:$A$336,B220,Votaciones!$D$2:$D$336,"Disenso acomodaticio")</x:f>
        <x:v>0</x:v>
      </x:c>
    </x:row>
    <x:row r="221">
      <x:c r="A221" s="101" t="n">
        <x:f>Decisiones!B221</x:f>
        <x:v>45470</x:v>
      </x:c>
      <x:c r="B221" s="104" t="str">
        <x:f>Decisiones!A221</x:f>
        <x:v>D20240627</x:v>
      </x:c>
      <x:c r="C221" s="108" t="n">
        <x:f>Decisiones!H221</x:f>
        <x:v>11</x:v>
      </x:c>
      <x:c r="D221" s="109" t="n">
        <x:f>Decisiones!G221</x:f>
        <x:v>0</x:v>
      </x:c>
      <x:c r="E221" s="109" t="n">
        <x:f>COUNTIFS(Votaciones!$A$2:$A$336,B221,Votaciones!$D$2:$D$336,"Disenso restrictivo")</x:f>
        <x:v>0</x:v>
      </x:c>
      <x:c r="F221" s="109" t="n">
        <x:f>COUNTIFS(Votaciones!$A$2:$A$336,B221,Votaciones!$D$2:$D$336,"Disenso acomodaticio")</x:f>
        <x:v>1</x:v>
      </x:c>
    </x:row>
    <x:row r="222">
      <x:c r="A222" s="101" t="n">
        <x:f>Decisiones!B222</x:f>
        <x:v>45512</x:v>
      </x:c>
      <x:c r="B222" s="104" t="str">
        <x:f>Decisiones!A222</x:f>
        <x:v>D20240808</x:v>
      </x:c>
      <x:c r="C222" s="108" t="n">
        <x:f>Decisiones!H222</x:f>
        <x:v>10.75</x:v>
      </x:c>
      <x:c r="D222" s="109" t="n">
        <x:f>Decisiones!G222</x:f>
        <x:v>-25</x:v>
      </x:c>
      <x:c r="E222" s="109" t="n">
        <x:f>COUNTIFS(Votaciones!$A$2:$A$336,B222,Votaciones!$D$2:$D$336,"Disenso restrictivo")</x:f>
        <x:v>2</x:v>
      </x:c>
      <x:c r="F222" s="109" t="n">
        <x:f>COUNTIFS(Votaciones!$A$2:$A$336,B222,Votaciones!$D$2:$D$336,"Disenso acomodaticio")</x:f>
        <x:v>0</x:v>
      </x:c>
    </x:row>
    <x:row r="223">
      <x:c r="A223" s="101" t="n">
        <x:f>Decisiones!B223</x:f>
        <x:v>45561</x:v>
      </x:c>
      <x:c r="B223" s="104" t="str">
        <x:f>Decisiones!A223</x:f>
        <x:v>D20240926</x:v>
      </x:c>
      <x:c r="C223" s="108" t="n">
        <x:f>Decisiones!H223</x:f>
        <x:v>10.5</x:v>
      </x:c>
      <x:c r="D223" s="109" t="n">
        <x:f>Decisiones!G223</x:f>
        <x:v>-25</x:v>
      </x:c>
      <x:c r="E223" s="109" t="n">
        <x:f>COUNTIFS(Votaciones!$A$2:$A$336,B223,Votaciones!$D$2:$D$336,"Disenso restrictivo")</x:f>
        <x:v>1</x:v>
      </x:c>
      <x:c r="F223" s="109" t="n">
        <x:f>COUNTIFS(Votaciones!$A$2:$A$336,B223,Votaciones!$D$2:$D$336,"Disenso acomodaticio")</x:f>
        <x:v>0</x:v>
      </x:c>
    </x:row>
    <x:row r="224">
      <x:c r="A224" s="101" t="n">
        <x:f>Decisiones!B224</x:f>
        <x:v>45610</x:v>
      </x:c>
      <x:c r="B224" s="104" t="str">
        <x:f>Decisiones!A224</x:f>
        <x:v>D20241114</x:v>
      </x:c>
      <x:c r="C224" s="108" t="n">
        <x:f>Decisiones!H224</x:f>
        <x:v>10.25</x:v>
      </x:c>
      <x:c r="D224" s="109" t="n">
        <x:f>Decisiones!G224</x:f>
        <x:v>-25</x:v>
      </x:c>
      <x:c r="E224" s="109" t="n">
        <x:f>COUNTIFS(Votaciones!$A$2:$A$336,B224,Votaciones!$D$2:$D$336,"Disenso restrictivo")</x:f>
        <x:v>0</x:v>
      </x:c>
      <x:c r="F224" s="109" t="n">
        <x:f>COUNTIFS(Votaciones!$A$2:$A$336,B224,Votaciones!$D$2:$D$336,"Disenso acomodaticio")</x:f>
        <x:v>0</x:v>
      </x:c>
    </x:row>
    <x:row r="225">
      <x:c r="A225" s="101" t="n">
        <x:f>Decisiones!B225</x:f>
        <x:v>45645</x:v>
      </x:c>
      <x:c r="B225" s="104" t="str">
        <x:f>Decisiones!A225</x:f>
        <x:v>D20241219</x:v>
      </x:c>
      <x:c r="C225" s="108" t="n">
        <x:f>Decisiones!H225</x:f>
        <x:v>10</x:v>
      </x:c>
      <x:c r="D225" s="109" t="n">
        <x:f>Decisiones!G225</x:f>
        <x:v>-25</x:v>
      </x:c>
      <x:c r="E225" s="109" t="n">
        <x:f>COUNTIFS(Votaciones!$A$2:$A$336,B225,Votaciones!$D$2:$D$336,"Disenso restrictivo")</x:f>
        <x:v>0</x:v>
      </x:c>
      <x:c r="F225" s="109" t="n">
        <x:f>COUNTIFS(Votaciones!$A$2:$A$336,B225,Votaciones!$D$2:$D$336,"Disenso acomodaticio")</x:f>
        <x:v>0</x:v>
      </x:c>
    </x:row>
    <x:row r="226">
      <x:c r="A226" s="101" t="n">
        <x:f>Decisiones!B226</x:f>
        <x:v>45694</x:v>
      </x:c>
      <x:c r="B226" s="104" t="str">
        <x:f>Decisiones!A226</x:f>
        <x:v>D20250206</x:v>
      </x:c>
      <x:c r="C226" s="108" t="n">
        <x:f>Decisiones!H226</x:f>
        <x:v>9.5</x:v>
      </x:c>
      <x:c r="D226" s="109" t="n">
        <x:f>Decisiones!G226</x:f>
        <x:v>-50</x:v>
      </x:c>
      <x:c r="E226" s="109" t="n">
        <x:f>COUNTIFS(Votaciones!$A$2:$A$336,B226,Votaciones!$D$2:$D$336,"Disenso restrictivo")</x:f>
        <x:v>1</x:v>
      </x:c>
      <x:c r="F226" s="109" t="n">
        <x:f>COUNTIFS(Votaciones!$A$2:$A$336,B226,Votaciones!$D$2:$D$336,"Disenso acomodaticio")</x:f>
        <x:v>0</x:v>
      </x:c>
    </x:row>
    <x:row r="227">
      <x:c r="A227" s="101" t="n">
        <x:f>Decisiones!B227</x:f>
        <x:v>45743</x:v>
      </x:c>
      <x:c r="B227" s="104" t="str">
        <x:f>Decisiones!A227</x:f>
        <x:v>D20250327</x:v>
      </x:c>
      <x:c r="C227" s="108" t="n">
        <x:f>Decisiones!H227</x:f>
        <x:v>9</x:v>
      </x:c>
      <x:c r="D227" s="109" t="n">
        <x:f>Decisiones!G227</x:f>
        <x:v>-50</x:v>
      </x:c>
      <x:c r="E227" s="109" t="n">
        <x:f>COUNTIFS(Votaciones!$A$2:$A$336,B227,Votaciones!$D$2:$D$336,"Disenso restrictivo")</x:f>
        <x:v>0</x:v>
      </x:c>
      <x:c r="F227" s="109" t="n">
        <x:f>COUNTIFS(Votaciones!$A$2:$A$336,B227,Votaciones!$D$2:$D$336,"Disenso acomodaticio")</x:f>
        <x:v>0</x:v>
      </x:c>
    </x:row>
    <x:row r="228">
      <x:c r="A228" s="101" t="n">
        <x:f>Decisiones!B228</x:f>
        <x:v>45792</x:v>
      </x:c>
      <x:c r="B228" s="104" t="str">
        <x:f>Decisiones!A228</x:f>
        <x:v>D20250515</x:v>
      </x:c>
      <x:c r="C228" s="108" t="n">
        <x:f>Decisiones!H228</x:f>
        <x:v>8.5</x:v>
      </x:c>
      <x:c r="D228" s="109" t="n">
        <x:f>Decisiones!G228</x:f>
        <x:v>-50</x:v>
      </x:c>
      <x:c r="E228" s="109" t="n">
        <x:f>COUNTIFS(Votaciones!$A$2:$A$336,B228,Votaciones!$D$2:$D$336,"Disenso restrictivo")</x:f>
        <x:v>0</x:v>
      </x:c>
      <x:c r="F228" s="109" t="n">
        <x:f>COUNTIFS(Votaciones!$A$2:$A$336,B228,Votaciones!$D$2:$D$336,"Disenso acomodaticio")</x:f>
        <x:v>0</x:v>
      </x:c>
    </x:row>
    <x:row r="229">
      <x:c r="A229" s="101" t="n">
        <x:f>Decisiones!B229</x:f>
        <x:v>45834</x:v>
      </x:c>
      <x:c r="B229" s="104" t="str">
        <x:f>Decisiones!A229</x:f>
        <x:v>D20250626</x:v>
      </x:c>
      <x:c r="C229" s="108" t="n">
        <x:f>Decisiones!H229</x:f>
        <x:v>8</x:v>
      </x:c>
      <x:c r="D229" s="109" t="n">
        <x:f>Decisiones!G229</x:f>
        <x:v>-50</x:v>
      </x:c>
      <x:c r="E229" s="109" t="n">
        <x:f>COUNTIFS(Votaciones!$A$2:$A$336,B229,Votaciones!$D$2:$D$336,"Disenso restrictivo")</x:f>
        <x:v>1</x:v>
      </x:c>
      <x:c r="F229" s="109" t="n">
        <x:f>COUNTIFS(Votaciones!$A$2:$A$336,B229,Votaciones!$D$2:$D$336,"Disenso acomodaticio")</x:f>
        <x:v>0</x:v>
      </x:c>
    </x:row>
    <x:row r="230">
      <x:c r="A230" s="101" t="n">
        <x:f>Decisiones!B230</x:f>
        <x:v>45876</x:v>
      </x:c>
      <x:c r="B230" s="104" t="str">
        <x:f>Decisiones!A230</x:f>
        <x:v>D20250807</x:v>
      </x:c>
      <x:c r="C230" s="108" t="n">
        <x:f>Decisiones!H230</x:f>
        <x:v>7.75</x:v>
      </x:c>
      <x:c r="D230" s="109" t="n">
        <x:f>Decisiones!G230</x:f>
        <x:v>-25</x:v>
      </x:c>
      <x:c r="E230" s="109" t="n">
        <x:f>COUNTIFS(Votaciones!$A$2:$A$336,B230,Votaciones!$D$2:$D$336,"Disenso restrictivo")</x:f>
        <x:v>1</x:v>
      </x:c>
      <x:c r="F230" s="109" t="n">
        <x:f>COUNTIFS(Votaciones!$A$2:$A$336,B230,Votaciones!$D$2:$D$336,"Disenso acomodaticio")</x:f>
        <x:v>0</x:v>
      </x:c>
    </x:row>
    <x:row r="231">
      <x:c r="A231" s="101" t="n">
        <x:f>Decisiones!B231</x:f>
        <x:v>45925</x:v>
      </x:c>
      <x:c r="B231" s="104" t="str">
        <x:f>Decisiones!A231</x:f>
        <x:v>D20250925</x:v>
      </x:c>
      <x:c r="C231" s="108" t="n">
        <x:f>Decisiones!H231</x:f>
        <x:v>7.5</x:v>
      </x:c>
      <x:c r="D231" s="109" t="n">
        <x:f>Decisiones!G231</x:f>
        <x:v>-25</x:v>
      </x:c>
      <x:c r="E231" s="109" t="n">
        <x:f>COUNTIFS(Votaciones!$A$2:$A$336,B231,Votaciones!$D$2:$D$336,"Disenso restrictivo")</x:f>
        <x:v>1</x:v>
      </x:c>
      <x:c r="F231" s="109" t="n">
        <x:f>COUNTIFS(Votaciones!$A$2:$A$336,B231,Votaciones!$D$2:$D$336,"Disenso acomodaticio")</x:f>
        <x:v>0</x:v>
      </x:c>
    </x:row>
    <x:row r="232">
      <x:c r="A232" s="101" t="n">
        <x:f>Decisiones!B232</x:f>
        <x:v>45967</x:v>
      </x:c>
      <x:c r="B232" s="104" t="str">
        <x:f>Decisiones!A232</x:f>
        <x:v>D20251106</x:v>
      </x:c>
      <x:c r="C232" s="108" t="n">
        <x:f>Decisiones!H232</x:f>
        <x:v>7.25</x:v>
      </x:c>
      <x:c r="D232" s="109" t="n">
        <x:f>Decisiones!G232</x:f>
        <x:v>-25</x:v>
      </x:c>
      <x:c r="E232" s="109" t="n">
        <x:f>COUNTIFS(Votaciones!$A$2:$A$336,B232,Votaciones!$D$2:$D$336,"Disenso restrictivo")</x:f>
        <x:v>1</x:v>
      </x:c>
      <x:c r="F232" s="109" t="n">
        <x:f>COUNTIFS(Votaciones!$A$2:$A$336,B232,Votaciones!$D$2:$D$336,"Disenso acomodaticio")</x:f>
        <x:v>0</x:v>
      </x:c>
    </x:row>
    <x:row r="233">
      <x:c r="A233" s="101" t="n">
        <x:f>Decisiones!B233</x:f>
        <x:v>46009</x:v>
      </x:c>
      <x:c r="B233" s="104" t="str">
        <x:f>Decisiones!A233</x:f>
        <x:v>D20251218</x:v>
      </x:c>
      <x:c r="C233" s="108" t="n">
        <x:f>Decisiones!H233</x:f>
        <x:v>7</x:v>
      </x:c>
      <x:c r="D233" s="109" t="n">
        <x:f>Decisiones!G233</x:f>
        <x:v>-25</x:v>
      </x:c>
      <x:c r="E233" s="109" t="n">
        <x:f>COUNTIFS(Votaciones!$A$2:$A$336,B233,Votaciones!$D$2:$D$336,"Disenso restrictivo")</x:f>
        <x:v>1</x:v>
      </x:c>
      <x:c r="F233" s="109" t="n">
        <x:f>COUNTIFS(Votaciones!$A$2:$A$336,B233,Votaciones!$D$2:$D$336,"Disenso acomodaticio")</x:f>
        <x:v>0</x:v>
      </x:c>
    </x:row>
    <x:row r="234">
      <x:c r="A234" s="101" t="n">
        <x:f>Decisiones!B234</x:f>
        <x:v>46058</x:v>
      </x:c>
      <x:c r="B234" s="104" t="str">
        <x:f>Decisiones!A234</x:f>
        <x:v>D20260205</x:v>
      </x:c>
      <x:c r="C234" s="108" t="n">
        <x:f>Decisiones!H234</x:f>
        <x:v>7</x:v>
      </x:c>
      <x:c r="D234" s="109" t="n">
        <x:f>Decisiones!G234</x:f>
        <x:v>0</x:v>
      </x:c>
      <x:c r="E234" s="109" t="n">
        <x:f>COUNTIFS(Votaciones!$A$2:$A$336,B234,Votaciones!$D$2:$D$336,"Disenso restrictivo")</x:f>
        <x:v>0</x:v>
      </x:c>
      <x:c r="F234" s="109" t="n">
        <x:f>COUNTIFS(Votaciones!$A$2:$A$336,B234,Votaciones!$D$2:$D$336,"Disenso acomodaticio")</x:f>
        <x:v>0</x:v>
      </x:c>
    </x:row>
    <x:row r="235">
      <x:c r="A235" s="101" t="n">
        <x:f>Decisiones!B235</x:f>
        <x:v>46107</x:v>
      </x:c>
      <x:c r="B235" s="104" t="str">
        <x:f>Decisiones!A235</x:f>
        <x:v>D20260326</x:v>
      </x:c>
      <x:c r="C235" s="108" t="n">
        <x:f>Decisiones!H235</x:f>
        <x:v>6.75</x:v>
      </x:c>
      <x:c r="D235" s="109" t="n">
        <x:f>Decisiones!G235</x:f>
        <x:v>-25</x:v>
      </x:c>
      <x:c r="E235" s="109" t="n">
        <x:f>COUNTIFS(Votaciones!$A$2:$A$336,B235,Votaciones!$D$2:$D$336,"Disenso restrictivo")</x:f>
        <x:v>2</x:v>
      </x:c>
      <x:c r="F235" s="109" t="n">
        <x:f>COUNTIFS(Votaciones!$A$2:$A$336,B235,Votaciones!$D$2:$D$336,"Disenso acomodaticio")</x:f>
        <x:v>0</x:v>
      </x:c>
    </x:row>
    <x:row r="236">
      <x:c r="A236" s="101" t="n">
        <x:f>Decisiones!B236</x:f>
        <x:v>46149</x:v>
      </x:c>
      <x:c r="B236" s="104" t="str">
        <x:f>Decisiones!A236</x:f>
        <x:v>D20260507</x:v>
      </x:c>
      <x:c r="C236" s="108" t="n">
        <x:f>Decisiones!H236</x:f>
        <x:v>6.5</x:v>
      </x:c>
      <x:c r="D236" s="109" t="n">
        <x:f>Decisiones!G236</x:f>
        <x:v>-25</x:v>
      </x:c>
      <x:c r="E236" s="109" t="n">
        <x:f>COUNTIFS(Votaciones!$A$2:$A$336,B236,Votaciones!$D$2:$D$336,"Disenso restrictivo")</x:f>
        <x:v>2</x:v>
      </x:c>
      <x:c r="F236" s="109" t="n">
        <x:f>COUNTIFS(Votaciones!$A$2:$A$336,B236,Votaciones!$D$2:$D$336,"Disenso acomodaticio")</x:f>
        <x:v>0</x:v>
      </x:c>
    </x:row>
    <x:row r="237">
      <x:c r="A237" s="102" t="n">
        <x:f>Decisiones!B237</x:f>
        <x:v>46198</x:v>
      </x:c>
      <x:c r="B237" s="105" t="str">
        <x:f>Decisiones!A237</x:f>
        <x:v>D20260625</x:v>
      </x:c>
      <x:c r="C237" s="110" t="n">
        <x:f>Decisiones!H237</x:f>
        <x:v>6.5</x:v>
      </x:c>
      <x:c r="D237" s="111" t="n">
        <x:f>Decisiones!G237</x:f>
        <x:v>0</x:v>
      </x:c>
      <x:c r="E237" s="111" t="n">
        <x:f>COUNTIFS(Votaciones!$A$2:$A$336,B237,Votaciones!$D$2:$D$336,"Disenso restrictivo")</x:f>
        <x:v>0</x:v>
      </x:c>
      <x:c r="F237" s="111" t="n">
        <x:f>COUNTIFS(Votaciones!$A$2:$A$336,B237,Votaciones!$D$2:$D$336,"Disenso acomodaticio")</x:f>
        <x:v>0</x:v>
      </x:c>
    </x:row>
    <x:row r="238">
      <x:c r="A238" s="164" t="n">
        <x:v>46240</x:v>
      </x:c>
      <x:c r="B238" t="str">
        <x:v>D20260806</x:v>
      </x:c>
      <x:c r="C238" t="n">
        <x:v>6.5</x:v>
      </x:c>
      <x:c r="D238" t="n">
        <x:v>0</x:v>
      </x:c>
      <x:c r="E238" t="n">
        <x:v>0</x:v>
      </x:c>
      <x:c r="F238" t="str">
        <x:v>Sin cambio</x:v>
      </x:c>
    </x:row>
  </x:sheetData>
  <x:pageMargins left="0.7" right="0.7" top="0.75" bottom="0.75" header="0.3" footer="0.3"/>
  <x:tableParts count="1">
    <x:tablePart xmlns:r="http://schemas.openxmlformats.org/officeDocument/2006/relationships" r:id="R395e07e52bbe4eda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6" hidden="0" customWidth="1"/>
    <x:col min="3" max="3" width="34" hidden="0" customWidth="1"/>
    <x:col min="4" max="4" width="20" hidden="0" customWidth="1"/>
    <x:col min="5" max="5" width="22" hidden="0" customWidth="1"/>
    <x:col min="6" max="6" width="56" hidden="0" customWidth="1"/>
  </x:cols>
  <x:sheetData>
    <x:row r="1" ht="19.200000762939453" hidden="0" customHeight="1">
      <x:c r="A1" s="167" t="str">
        <x:v>Mantenimiento de los dropdowns de los exploradores</x:v>
      </x:c>
      <x:c r="B1" s="167"/>
      <x:c r="C1" s="167"/>
      <x:c r="D1" s="167"/>
      <x:c r="E1" s="167"/>
      <x:c r="F1" s="167"/>
    </x:row>
    <x:row r="2" ht="15" hidden="0" customHeight="1">
      <x:c r="A2" s="178"/>
      <x:c r="B2" s="178"/>
      <x:c r="C2" s="178"/>
      <x:c r="D2" s="178"/>
      <x:c r="E2" s="178"/>
      <x:c r="F2" s="178"/>
    </x:row>
    <x:row r="3" ht="15" hidden="0" customHeight="1">
      <x:c r="A3" s="179" t="str">
        <x:v>Selector</x:v>
      </x:c>
      <x:c r="B3" s="179" t="str">
        <x:v>Celda</x:v>
      </x:c>
      <x:c r="C3" s="179" t="str">
        <x:v>Lista auxiliar</x:v>
      </x:c>
      <x:c r="D3" s="179" t="str">
        <x:v>Rango actual</x:v>
      </x:c>
      <x:c r="E3" s="179" t="str">
        <x:v>Reserva</x:v>
      </x:c>
      <x:c r="F3" s="179" t="str">
        <x:v>Qué ampliar</x:v>
      </x:c>
    </x:row>
    <x:row r="4" ht="15" hidden="0" customHeight="1">
      <x:c r="A4" s="180" t="str">
        <x:v>Fecha de decisión</x:v>
      </x:c>
      <x:c r="B4" s="180" t="str">
        <x:v>Explorador_Decisiones!B2</x:v>
      </x:c>
      <x:c r="C4" s="180" t="str">
        <x:v>Explorador_Decisiones!AA</x:v>
      </x:c>
      <x:c r="D4" s="180" t="str">
        <x:v>AA2:AA258</x:v>
      </x:c>
      <x:c r="E4" s="180" t="str">
        <x:v>20 filas</x:v>
      </x:c>
      <x:c r="F4" s="180" t="str">
        <x:v>Agregar filas al final de Z:AA y cambiar 258 en B2 y X2.</x:v>
      </x:c>
    </x:row>
    <x:row r="5" ht="15" hidden="0" customHeight="1">
      <x:c r="A5" s="180" t="str">
        <x:v>Fecha por integrante</x:v>
      </x:c>
      <x:c r="B5" s="180" t="str">
        <x:v>Explorador_Integrantes!G3</x:v>
      </x:c>
      <x:c r="C5" s="180" t="str">
        <x:v>Explorador_Integrantes!FP:JA</x:v>
      </x:c>
      <x:c r="D5" s="180" t="str">
        <x:v>FP2:JA30</x:v>
      </x:c>
      <x:c r="E5" s="180" t="str">
        <x:v>20 columnas adicionales</x:v>
      </x:c>
      <x:c r="F5" s="180" t="str">
        <x:v>Agregar columnas a la derecha de JA y cambiar JA en la validación de G3.</x:v>
      </x:c>
    </x:row>
    <x:row r="6" ht="15" hidden="0" customHeight="1">
      <x:c r="A6" s="178"/>
      <x:c r="B6" s="178"/>
      <x:c r="C6" s="178"/>
      <x:c r="D6" s="178"/>
      <x:c r="E6" s="178"/>
      <x:c r="F6" s="178"/>
    </x:row>
    <x:row r="7" ht="15" hidden="0" customHeight="1">
      <x:c r="A7" s="181" t="str">
        <x:v>Procedimiento cuando se agote la reserva</x:v>
      </x:c>
      <x:c r="B7" s="181"/>
      <x:c r="C7" s="181"/>
      <x:c r="D7" s="181"/>
      <x:c r="E7" s="181"/>
      <x:c r="F7" s="181"/>
    </x:row>
    <x:row r="8" ht="15" hidden="0" customHeight="1">
      <x:c r="A8" s="178"/>
      <x:c r="B8" s="178"/>
      <x:c r="C8" s="178"/>
      <x:c r="D8" s="178"/>
      <x:c r="E8" s="178"/>
      <x:c r="F8" s="178"/>
    </x:row>
    <x:row r="9" ht="26.399999618530273" hidden="0" customHeight="1">
      <x:c r="A9" s="182" t="str">
        <x:v>1</x:v>
      </x:c>
      <x:c r="B9" s="183" t="str">
        <x:v>Primero actualizar Decisiones y Votaciones en el Libro Maestro.</x:v>
      </x:c>
      <x:c r="C9" s="183"/>
      <x:c r="D9" s="183"/>
      <x:c r="E9" s="183"/>
      <x:c r="F9" s="183"/>
    </x:row>
    <x:row r="10" ht="26.399999618530273" hidden="0" customHeight="1">
      <x:c r="A10" s="182" t="str">
        <x:v>2</x:v>
      </x:c>
      <x:c r="B10" s="183" t="str">
        <x:v>En Explorador_Decisiones, copiar Decision_ID y Fecha_Decision a la primera fila vacía de Z:AA.</x:v>
      </x:c>
      <x:c r="C10" s="183"/>
      <x:c r="D10" s="183"/>
      <x:c r="E10" s="183"/>
      <x:c r="F10" s="183"/>
    </x:row>
    <x:row r="11" ht="26.399999618530273" hidden="0" customHeight="1">
      <x:c r="A11" s="182" t="str">
        <x:v>3</x:v>
      </x:c>
      <x:c r="B11" s="183" t="str">
        <x:v>En Explorador_Integrantes, agregar la fecha en la primera celda vacía de la fila FP:JA de cada integrante que participó.</x:v>
      </x:c>
      <x:c r="C11" s="183"/>
      <x:c r="D11" s="183"/>
      <x:c r="E11" s="183"/>
      <x:c r="F11" s="183"/>
    </x:row>
    <x:row r="12" ht="26.399999618530273" hidden="0" customHeight="1">
      <x:c r="A12" s="182" t="str">
        <x:v>4</x:v>
      </x:c>
      <x:c r="B12" s="183" t="str">
        <x:v>Si quedan menos de cinco espacios, extender el rango otros 20 espacios y actualizar las referencias indicadas arriba.</x:v>
      </x:c>
      <x:c r="C12" s="183"/>
      <x:c r="D12" s="183"/>
      <x:c r="E12" s="183"/>
      <x:c r="F12" s="183"/>
    </x:row>
    <x:row r="13" ht="26.399999618530273" hidden="0" customHeight="1">
      <x:c r="A13" s="182" t="str">
        <x:v>5</x:v>
      </x:c>
      <x:c r="B13" s="183" t="str">
        <x:v>No usar UNIQUE, FILTER, SORT ni referencias con # en estas validaciones; provocan errores de compatibilidad.</x:v>
      </x:c>
      <x:c r="C13" s="183"/>
      <x:c r="D13" s="183"/>
      <x:c r="E13" s="183"/>
      <x:c r="F13" s="183"/>
    </x:row>
    <x:row r="14" ht="15" hidden="0" customHeight="1">
      <x:c r="A14" s="178"/>
      <x:c r="B14" s="178"/>
      <x:c r="C14" s="178"/>
      <x:c r="D14" s="178"/>
      <x:c r="E14" s="178"/>
      <x:c r="F14" s="178"/>
    </x:row>
    <x:row r="15" ht="15" hidden="0" customHeight="1">
      <x:c r="A15" s="184" t="str">
        <x:v>Última decisión incorporada en las listas: D20260806</x:v>
      </x:c>
      <x:c r="B15" s="184"/>
      <x:c r="C15" s="184"/>
      <x:c r="D15" s="184"/>
      <x:c r="E15" s="184"/>
      <x:c r="F15" s="184"/>
    </x:row>
  </x:sheetData>
  <x:mergeCells>
    <x:mergeCell ref="A1:F1"/>
    <x:mergeCell ref="A7:F7"/>
    <x:mergeCell ref="A15:F15"/>
  </x:mergeCells>
  <x:pageMargins left="0.7" right="0.7" top="0.75" bottom="0.75" header="0.3" footer="0.3"/>
</x:worksheet>
</file>