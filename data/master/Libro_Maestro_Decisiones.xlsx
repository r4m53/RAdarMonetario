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5e\PycharmProjects\RAdarMonetario\data\master\"/>
    </mc:Choice>
  </mc:AlternateContent>
  <xr:revisionPtr revIDLastSave="0" documentId="13_ncr:1_{EBE61F9E-C537-4D7B-AD9A-7999632589F4}" xr6:coauthVersionLast="47" xr6:coauthVersionMax="47" xr10:uidLastSave="{00000000-0000-0000-0000-000000000000}"/>
  <bookViews>
    <workbookView xWindow="1464" yWindow="1464" windowWidth="20208" windowHeight="8988" xr2:uid="{00000000-000D-0000-FFFF-FFFF00000000}"/>
  </bookViews>
  <sheets>
    <sheet name="Decisiones" sheetId="1" r:id="rId1"/>
    <sheet name="Participacion_Junta" sheetId="2" r:id="rId2"/>
    <sheet name="Votaciones" sheetId="3" r:id="rId3"/>
    <sheet name="Personas" sheetId="4" r:id="rId4"/>
    <sheet name="Validaciones" sheetId="5" r:id="rId5"/>
    <sheet name="Cobertura" sheetId="6" r:id="rId6"/>
    <sheet name="Explorador_Decisiones" sheetId="7" r:id="rId7"/>
    <sheet name="Explorador_Integrantes" sheetId="8" r:id="rId8"/>
    <sheet name="GRAPH_DATA_INTEGRANTE" sheetId="10" r:id="rId9"/>
    <sheet name="GRAPH_DATA" sheetId="9" r:id="rId10"/>
    <sheet name="Instrucciones_Dropdow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8" i="8" l="1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L464" i="8"/>
  <c r="L462" i="8"/>
  <c r="L460" i="8"/>
  <c r="L454" i="8"/>
  <c r="L448" i="8"/>
  <c r="L446" i="8"/>
  <c r="L444" i="8"/>
  <c r="L438" i="8"/>
  <c r="L432" i="8"/>
  <c r="L430" i="8"/>
  <c r="L428" i="8"/>
  <c r="L422" i="8"/>
  <c r="L416" i="8"/>
  <c r="L414" i="8"/>
  <c r="L412" i="8"/>
  <c r="L406" i="8"/>
  <c r="L400" i="8"/>
  <c r="J466" i="8"/>
  <c r="J464" i="8"/>
  <c r="J458" i="8"/>
  <c r="J452" i="8"/>
  <c r="J450" i="8"/>
  <c r="J448" i="8"/>
  <c r="J442" i="8"/>
  <c r="J436" i="8"/>
  <c r="J434" i="8"/>
  <c r="J432" i="8"/>
  <c r="J426" i="8"/>
  <c r="J420" i="8"/>
  <c r="J418" i="8"/>
  <c r="J416" i="8"/>
  <c r="J410" i="8"/>
  <c r="J404" i="8"/>
  <c r="J402" i="8"/>
  <c r="J400" i="8"/>
  <c r="L461" i="8"/>
  <c r="L455" i="8"/>
  <c r="L453" i="8"/>
  <c r="L451" i="8"/>
  <c r="L445" i="8"/>
  <c r="L439" i="8"/>
  <c r="L437" i="8"/>
  <c r="L435" i="8"/>
  <c r="L429" i="8"/>
  <c r="L423" i="8"/>
  <c r="L421" i="8"/>
  <c r="L419" i="8"/>
  <c r="L413" i="8"/>
  <c r="L407" i="8"/>
  <c r="L405" i="8"/>
  <c r="L403" i="8"/>
  <c r="J463" i="8"/>
  <c r="J457" i="8"/>
  <c r="J455" i="8"/>
  <c r="J453" i="8"/>
  <c r="J447" i="8"/>
  <c r="J441" i="8"/>
  <c r="J439" i="8"/>
  <c r="J437" i="8"/>
  <c r="J431" i="8"/>
  <c r="J425" i="8"/>
  <c r="J423" i="8"/>
  <c r="J421" i="8"/>
  <c r="J415" i="8"/>
  <c r="J409" i="8"/>
  <c r="J407" i="8"/>
  <c r="J405" i="8"/>
  <c r="K465" i="8"/>
  <c r="K453" i="8"/>
  <c r="K449" i="8"/>
  <c r="K445" i="8"/>
  <c r="K433" i="8"/>
  <c r="K421" i="8"/>
  <c r="K417" i="8"/>
  <c r="K413" i="8"/>
  <c r="K401" i="8"/>
  <c r="M456" i="8"/>
  <c r="M452" i="8"/>
  <c r="M448" i="8"/>
  <c r="M436" i="8"/>
  <c r="M424" i="8"/>
  <c r="M420" i="8"/>
  <c r="M416" i="8"/>
  <c r="M404" i="8"/>
  <c r="K460" i="8"/>
  <c r="K456" i="8"/>
  <c r="K452" i="8"/>
  <c r="K440" i="8"/>
  <c r="K428" i="8"/>
  <c r="K424" i="8"/>
  <c r="K420" i="8"/>
  <c r="K408" i="8"/>
  <c r="M463" i="8"/>
  <c r="M459" i="8"/>
  <c r="M447" i="8"/>
  <c r="M435" i="8"/>
  <c r="M431" i="8"/>
  <c r="M427" i="8"/>
  <c r="M415" i="8"/>
  <c r="M403" i="8"/>
  <c r="K463" i="8"/>
  <c r="K459" i="8"/>
  <c r="K447" i="8"/>
  <c r="K435" i="8"/>
  <c r="K431" i="8"/>
  <c r="K427" i="8"/>
  <c r="K415" i="8"/>
  <c r="K403" i="8"/>
  <c r="M466" i="8"/>
  <c r="M462" i="8"/>
  <c r="M450" i="8"/>
  <c r="M438" i="8"/>
  <c r="M434" i="8"/>
  <c r="M430" i="8"/>
  <c r="M418" i="8"/>
  <c r="M406" i="8"/>
  <c r="M402" i="8"/>
  <c r="K466" i="8"/>
  <c r="K454" i="8"/>
  <c r="K442" i="8"/>
  <c r="K438" i="8"/>
  <c r="K434" i="8"/>
  <c r="K422" i="8"/>
  <c r="K410" i="8"/>
  <c r="K406" i="8"/>
  <c r="K402" i="8"/>
  <c r="M457" i="8"/>
  <c r="M445" i="8"/>
  <c r="M441" i="8"/>
  <c r="M437" i="8"/>
  <c r="M425" i="8"/>
  <c r="M413" i="8"/>
  <c r="M409" i="8"/>
  <c r="M405" i="8"/>
  <c r="G101" i="8"/>
  <c r="G104" i="8"/>
  <c r="G105" i="8"/>
  <c r="G106" i="8"/>
  <c r="G109" i="8"/>
  <c r="G112" i="8"/>
  <c r="G113" i="8"/>
  <c r="G240" i="8"/>
  <c r="G256" i="8"/>
  <c r="G250" i="8"/>
  <c r="G242" i="8"/>
  <c r="G251" i="8"/>
  <c r="G252" i="8"/>
  <c r="G245" i="8"/>
  <c r="G254" i="8"/>
  <c r="G246" i="8"/>
  <c r="G236" i="8"/>
  <c r="G233" i="8"/>
  <c r="G232" i="8"/>
  <c r="G231" i="8"/>
  <c r="G228" i="8"/>
  <c r="G225" i="8"/>
  <c r="G224" i="8"/>
  <c r="G223" i="8"/>
  <c r="G220" i="8"/>
  <c r="G217" i="8"/>
  <c r="G216" i="8"/>
  <c r="G215" i="8"/>
  <c r="G212" i="8"/>
  <c r="G209" i="8"/>
  <c r="G208" i="8"/>
  <c r="G207" i="8"/>
  <c r="G204" i="8"/>
  <c r="G201" i="8"/>
  <c r="G200" i="8"/>
  <c r="G199" i="8"/>
  <c r="G196" i="8"/>
  <c r="G193" i="8"/>
  <c r="G192" i="8"/>
  <c r="G191" i="8"/>
  <c r="G188" i="8"/>
  <c r="G185" i="8"/>
  <c r="G184" i="8"/>
  <c r="G183" i="8"/>
  <c r="G180" i="8"/>
  <c r="G177" i="8"/>
  <c r="G176" i="8"/>
  <c r="G175" i="8"/>
  <c r="G172" i="8"/>
  <c r="G169" i="8"/>
  <c r="G168" i="8"/>
  <c r="G167" i="8"/>
  <c r="G164" i="8"/>
  <c r="G161" i="8"/>
  <c r="G160" i="8"/>
  <c r="G159" i="8"/>
  <c r="G156" i="8"/>
  <c r="G153" i="8"/>
  <c r="G152" i="8"/>
  <c r="G151" i="8"/>
  <c r="G148" i="8"/>
  <c r="G145" i="8"/>
  <c r="G144" i="8"/>
  <c r="G143" i="8"/>
  <c r="G140" i="8"/>
  <c r="G137" i="8"/>
  <c r="G136" i="8"/>
  <c r="G135" i="8"/>
  <c r="G132" i="8"/>
  <c r="G129" i="8"/>
  <c r="G128" i="8"/>
  <c r="G127" i="8"/>
  <c r="G125" i="8"/>
  <c r="G124" i="8"/>
  <c r="G121" i="8"/>
  <c r="G120" i="8"/>
  <c r="G119" i="8"/>
  <c r="G117" i="8"/>
  <c r="G116" i="8"/>
  <c r="G247" i="8"/>
  <c r="G239" i="8"/>
  <c r="D237" i="9"/>
  <c r="C237" i="9"/>
  <c r="B237" i="9"/>
  <c r="F237" i="9" s="1"/>
  <c r="A237" i="9"/>
  <c r="D236" i="9"/>
  <c r="C236" i="9"/>
  <c r="B236" i="9"/>
  <c r="F236" i="9" s="1"/>
  <c r="A236" i="9"/>
  <c r="D235" i="9"/>
  <c r="C235" i="9"/>
  <c r="B235" i="9"/>
  <c r="A235" i="9"/>
  <c r="D234" i="9"/>
  <c r="C234" i="9"/>
  <c r="B234" i="9"/>
  <c r="F234" i="9" s="1"/>
  <c r="A234" i="9"/>
  <c r="D233" i="9"/>
  <c r="C233" i="9"/>
  <c r="B233" i="9"/>
  <c r="F233" i="9" s="1"/>
  <c r="A233" i="9"/>
  <c r="D232" i="9"/>
  <c r="C232" i="9"/>
  <c r="B232" i="9"/>
  <c r="A232" i="9"/>
  <c r="D231" i="9"/>
  <c r="C231" i="9"/>
  <c r="B231" i="9"/>
  <c r="A231" i="9"/>
  <c r="D230" i="9"/>
  <c r="C230" i="9"/>
  <c r="B230" i="9"/>
  <c r="F230" i="9" s="1"/>
  <c r="A230" i="9"/>
  <c r="D229" i="9"/>
  <c r="C229" i="9"/>
  <c r="B229" i="9"/>
  <c r="E229" i="9" s="1"/>
  <c r="A229" i="9"/>
  <c r="D228" i="9"/>
  <c r="C228" i="9"/>
  <c r="B228" i="9"/>
  <c r="A228" i="9"/>
  <c r="D227" i="9"/>
  <c r="C227" i="9"/>
  <c r="B227" i="9"/>
  <c r="A227" i="9"/>
  <c r="D226" i="9"/>
  <c r="C226" i="9"/>
  <c r="B226" i="9"/>
  <c r="F226" i="9" s="1"/>
  <c r="A226" i="9"/>
  <c r="F225" i="9"/>
  <c r="D225" i="9"/>
  <c r="C225" i="9"/>
  <c r="B225" i="9"/>
  <c r="E225" i="9" s="1"/>
  <c r="A225" i="9"/>
  <c r="D224" i="9"/>
  <c r="C224" i="9"/>
  <c r="B224" i="9"/>
  <c r="A224" i="9"/>
  <c r="D223" i="9"/>
  <c r="C223" i="9"/>
  <c r="B223" i="9"/>
  <c r="A223" i="9"/>
  <c r="D222" i="9"/>
  <c r="C222" i="9"/>
  <c r="B222" i="9"/>
  <c r="F222" i="9" s="1"/>
  <c r="A222" i="9"/>
  <c r="D221" i="9"/>
  <c r="C221" i="9"/>
  <c r="B221" i="9"/>
  <c r="E221" i="9" s="1"/>
  <c r="A221" i="9"/>
  <c r="D220" i="9"/>
  <c r="C220" i="9"/>
  <c r="B220" i="9"/>
  <c r="A220" i="9"/>
  <c r="D219" i="9"/>
  <c r="C219" i="9"/>
  <c r="B219" i="9"/>
  <c r="A219" i="9"/>
  <c r="D218" i="9"/>
  <c r="C218" i="9"/>
  <c r="B218" i="9"/>
  <c r="E218" i="9" s="1"/>
  <c r="A218" i="9"/>
  <c r="F217" i="9"/>
  <c r="D217" i="9"/>
  <c r="C217" i="9"/>
  <c r="B217" i="9"/>
  <c r="E217" i="9" s="1"/>
  <c r="A217" i="9"/>
  <c r="D216" i="9"/>
  <c r="C216" i="9"/>
  <c r="B216" i="9"/>
  <c r="A216" i="9"/>
  <c r="D215" i="9"/>
  <c r="C215" i="9"/>
  <c r="B215" i="9"/>
  <c r="A215" i="9"/>
  <c r="D214" i="9"/>
  <c r="C214" i="9"/>
  <c r="B214" i="9"/>
  <c r="F214" i="9" s="1"/>
  <c r="A214" i="9"/>
  <c r="D213" i="9"/>
  <c r="C213" i="9"/>
  <c r="B213" i="9"/>
  <c r="E213" i="9" s="1"/>
  <c r="A213" i="9"/>
  <c r="D212" i="9"/>
  <c r="C212" i="9"/>
  <c r="B212" i="9"/>
  <c r="A212" i="9"/>
  <c r="D211" i="9"/>
  <c r="C211" i="9"/>
  <c r="B211" i="9"/>
  <c r="A211" i="9"/>
  <c r="F210" i="9"/>
  <c r="D210" i="9"/>
  <c r="C210" i="9"/>
  <c r="B210" i="9"/>
  <c r="E210" i="9" s="1"/>
  <c r="A210" i="9"/>
  <c r="D209" i="9"/>
  <c r="C209" i="9"/>
  <c r="B209" i="9"/>
  <c r="E209" i="9" s="1"/>
  <c r="A209" i="9"/>
  <c r="D208" i="9"/>
  <c r="C208" i="9"/>
  <c r="B208" i="9"/>
  <c r="A208" i="9"/>
  <c r="D207" i="9"/>
  <c r="C207" i="9"/>
  <c r="B207" i="9"/>
  <c r="A207" i="9"/>
  <c r="D206" i="9"/>
  <c r="C206" i="9"/>
  <c r="B206" i="9"/>
  <c r="F206" i="9" s="1"/>
  <c r="A206" i="9"/>
  <c r="D205" i="9"/>
  <c r="C205" i="9"/>
  <c r="B205" i="9"/>
  <c r="E205" i="9" s="1"/>
  <c r="A205" i="9"/>
  <c r="D204" i="9"/>
  <c r="C204" i="9"/>
  <c r="B204" i="9"/>
  <c r="A204" i="9"/>
  <c r="D203" i="9"/>
  <c r="C203" i="9"/>
  <c r="B203" i="9"/>
  <c r="A203" i="9"/>
  <c r="E202" i="9"/>
  <c r="D202" i="9"/>
  <c r="C202" i="9"/>
  <c r="B202" i="9"/>
  <c r="F202" i="9" s="1"/>
  <c r="A202" i="9"/>
  <c r="D201" i="9"/>
  <c r="C201" i="9"/>
  <c r="B201" i="9"/>
  <c r="E201" i="9" s="1"/>
  <c r="A201" i="9"/>
  <c r="D200" i="9"/>
  <c r="C200" i="9"/>
  <c r="B200" i="9"/>
  <c r="A200" i="9"/>
  <c r="D199" i="9"/>
  <c r="C199" i="9"/>
  <c r="B199" i="9"/>
  <c r="A199" i="9"/>
  <c r="D198" i="9"/>
  <c r="C198" i="9"/>
  <c r="B198" i="9"/>
  <c r="F198" i="9" s="1"/>
  <c r="A198" i="9"/>
  <c r="D197" i="9"/>
  <c r="C197" i="9"/>
  <c r="B197" i="9"/>
  <c r="E197" i="9" s="1"/>
  <c r="A197" i="9"/>
  <c r="D196" i="9"/>
  <c r="C196" i="9"/>
  <c r="B196" i="9"/>
  <c r="A196" i="9"/>
  <c r="D195" i="9"/>
  <c r="C195" i="9"/>
  <c r="B195" i="9"/>
  <c r="A195" i="9"/>
  <c r="D194" i="9"/>
  <c r="C194" i="9"/>
  <c r="B194" i="9"/>
  <c r="E194" i="9" s="1"/>
  <c r="A194" i="9"/>
  <c r="F193" i="9"/>
  <c r="D193" i="9"/>
  <c r="C193" i="9"/>
  <c r="B193" i="9"/>
  <c r="E193" i="9" s="1"/>
  <c r="A193" i="9"/>
  <c r="D192" i="9"/>
  <c r="C192" i="9"/>
  <c r="B192" i="9"/>
  <c r="A192" i="9"/>
  <c r="D191" i="9"/>
  <c r="C191" i="9"/>
  <c r="B191" i="9"/>
  <c r="A191" i="9"/>
  <c r="D190" i="9"/>
  <c r="C190" i="9"/>
  <c r="B190" i="9"/>
  <c r="F190" i="9" s="1"/>
  <c r="A190" i="9"/>
  <c r="D189" i="9"/>
  <c r="C189" i="9"/>
  <c r="B189" i="9"/>
  <c r="E189" i="9" s="1"/>
  <c r="A189" i="9"/>
  <c r="D188" i="9"/>
  <c r="C188" i="9"/>
  <c r="B188" i="9"/>
  <c r="A188" i="9"/>
  <c r="D187" i="9"/>
  <c r="C187" i="9"/>
  <c r="B187" i="9"/>
  <c r="A187" i="9"/>
  <c r="F186" i="9"/>
  <c r="E186" i="9"/>
  <c r="D186" i="9"/>
  <c r="C186" i="9"/>
  <c r="B186" i="9"/>
  <c r="A186" i="9"/>
  <c r="D185" i="9"/>
  <c r="C185" i="9"/>
  <c r="B185" i="9"/>
  <c r="E185" i="9" s="1"/>
  <c r="A185" i="9"/>
  <c r="D184" i="9"/>
  <c r="C184" i="9"/>
  <c r="B184" i="9"/>
  <c r="A184" i="9"/>
  <c r="D183" i="9"/>
  <c r="C183" i="9"/>
  <c r="B183" i="9"/>
  <c r="A183" i="9"/>
  <c r="D182" i="9"/>
  <c r="C182" i="9"/>
  <c r="B182" i="9"/>
  <c r="F182" i="9" s="1"/>
  <c r="A182" i="9"/>
  <c r="D181" i="9"/>
  <c r="C181" i="9"/>
  <c r="B181" i="9"/>
  <c r="E181" i="9" s="1"/>
  <c r="A181" i="9"/>
  <c r="D180" i="9"/>
  <c r="C180" i="9"/>
  <c r="B180" i="9"/>
  <c r="A180" i="9"/>
  <c r="D179" i="9"/>
  <c r="C179" i="9"/>
  <c r="B179" i="9"/>
  <c r="A179" i="9"/>
  <c r="F178" i="9"/>
  <c r="D178" i="9"/>
  <c r="C178" i="9"/>
  <c r="B178" i="9"/>
  <c r="E178" i="9" s="1"/>
  <c r="A178" i="9"/>
  <c r="D177" i="9"/>
  <c r="C177" i="9"/>
  <c r="B177" i="9"/>
  <c r="E177" i="9" s="1"/>
  <c r="A177" i="9"/>
  <c r="D176" i="9"/>
  <c r="C176" i="9"/>
  <c r="B176" i="9"/>
  <c r="A176" i="9"/>
  <c r="D175" i="9"/>
  <c r="C175" i="9"/>
  <c r="B175" i="9"/>
  <c r="A175" i="9"/>
  <c r="D174" i="9"/>
  <c r="C174" i="9"/>
  <c r="B174" i="9"/>
  <c r="F174" i="9" s="1"/>
  <c r="A174" i="9"/>
  <c r="D173" i="9"/>
  <c r="C173" i="9"/>
  <c r="B173" i="9"/>
  <c r="E173" i="9" s="1"/>
  <c r="A173" i="9"/>
  <c r="D172" i="9"/>
  <c r="C172" i="9"/>
  <c r="B172" i="9"/>
  <c r="A172" i="9"/>
  <c r="D171" i="9"/>
  <c r="C171" i="9"/>
  <c r="B171" i="9"/>
  <c r="A171" i="9"/>
  <c r="D170" i="9"/>
  <c r="C170" i="9"/>
  <c r="B170" i="9"/>
  <c r="F170" i="9" s="1"/>
  <c r="A170" i="9"/>
  <c r="D169" i="9"/>
  <c r="C169" i="9"/>
  <c r="B169" i="9"/>
  <c r="E169" i="9" s="1"/>
  <c r="A169" i="9"/>
  <c r="D168" i="9"/>
  <c r="C168" i="9"/>
  <c r="B168" i="9"/>
  <c r="A168" i="9"/>
  <c r="D167" i="9"/>
  <c r="C167" i="9"/>
  <c r="B167" i="9"/>
  <c r="A167" i="9"/>
  <c r="D166" i="9"/>
  <c r="C166" i="9"/>
  <c r="B166" i="9"/>
  <c r="F166" i="9" s="1"/>
  <c r="A166" i="9"/>
  <c r="D165" i="9"/>
  <c r="C165" i="9"/>
  <c r="B165" i="9"/>
  <c r="E165" i="9" s="1"/>
  <c r="A165" i="9"/>
  <c r="D164" i="9"/>
  <c r="C164" i="9"/>
  <c r="B164" i="9"/>
  <c r="A164" i="9"/>
  <c r="D163" i="9"/>
  <c r="C163" i="9"/>
  <c r="B163" i="9"/>
  <c r="A163" i="9"/>
  <c r="E162" i="9"/>
  <c r="D162" i="9"/>
  <c r="C162" i="9"/>
  <c r="B162" i="9"/>
  <c r="F162" i="9" s="1"/>
  <c r="A162" i="9"/>
  <c r="F161" i="9"/>
  <c r="D161" i="9"/>
  <c r="C161" i="9"/>
  <c r="B161" i="9"/>
  <c r="E161" i="9" s="1"/>
  <c r="A161" i="9"/>
  <c r="D160" i="9"/>
  <c r="C160" i="9"/>
  <c r="B160" i="9"/>
  <c r="A160" i="9"/>
  <c r="D159" i="9"/>
  <c r="C159" i="9"/>
  <c r="B159" i="9"/>
  <c r="A159" i="9"/>
  <c r="D158" i="9"/>
  <c r="C158" i="9"/>
  <c r="B158" i="9"/>
  <c r="F158" i="9" s="1"/>
  <c r="A158" i="9"/>
  <c r="D157" i="9"/>
  <c r="C157" i="9"/>
  <c r="B157" i="9"/>
  <c r="E157" i="9" s="1"/>
  <c r="A157" i="9"/>
  <c r="D156" i="9"/>
  <c r="C156" i="9"/>
  <c r="B156" i="9"/>
  <c r="A156" i="9"/>
  <c r="D155" i="9"/>
  <c r="C155" i="9"/>
  <c r="B155" i="9"/>
  <c r="A155" i="9"/>
  <c r="D154" i="9"/>
  <c r="C154" i="9"/>
  <c r="B154" i="9"/>
  <c r="E154" i="9" s="1"/>
  <c r="A154" i="9"/>
  <c r="F153" i="9"/>
  <c r="D153" i="9"/>
  <c r="C153" i="9"/>
  <c r="B153" i="9"/>
  <c r="E153" i="9" s="1"/>
  <c r="A153" i="9"/>
  <c r="D152" i="9"/>
  <c r="C152" i="9"/>
  <c r="B152" i="9"/>
  <c r="A152" i="9"/>
  <c r="D151" i="9"/>
  <c r="C151" i="9"/>
  <c r="B151" i="9"/>
  <c r="A151" i="9"/>
  <c r="D150" i="9"/>
  <c r="C150" i="9"/>
  <c r="B150" i="9"/>
  <c r="F150" i="9" s="1"/>
  <c r="A150" i="9"/>
  <c r="D149" i="9"/>
  <c r="C149" i="9"/>
  <c r="B149" i="9"/>
  <c r="E149" i="9" s="1"/>
  <c r="A149" i="9"/>
  <c r="D148" i="9"/>
  <c r="C148" i="9"/>
  <c r="B148" i="9"/>
  <c r="A148" i="9"/>
  <c r="D147" i="9"/>
  <c r="C147" i="9"/>
  <c r="B147" i="9"/>
  <c r="A147" i="9"/>
  <c r="F146" i="9"/>
  <c r="D146" i="9"/>
  <c r="C146" i="9"/>
  <c r="B146" i="9"/>
  <c r="E146" i="9" s="1"/>
  <c r="A146" i="9"/>
  <c r="F145" i="9"/>
  <c r="D145" i="9"/>
  <c r="C145" i="9"/>
  <c r="B145" i="9"/>
  <c r="E145" i="9" s="1"/>
  <c r="A145" i="9"/>
  <c r="D144" i="9"/>
  <c r="C144" i="9"/>
  <c r="B144" i="9"/>
  <c r="A144" i="9"/>
  <c r="D143" i="9"/>
  <c r="C143" i="9"/>
  <c r="B143" i="9"/>
  <c r="A143" i="9"/>
  <c r="D142" i="9"/>
  <c r="C142" i="9"/>
  <c r="B142" i="9"/>
  <c r="F142" i="9" s="1"/>
  <c r="A142" i="9"/>
  <c r="D141" i="9"/>
  <c r="C141" i="9"/>
  <c r="B141" i="9"/>
  <c r="E141" i="9" s="1"/>
  <c r="A141" i="9"/>
  <c r="D140" i="9"/>
  <c r="C140" i="9"/>
  <c r="B140" i="9"/>
  <c r="A140" i="9"/>
  <c r="D139" i="9"/>
  <c r="C139" i="9"/>
  <c r="B139" i="9"/>
  <c r="A139" i="9"/>
  <c r="F138" i="9"/>
  <c r="E138" i="9"/>
  <c r="D138" i="9"/>
  <c r="C138" i="9"/>
  <c r="B138" i="9"/>
  <c r="A138" i="9"/>
  <c r="D137" i="9"/>
  <c r="C137" i="9"/>
  <c r="B137" i="9"/>
  <c r="E137" i="9" s="1"/>
  <c r="A137" i="9"/>
  <c r="D136" i="9"/>
  <c r="C136" i="9"/>
  <c r="B136" i="9"/>
  <c r="A136" i="9"/>
  <c r="D135" i="9"/>
  <c r="C135" i="9"/>
  <c r="B135" i="9"/>
  <c r="A135" i="9"/>
  <c r="D134" i="9"/>
  <c r="C134" i="9"/>
  <c r="B134" i="9"/>
  <c r="F134" i="9" s="1"/>
  <c r="A134" i="9"/>
  <c r="D133" i="9"/>
  <c r="C133" i="9"/>
  <c r="B133" i="9"/>
  <c r="E133" i="9" s="1"/>
  <c r="A133" i="9"/>
  <c r="D132" i="9"/>
  <c r="C132" i="9"/>
  <c r="B132" i="9"/>
  <c r="A132" i="9"/>
  <c r="D131" i="9"/>
  <c r="C131" i="9"/>
  <c r="B131" i="9"/>
  <c r="A131" i="9"/>
  <c r="D130" i="9"/>
  <c r="C130" i="9"/>
  <c r="B130" i="9"/>
  <c r="F130" i="9" s="1"/>
  <c r="A130" i="9"/>
  <c r="F129" i="9"/>
  <c r="D129" i="9"/>
  <c r="C129" i="9"/>
  <c r="B129" i="9"/>
  <c r="E129" i="9" s="1"/>
  <c r="A129" i="9"/>
  <c r="D128" i="9"/>
  <c r="C128" i="9"/>
  <c r="B128" i="9"/>
  <c r="A128" i="9"/>
  <c r="D127" i="9"/>
  <c r="C127" i="9"/>
  <c r="B127" i="9"/>
  <c r="E127" i="9" s="1"/>
  <c r="A127" i="9"/>
  <c r="D126" i="9"/>
  <c r="C126" i="9"/>
  <c r="B126" i="9"/>
  <c r="F126" i="9" s="1"/>
  <c r="A126" i="9"/>
  <c r="D125" i="9"/>
  <c r="C125" i="9"/>
  <c r="B125" i="9"/>
  <c r="A125" i="9"/>
  <c r="D124" i="9"/>
  <c r="C124" i="9"/>
  <c r="B124" i="9"/>
  <c r="A124" i="9"/>
  <c r="D123" i="9"/>
  <c r="C123" i="9"/>
  <c r="B123" i="9"/>
  <c r="E123" i="9" s="1"/>
  <c r="A123" i="9"/>
  <c r="D122" i="9"/>
  <c r="C122" i="9"/>
  <c r="B122" i="9"/>
  <c r="F122" i="9" s="1"/>
  <c r="A122" i="9"/>
  <c r="D121" i="9"/>
  <c r="C121" i="9"/>
  <c r="B121" i="9"/>
  <c r="F121" i="9" s="1"/>
  <c r="A121" i="9"/>
  <c r="D120" i="9"/>
  <c r="C120" i="9"/>
  <c r="B120" i="9"/>
  <c r="A120" i="9"/>
  <c r="D119" i="9"/>
  <c r="C119" i="9"/>
  <c r="B119" i="9"/>
  <c r="E119" i="9" s="1"/>
  <c r="A119" i="9"/>
  <c r="D118" i="9"/>
  <c r="C118" i="9"/>
  <c r="B118" i="9"/>
  <c r="F118" i="9" s="1"/>
  <c r="A118" i="9"/>
  <c r="D117" i="9"/>
  <c r="C117" i="9"/>
  <c r="B117" i="9"/>
  <c r="F117" i="9" s="1"/>
  <c r="A117" i="9"/>
  <c r="D116" i="9"/>
  <c r="C116" i="9"/>
  <c r="B116" i="9"/>
  <c r="A116" i="9"/>
  <c r="F115" i="9"/>
  <c r="D115" i="9"/>
  <c r="C115" i="9"/>
  <c r="B115" i="9"/>
  <c r="E115" i="9" s="1"/>
  <c r="A115" i="9"/>
  <c r="D114" i="9"/>
  <c r="C114" i="9"/>
  <c r="B114" i="9"/>
  <c r="F114" i="9" s="1"/>
  <c r="A114" i="9"/>
  <c r="D113" i="9"/>
  <c r="C113" i="9"/>
  <c r="B113" i="9"/>
  <c r="A113" i="9"/>
  <c r="D112" i="9"/>
  <c r="C112" i="9"/>
  <c r="B112" i="9"/>
  <c r="A112" i="9"/>
  <c r="D111" i="9"/>
  <c r="C111" i="9"/>
  <c r="B111" i="9"/>
  <c r="A111" i="9"/>
  <c r="D110" i="9"/>
  <c r="C110" i="9"/>
  <c r="B110" i="9"/>
  <c r="F110" i="9" s="1"/>
  <c r="A110" i="9"/>
  <c r="D109" i="9"/>
  <c r="C109" i="9"/>
  <c r="B109" i="9"/>
  <c r="E109" i="9" s="1"/>
  <c r="A109" i="9"/>
  <c r="D108" i="9"/>
  <c r="C108" i="9"/>
  <c r="B108" i="9"/>
  <c r="A108" i="9"/>
  <c r="D107" i="9"/>
  <c r="C107" i="9"/>
  <c r="B107" i="9"/>
  <c r="E107" i="9" s="1"/>
  <c r="A107" i="9"/>
  <c r="D106" i="9"/>
  <c r="C106" i="9"/>
  <c r="B106" i="9"/>
  <c r="F106" i="9" s="1"/>
  <c r="A106" i="9"/>
  <c r="D105" i="9"/>
  <c r="C105" i="9"/>
  <c r="B105" i="9"/>
  <c r="F105" i="9" s="1"/>
  <c r="A105" i="9"/>
  <c r="D104" i="9"/>
  <c r="C104" i="9"/>
  <c r="B104" i="9"/>
  <c r="A104" i="9"/>
  <c r="D103" i="9"/>
  <c r="C103" i="9"/>
  <c r="B103" i="9"/>
  <c r="E103" i="9" s="1"/>
  <c r="A103" i="9"/>
  <c r="D102" i="9"/>
  <c r="C102" i="9"/>
  <c r="B102" i="9"/>
  <c r="E102" i="9" s="1"/>
  <c r="A102" i="9"/>
  <c r="D101" i="9"/>
  <c r="C101" i="9"/>
  <c r="B101" i="9"/>
  <c r="F101" i="9" s="1"/>
  <c r="A101" i="9"/>
  <c r="D100" i="9"/>
  <c r="C100" i="9"/>
  <c r="B100" i="9"/>
  <c r="A100" i="9"/>
  <c r="D99" i="9"/>
  <c r="C99" i="9"/>
  <c r="B99" i="9"/>
  <c r="A99" i="9"/>
  <c r="D98" i="9"/>
  <c r="C98" i="9"/>
  <c r="B98" i="9"/>
  <c r="E98" i="9" s="1"/>
  <c r="A98" i="9"/>
  <c r="D97" i="9"/>
  <c r="C97" i="9"/>
  <c r="B97" i="9"/>
  <c r="F97" i="9" s="1"/>
  <c r="A97" i="9"/>
  <c r="D96" i="9"/>
  <c r="C96" i="9"/>
  <c r="B96" i="9"/>
  <c r="A96" i="9"/>
  <c r="D95" i="9"/>
  <c r="C95" i="9"/>
  <c r="B95" i="9"/>
  <c r="E95" i="9" s="1"/>
  <c r="A95" i="9"/>
  <c r="D94" i="9"/>
  <c r="C94" i="9"/>
  <c r="B94" i="9"/>
  <c r="E94" i="9" s="1"/>
  <c r="A94" i="9"/>
  <c r="D93" i="9"/>
  <c r="C93" i="9"/>
  <c r="B93" i="9"/>
  <c r="A93" i="9"/>
  <c r="D92" i="9"/>
  <c r="C92" i="9"/>
  <c r="B92" i="9"/>
  <c r="A92" i="9"/>
  <c r="D91" i="9"/>
  <c r="C91" i="9"/>
  <c r="B91" i="9"/>
  <c r="E91" i="9" s="1"/>
  <c r="A91" i="9"/>
  <c r="D90" i="9"/>
  <c r="C90" i="9"/>
  <c r="B90" i="9"/>
  <c r="F90" i="9" s="1"/>
  <c r="A90" i="9"/>
  <c r="D89" i="9"/>
  <c r="C89" i="9"/>
  <c r="B89" i="9"/>
  <c r="F89" i="9" s="1"/>
  <c r="A89" i="9"/>
  <c r="D88" i="9"/>
  <c r="C88" i="9"/>
  <c r="B88" i="9"/>
  <c r="A88" i="9"/>
  <c r="D87" i="9"/>
  <c r="C87" i="9"/>
  <c r="B87" i="9"/>
  <c r="E87" i="9" s="1"/>
  <c r="A87" i="9"/>
  <c r="E86" i="9"/>
  <c r="D86" i="9"/>
  <c r="C86" i="9"/>
  <c r="B86" i="9"/>
  <c r="F86" i="9" s="1"/>
  <c r="A86" i="9"/>
  <c r="D85" i="9"/>
  <c r="C85" i="9"/>
  <c r="B85" i="9"/>
  <c r="F85" i="9" s="1"/>
  <c r="A85" i="9"/>
  <c r="D84" i="9"/>
  <c r="C84" i="9"/>
  <c r="B84" i="9"/>
  <c r="A84" i="9"/>
  <c r="D83" i="9"/>
  <c r="C83" i="9"/>
  <c r="B83" i="9"/>
  <c r="E83" i="9" s="1"/>
  <c r="A83" i="9"/>
  <c r="D82" i="9"/>
  <c r="C82" i="9"/>
  <c r="B82" i="9"/>
  <c r="F82" i="9" s="1"/>
  <c r="A82" i="9"/>
  <c r="D81" i="9"/>
  <c r="C81" i="9"/>
  <c r="B81" i="9"/>
  <c r="A81" i="9"/>
  <c r="D80" i="9"/>
  <c r="C80" i="9"/>
  <c r="B80" i="9"/>
  <c r="A80" i="9"/>
  <c r="D79" i="9"/>
  <c r="C79" i="9"/>
  <c r="B79" i="9"/>
  <c r="A79" i="9"/>
  <c r="D78" i="9"/>
  <c r="C78" i="9"/>
  <c r="B78" i="9"/>
  <c r="F78" i="9" s="1"/>
  <c r="A78" i="9"/>
  <c r="D77" i="9"/>
  <c r="C77" i="9"/>
  <c r="B77" i="9"/>
  <c r="E77" i="9" s="1"/>
  <c r="A77" i="9"/>
  <c r="D76" i="9"/>
  <c r="C76" i="9"/>
  <c r="B76" i="9"/>
  <c r="A76" i="9"/>
  <c r="D75" i="9"/>
  <c r="C75" i="9"/>
  <c r="B75" i="9"/>
  <c r="E75" i="9" s="1"/>
  <c r="A75" i="9"/>
  <c r="D74" i="9"/>
  <c r="C74" i="9"/>
  <c r="B74" i="9"/>
  <c r="F74" i="9" s="1"/>
  <c r="A74" i="9"/>
  <c r="F73" i="9"/>
  <c r="D73" i="9"/>
  <c r="C73" i="9"/>
  <c r="B73" i="9"/>
  <c r="E73" i="9" s="1"/>
  <c r="A73" i="9"/>
  <c r="D72" i="9"/>
  <c r="C72" i="9"/>
  <c r="B72" i="9"/>
  <c r="A72" i="9"/>
  <c r="D71" i="9"/>
  <c r="C71" i="9"/>
  <c r="B71" i="9"/>
  <c r="E71" i="9" s="1"/>
  <c r="A71" i="9"/>
  <c r="D70" i="9"/>
  <c r="C70" i="9"/>
  <c r="B70" i="9"/>
  <c r="F70" i="9" s="1"/>
  <c r="A70" i="9"/>
  <c r="D69" i="9"/>
  <c r="C69" i="9"/>
  <c r="B69" i="9"/>
  <c r="F69" i="9" s="1"/>
  <c r="A69" i="9"/>
  <c r="D68" i="9"/>
  <c r="C68" i="9"/>
  <c r="B68" i="9"/>
  <c r="A68" i="9"/>
  <c r="D67" i="9"/>
  <c r="C67" i="9"/>
  <c r="B67" i="9"/>
  <c r="A67" i="9"/>
  <c r="F66" i="9"/>
  <c r="E66" i="9"/>
  <c r="D66" i="9"/>
  <c r="C66" i="9"/>
  <c r="B66" i="9"/>
  <c r="A66" i="9"/>
  <c r="D65" i="9"/>
  <c r="C65" i="9"/>
  <c r="B65" i="9"/>
  <c r="F65" i="9" s="1"/>
  <c r="A65" i="9"/>
  <c r="D64" i="9"/>
  <c r="C64" i="9"/>
  <c r="B64" i="9"/>
  <c r="A64" i="9"/>
  <c r="D63" i="9"/>
  <c r="C63" i="9"/>
  <c r="B63" i="9"/>
  <c r="E63" i="9" s="1"/>
  <c r="A63" i="9"/>
  <c r="D62" i="9"/>
  <c r="C62" i="9"/>
  <c r="B62" i="9"/>
  <c r="F62" i="9" s="1"/>
  <c r="A62" i="9"/>
  <c r="D61" i="9"/>
  <c r="C61" i="9"/>
  <c r="B61" i="9"/>
  <c r="A61" i="9"/>
  <c r="D60" i="9"/>
  <c r="C60" i="9"/>
  <c r="B60" i="9"/>
  <c r="A60" i="9"/>
  <c r="D59" i="9"/>
  <c r="C59" i="9"/>
  <c r="B59" i="9"/>
  <c r="E59" i="9" s="1"/>
  <c r="A59" i="9"/>
  <c r="D58" i="9"/>
  <c r="C58" i="9"/>
  <c r="B58" i="9"/>
  <c r="E58" i="9" s="1"/>
  <c r="A58" i="9"/>
  <c r="D57" i="9"/>
  <c r="C57" i="9"/>
  <c r="B57" i="9"/>
  <c r="F57" i="9" s="1"/>
  <c r="A57" i="9"/>
  <c r="D56" i="9"/>
  <c r="C56" i="9"/>
  <c r="B56" i="9"/>
  <c r="A56" i="9"/>
  <c r="D55" i="9"/>
  <c r="C55" i="9"/>
  <c r="B55" i="9"/>
  <c r="E55" i="9" s="1"/>
  <c r="A55" i="9"/>
  <c r="D54" i="9"/>
  <c r="C54" i="9"/>
  <c r="B54" i="9"/>
  <c r="F54" i="9" s="1"/>
  <c r="A54" i="9"/>
  <c r="D53" i="9"/>
  <c r="C53" i="9"/>
  <c r="B53" i="9"/>
  <c r="F53" i="9" s="1"/>
  <c r="A53" i="9"/>
  <c r="D52" i="9"/>
  <c r="C52" i="9"/>
  <c r="B52" i="9"/>
  <c r="A52" i="9"/>
  <c r="D51" i="9"/>
  <c r="C51" i="9"/>
  <c r="B51" i="9"/>
  <c r="A51" i="9"/>
  <c r="D50" i="9"/>
  <c r="C50" i="9"/>
  <c r="B50" i="9"/>
  <c r="F50" i="9" s="1"/>
  <c r="A50" i="9"/>
  <c r="D49" i="9"/>
  <c r="C49" i="9"/>
  <c r="B49" i="9"/>
  <c r="E49" i="9" s="1"/>
  <c r="A49" i="9"/>
  <c r="D48" i="9"/>
  <c r="C48" i="9"/>
  <c r="B48" i="9"/>
  <c r="A48" i="9"/>
  <c r="D47" i="9"/>
  <c r="C47" i="9"/>
  <c r="B47" i="9"/>
  <c r="A47" i="9"/>
  <c r="D46" i="9"/>
  <c r="C46" i="9"/>
  <c r="B46" i="9"/>
  <c r="E46" i="9" s="1"/>
  <c r="A46" i="9"/>
  <c r="D45" i="9"/>
  <c r="C45" i="9"/>
  <c r="B45" i="9"/>
  <c r="E45" i="9" s="1"/>
  <c r="A45" i="9"/>
  <c r="D44" i="9"/>
  <c r="C44" i="9"/>
  <c r="B44" i="9"/>
  <c r="E44" i="9" s="1"/>
  <c r="A44" i="9"/>
  <c r="D43" i="9"/>
  <c r="C43" i="9"/>
  <c r="B43" i="9"/>
  <c r="E43" i="9" s="1"/>
  <c r="A43" i="9"/>
  <c r="D42" i="9"/>
  <c r="C42" i="9"/>
  <c r="B42" i="9"/>
  <c r="A42" i="9"/>
  <c r="D41" i="9"/>
  <c r="C41" i="9"/>
  <c r="B41" i="9"/>
  <c r="E41" i="9" s="1"/>
  <c r="A41" i="9"/>
  <c r="F40" i="9"/>
  <c r="D40" i="9"/>
  <c r="C40" i="9"/>
  <c r="B40" i="9"/>
  <c r="E40" i="9" s="1"/>
  <c r="A40" i="9"/>
  <c r="D39" i="9"/>
  <c r="C39" i="9"/>
  <c r="B39" i="9"/>
  <c r="A39" i="9"/>
  <c r="F38" i="9"/>
  <c r="D38" i="9"/>
  <c r="C38" i="9"/>
  <c r="B38" i="9"/>
  <c r="E38" i="9" s="1"/>
  <c r="A38" i="9"/>
  <c r="D37" i="9"/>
  <c r="C37" i="9"/>
  <c r="B37" i="9"/>
  <c r="A37" i="9"/>
  <c r="D36" i="9"/>
  <c r="C36" i="9"/>
  <c r="B36" i="9"/>
  <c r="E36" i="9" s="1"/>
  <c r="A36" i="9"/>
  <c r="F35" i="9"/>
  <c r="D35" i="9"/>
  <c r="C35" i="9"/>
  <c r="B35" i="9"/>
  <c r="E35" i="9" s="1"/>
  <c r="A35" i="9"/>
  <c r="D34" i="9"/>
  <c r="C34" i="9"/>
  <c r="B34" i="9"/>
  <c r="E34" i="9" s="1"/>
  <c r="A34" i="9"/>
  <c r="D33" i="9"/>
  <c r="C33" i="9"/>
  <c r="B33" i="9"/>
  <c r="E33" i="9" s="1"/>
  <c r="A33" i="9"/>
  <c r="D32" i="9"/>
  <c r="C32" i="9"/>
  <c r="B32" i="9"/>
  <c r="E32" i="9" s="1"/>
  <c r="A32" i="9"/>
  <c r="D31" i="9"/>
  <c r="C31" i="9"/>
  <c r="B31" i="9"/>
  <c r="A31" i="9"/>
  <c r="D30" i="9"/>
  <c r="C30" i="9"/>
  <c r="B30" i="9"/>
  <c r="E30" i="9" s="1"/>
  <c r="A30" i="9"/>
  <c r="D29" i="9"/>
  <c r="C29" i="9"/>
  <c r="B29" i="9"/>
  <c r="E29" i="9" s="1"/>
  <c r="A29" i="9"/>
  <c r="D28" i="9"/>
  <c r="C28" i="9"/>
  <c r="B28" i="9"/>
  <c r="E28" i="9" s="1"/>
  <c r="A28" i="9"/>
  <c r="D27" i="9"/>
  <c r="C27" i="9"/>
  <c r="B27" i="9"/>
  <c r="E27" i="9" s="1"/>
  <c r="A27" i="9"/>
  <c r="D26" i="9"/>
  <c r="C26" i="9"/>
  <c r="B26" i="9"/>
  <c r="E26" i="9" s="1"/>
  <c r="A26" i="9"/>
  <c r="D25" i="9"/>
  <c r="C25" i="9"/>
  <c r="B25" i="9"/>
  <c r="E25" i="9" s="1"/>
  <c r="A25" i="9"/>
  <c r="D24" i="9"/>
  <c r="C24" i="9"/>
  <c r="B24" i="9"/>
  <c r="E24" i="9" s="1"/>
  <c r="A24" i="9"/>
  <c r="D23" i="9"/>
  <c r="C23" i="9"/>
  <c r="B23" i="9"/>
  <c r="A23" i="9"/>
  <c r="D22" i="9"/>
  <c r="C22" i="9"/>
  <c r="B22" i="9"/>
  <c r="F22" i="9" s="1"/>
  <c r="A22" i="9"/>
  <c r="D21" i="9"/>
  <c r="C21" i="9"/>
  <c r="B21" i="9"/>
  <c r="F21" i="9" s="1"/>
  <c r="A21" i="9"/>
  <c r="D20" i="9"/>
  <c r="C20" i="9"/>
  <c r="B20" i="9"/>
  <c r="A20" i="9"/>
  <c r="D19" i="9"/>
  <c r="C19" i="9"/>
  <c r="B19" i="9"/>
  <c r="E19" i="9" s="1"/>
  <c r="A19" i="9"/>
  <c r="D18" i="9"/>
  <c r="C18" i="9"/>
  <c r="B18" i="9"/>
  <c r="F18" i="9" s="1"/>
  <c r="A18" i="9"/>
  <c r="F17" i="9"/>
  <c r="D17" i="9"/>
  <c r="C17" i="9"/>
  <c r="B17" i="9"/>
  <c r="E17" i="9" s="1"/>
  <c r="A17" i="9"/>
  <c r="D16" i="9"/>
  <c r="C16" i="9"/>
  <c r="B16" i="9"/>
  <c r="E16" i="9" s="1"/>
  <c r="A16" i="9"/>
  <c r="D15" i="9"/>
  <c r="C15" i="9"/>
  <c r="B15" i="9"/>
  <c r="E15" i="9" s="1"/>
  <c r="A15" i="9"/>
  <c r="D14" i="9"/>
  <c r="C14" i="9"/>
  <c r="B14" i="9"/>
  <c r="F14" i="9" s="1"/>
  <c r="A14" i="9"/>
  <c r="D13" i="9"/>
  <c r="C13" i="9"/>
  <c r="B13" i="9"/>
  <c r="A13" i="9"/>
  <c r="D12" i="9"/>
  <c r="C12" i="9"/>
  <c r="B12" i="9"/>
  <c r="E12" i="9" s="1"/>
  <c r="A12" i="9"/>
  <c r="D11" i="9"/>
  <c r="C11" i="9"/>
  <c r="B11" i="9"/>
  <c r="E11" i="9" s="1"/>
  <c r="A11" i="9"/>
  <c r="D10" i="9"/>
  <c r="C10" i="9"/>
  <c r="B10" i="9"/>
  <c r="A10" i="9"/>
  <c r="D9" i="9"/>
  <c r="C9" i="9"/>
  <c r="B9" i="9"/>
  <c r="F9" i="9" s="1"/>
  <c r="A9" i="9"/>
  <c r="D8" i="9"/>
  <c r="C8" i="9"/>
  <c r="B8" i="9"/>
  <c r="E8" i="9" s="1"/>
  <c r="A8" i="9"/>
  <c r="D7" i="9"/>
  <c r="C7" i="9"/>
  <c r="B7" i="9"/>
  <c r="A7" i="9"/>
  <c r="F6" i="9"/>
  <c r="D6" i="9"/>
  <c r="C6" i="9"/>
  <c r="B6" i="9"/>
  <c r="E6" i="9" s="1"/>
  <c r="A6" i="9"/>
  <c r="D5" i="9"/>
  <c r="C5" i="9"/>
  <c r="B5" i="9"/>
  <c r="A5" i="9"/>
  <c r="D4" i="9"/>
  <c r="C4" i="9"/>
  <c r="B4" i="9"/>
  <c r="E4" i="9" s="1"/>
  <c r="A4" i="9"/>
  <c r="D3" i="9"/>
  <c r="C3" i="9"/>
  <c r="B3" i="9"/>
  <c r="A3" i="9"/>
  <c r="D2" i="9"/>
  <c r="C2" i="9"/>
  <c r="B2" i="9"/>
  <c r="E2" i="9" s="1"/>
  <c r="A2" i="9"/>
  <c r="F258" i="8"/>
  <c r="E258" i="8"/>
  <c r="B258" i="8"/>
  <c r="A258" i="8"/>
  <c r="F257" i="8"/>
  <c r="E257" i="8"/>
  <c r="B257" i="8"/>
  <c r="A257" i="8"/>
  <c r="F256" i="8"/>
  <c r="E256" i="8"/>
  <c r="B256" i="8"/>
  <c r="A256" i="8"/>
  <c r="F255" i="8"/>
  <c r="E255" i="8"/>
  <c r="B255" i="8"/>
  <c r="A255" i="8"/>
  <c r="F254" i="8"/>
  <c r="E254" i="8"/>
  <c r="B254" i="8"/>
  <c r="A254" i="8"/>
  <c r="F253" i="8"/>
  <c r="E253" i="8"/>
  <c r="B253" i="8"/>
  <c r="A253" i="8"/>
  <c r="F252" i="8"/>
  <c r="E252" i="8"/>
  <c r="B252" i="8"/>
  <c r="A252" i="8"/>
  <c r="F251" i="8"/>
  <c r="E251" i="8"/>
  <c r="B251" i="8"/>
  <c r="A251" i="8"/>
  <c r="F250" i="8"/>
  <c r="E250" i="8"/>
  <c r="B250" i="8"/>
  <c r="A250" i="8"/>
  <c r="F249" i="8"/>
  <c r="E249" i="8"/>
  <c r="B249" i="8"/>
  <c r="A249" i="8"/>
  <c r="F248" i="8"/>
  <c r="E248" i="8"/>
  <c r="B248" i="8"/>
  <c r="A248" i="8"/>
  <c r="F247" i="8"/>
  <c r="E247" i="8"/>
  <c r="B247" i="8"/>
  <c r="A247" i="8"/>
  <c r="F246" i="8"/>
  <c r="E246" i="8"/>
  <c r="B246" i="8"/>
  <c r="A246" i="8"/>
  <c r="F245" i="8"/>
  <c r="E245" i="8"/>
  <c r="B245" i="8"/>
  <c r="A245" i="8"/>
  <c r="F244" i="8"/>
  <c r="E244" i="8"/>
  <c r="B244" i="8"/>
  <c r="A244" i="8"/>
  <c r="F243" i="8"/>
  <c r="E243" i="8"/>
  <c r="B243" i="8"/>
  <c r="A243" i="8"/>
  <c r="F242" i="8"/>
  <c r="E242" i="8"/>
  <c r="B242" i="8"/>
  <c r="A242" i="8"/>
  <c r="F241" i="8"/>
  <c r="E241" i="8"/>
  <c r="B241" i="8"/>
  <c r="A241" i="8"/>
  <c r="F240" i="8"/>
  <c r="E240" i="8"/>
  <c r="B240" i="8"/>
  <c r="A240" i="8"/>
  <c r="F239" i="8"/>
  <c r="E239" i="8"/>
  <c r="B239" i="8"/>
  <c r="A239" i="8"/>
  <c r="F238" i="8"/>
  <c r="E238" i="8"/>
  <c r="B238" i="8"/>
  <c r="A238" i="8"/>
  <c r="AA237" i="8"/>
  <c r="F237" i="8"/>
  <c r="E237" i="8"/>
  <c r="B237" i="8"/>
  <c r="A237" i="8"/>
  <c r="AA236" i="8"/>
  <c r="F236" i="8"/>
  <c r="E236" i="8"/>
  <c r="B236" i="8"/>
  <c r="A236" i="8"/>
  <c r="AA235" i="8"/>
  <c r="F235" i="8"/>
  <c r="E235" i="8"/>
  <c r="B235" i="8"/>
  <c r="A235" i="8"/>
  <c r="AA234" i="8"/>
  <c r="F234" i="8"/>
  <c r="E234" i="8"/>
  <c r="B234" i="8"/>
  <c r="A234" i="8"/>
  <c r="AA233" i="8"/>
  <c r="F233" i="8"/>
  <c r="E233" i="8"/>
  <c r="B233" i="8"/>
  <c r="A233" i="8"/>
  <c r="AA232" i="8"/>
  <c r="F232" i="8"/>
  <c r="E232" i="8"/>
  <c r="B232" i="8"/>
  <c r="A232" i="8"/>
  <c r="AA231" i="8"/>
  <c r="F231" i="8"/>
  <c r="E231" i="8"/>
  <c r="B231" i="8"/>
  <c r="A231" i="8"/>
  <c r="AA230" i="8"/>
  <c r="F230" i="8"/>
  <c r="E230" i="8"/>
  <c r="B230" i="8"/>
  <c r="A230" i="8"/>
  <c r="AA229" i="8"/>
  <c r="F229" i="8"/>
  <c r="E229" i="8"/>
  <c r="B229" i="8"/>
  <c r="A229" i="8"/>
  <c r="AA228" i="8"/>
  <c r="F228" i="8"/>
  <c r="E228" i="8"/>
  <c r="B228" i="8"/>
  <c r="A228" i="8"/>
  <c r="AA227" i="8"/>
  <c r="F227" i="8"/>
  <c r="E227" i="8"/>
  <c r="B227" i="8"/>
  <c r="A227" i="8"/>
  <c r="AA226" i="8"/>
  <c r="F226" i="8"/>
  <c r="E226" i="8"/>
  <c r="B226" i="8"/>
  <c r="A226" i="8"/>
  <c r="AA225" i="8"/>
  <c r="F225" i="8"/>
  <c r="E225" i="8"/>
  <c r="B225" i="8"/>
  <c r="A225" i="8"/>
  <c r="AA224" i="8"/>
  <c r="F224" i="8"/>
  <c r="E224" i="8"/>
  <c r="B224" i="8"/>
  <c r="A224" i="8"/>
  <c r="AA223" i="8"/>
  <c r="F223" i="8"/>
  <c r="E223" i="8"/>
  <c r="B223" i="8"/>
  <c r="A223" i="8"/>
  <c r="AA222" i="8"/>
  <c r="F222" i="8"/>
  <c r="E222" i="8"/>
  <c r="B222" i="8"/>
  <c r="A222" i="8"/>
  <c r="AA221" i="8"/>
  <c r="F221" i="8"/>
  <c r="E221" i="8"/>
  <c r="B221" i="8"/>
  <c r="A221" i="8"/>
  <c r="AA220" i="8"/>
  <c r="F220" i="8"/>
  <c r="E220" i="8"/>
  <c r="B220" i="8"/>
  <c r="A220" i="8"/>
  <c r="AA219" i="8"/>
  <c r="F219" i="8"/>
  <c r="E219" i="8"/>
  <c r="B219" i="8"/>
  <c r="A219" i="8"/>
  <c r="AA218" i="8"/>
  <c r="F218" i="8"/>
  <c r="E218" i="8"/>
  <c r="B218" i="8"/>
  <c r="A218" i="8"/>
  <c r="AA217" i="8"/>
  <c r="F217" i="8"/>
  <c r="E217" i="8"/>
  <c r="B217" i="8"/>
  <c r="A217" i="8"/>
  <c r="AA216" i="8"/>
  <c r="F216" i="8"/>
  <c r="E216" i="8"/>
  <c r="B216" i="8"/>
  <c r="A216" i="8"/>
  <c r="AA215" i="8"/>
  <c r="F215" i="8"/>
  <c r="E215" i="8"/>
  <c r="B215" i="8"/>
  <c r="A215" i="8"/>
  <c r="AA214" i="8"/>
  <c r="F214" i="8"/>
  <c r="E214" i="8"/>
  <c r="B214" i="8"/>
  <c r="A214" i="8"/>
  <c r="AA213" i="8"/>
  <c r="F213" i="8"/>
  <c r="E213" i="8"/>
  <c r="B213" i="8"/>
  <c r="A213" i="8"/>
  <c r="AA212" i="8"/>
  <c r="F212" i="8"/>
  <c r="E212" i="8"/>
  <c r="B212" i="8"/>
  <c r="A212" i="8"/>
  <c r="AA211" i="8"/>
  <c r="F211" i="8"/>
  <c r="E211" i="8"/>
  <c r="B211" i="8"/>
  <c r="A211" i="8"/>
  <c r="AA210" i="8"/>
  <c r="F210" i="8"/>
  <c r="E210" i="8"/>
  <c r="B210" i="8"/>
  <c r="A210" i="8"/>
  <c r="AA209" i="8"/>
  <c r="F209" i="8"/>
  <c r="E209" i="8"/>
  <c r="B209" i="8"/>
  <c r="A209" i="8"/>
  <c r="AA208" i="8"/>
  <c r="F208" i="8"/>
  <c r="E208" i="8"/>
  <c r="B208" i="8"/>
  <c r="A208" i="8"/>
  <c r="AA207" i="8"/>
  <c r="F207" i="8"/>
  <c r="E207" i="8"/>
  <c r="B207" i="8"/>
  <c r="A207" i="8"/>
  <c r="AA206" i="8"/>
  <c r="F206" i="8"/>
  <c r="E206" i="8"/>
  <c r="B206" i="8"/>
  <c r="A206" i="8"/>
  <c r="AA205" i="8"/>
  <c r="F205" i="8"/>
  <c r="E205" i="8"/>
  <c r="B205" i="8"/>
  <c r="A205" i="8"/>
  <c r="AA204" i="8"/>
  <c r="F204" i="8"/>
  <c r="E204" i="8"/>
  <c r="B204" i="8"/>
  <c r="A204" i="8"/>
  <c r="AA203" i="8"/>
  <c r="F203" i="8"/>
  <c r="E203" i="8"/>
  <c r="B203" i="8"/>
  <c r="A203" i="8"/>
  <c r="AA202" i="8"/>
  <c r="F202" i="8"/>
  <c r="E202" i="8"/>
  <c r="B202" i="8"/>
  <c r="A202" i="8"/>
  <c r="AA201" i="8"/>
  <c r="F201" i="8"/>
  <c r="E201" i="8"/>
  <c r="B201" i="8"/>
  <c r="A201" i="8"/>
  <c r="AA200" i="8"/>
  <c r="F200" i="8"/>
  <c r="E200" i="8"/>
  <c r="B200" i="8"/>
  <c r="A200" i="8"/>
  <c r="AA199" i="8"/>
  <c r="F199" i="8"/>
  <c r="E199" i="8"/>
  <c r="B199" i="8"/>
  <c r="A199" i="8"/>
  <c r="AA198" i="8"/>
  <c r="F198" i="8"/>
  <c r="E198" i="8"/>
  <c r="B198" i="8"/>
  <c r="A198" i="8"/>
  <c r="AA197" i="8"/>
  <c r="F197" i="8"/>
  <c r="E197" i="8"/>
  <c r="B197" i="8"/>
  <c r="A197" i="8"/>
  <c r="AA196" i="8"/>
  <c r="F196" i="8"/>
  <c r="E196" i="8"/>
  <c r="B196" i="8"/>
  <c r="A196" i="8"/>
  <c r="AA195" i="8"/>
  <c r="F195" i="8"/>
  <c r="E195" i="8"/>
  <c r="B195" i="8"/>
  <c r="A195" i="8"/>
  <c r="AA194" i="8"/>
  <c r="F194" i="8"/>
  <c r="E194" i="8"/>
  <c r="B194" i="8"/>
  <c r="A194" i="8"/>
  <c r="AA193" i="8"/>
  <c r="F193" i="8"/>
  <c r="E193" i="8"/>
  <c r="B193" i="8"/>
  <c r="A193" i="8"/>
  <c r="AA192" i="8"/>
  <c r="F192" i="8"/>
  <c r="E192" i="8"/>
  <c r="B192" i="8"/>
  <c r="A192" i="8"/>
  <c r="AA191" i="8"/>
  <c r="F191" i="8"/>
  <c r="E191" i="8"/>
  <c r="B191" i="8"/>
  <c r="A191" i="8"/>
  <c r="AA190" i="8"/>
  <c r="F190" i="8"/>
  <c r="E190" i="8"/>
  <c r="B190" i="8"/>
  <c r="A190" i="8"/>
  <c r="AA189" i="8"/>
  <c r="F189" i="8"/>
  <c r="E189" i="8"/>
  <c r="B189" i="8"/>
  <c r="A189" i="8"/>
  <c r="AA188" i="8"/>
  <c r="F188" i="8"/>
  <c r="E188" i="8"/>
  <c r="B188" i="8"/>
  <c r="A188" i="8"/>
  <c r="AA187" i="8"/>
  <c r="F187" i="8"/>
  <c r="E187" i="8"/>
  <c r="B187" i="8"/>
  <c r="A187" i="8"/>
  <c r="AA186" i="8"/>
  <c r="F186" i="8"/>
  <c r="E186" i="8"/>
  <c r="B186" i="8"/>
  <c r="A186" i="8"/>
  <c r="AA185" i="8"/>
  <c r="F185" i="8"/>
  <c r="E185" i="8"/>
  <c r="B185" i="8"/>
  <c r="A185" i="8"/>
  <c r="AA184" i="8"/>
  <c r="F184" i="8"/>
  <c r="E184" i="8"/>
  <c r="B184" i="8"/>
  <c r="A184" i="8"/>
  <c r="AA183" i="8"/>
  <c r="F183" i="8"/>
  <c r="E183" i="8"/>
  <c r="B183" i="8"/>
  <c r="A183" i="8"/>
  <c r="AA182" i="8"/>
  <c r="F182" i="8"/>
  <c r="E182" i="8"/>
  <c r="B182" i="8"/>
  <c r="A182" i="8"/>
  <c r="AA181" i="8"/>
  <c r="F181" i="8"/>
  <c r="E181" i="8"/>
  <c r="B181" i="8"/>
  <c r="A181" i="8"/>
  <c r="AA180" i="8"/>
  <c r="F180" i="8"/>
  <c r="E180" i="8"/>
  <c r="B180" i="8"/>
  <c r="A180" i="8"/>
  <c r="AA179" i="8"/>
  <c r="F179" i="8"/>
  <c r="E179" i="8"/>
  <c r="B179" i="8"/>
  <c r="A179" i="8"/>
  <c r="AA178" i="8"/>
  <c r="F178" i="8"/>
  <c r="E178" i="8"/>
  <c r="B178" i="8"/>
  <c r="A178" i="8"/>
  <c r="AA177" i="8"/>
  <c r="F177" i="8"/>
  <c r="E177" i="8"/>
  <c r="B177" i="8"/>
  <c r="A177" i="8"/>
  <c r="AA176" i="8"/>
  <c r="F176" i="8"/>
  <c r="E176" i="8"/>
  <c r="B176" i="8"/>
  <c r="A176" i="8"/>
  <c r="AA175" i="8"/>
  <c r="F175" i="8"/>
  <c r="E175" i="8"/>
  <c r="B175" i="8"/>
  <c r="A175" i="8"/>
  <c r="AA174" i="8"/>
  <c r="F174" i="8"/>
  <c r="E174" i="8"/>
  <c r="B174" i="8"/>
  <c r="A174" i="8"/>
  <c r="AA173" i="8"/>
  <c r="F173" i="8"/>
  <c r="E173" i="8"/>
  <c r="B173" i="8"/>
  <c r="A173" i="8"/>
  <c r="AA172" i="8"/>
  <c r="F172" i="8"/>
  <c r="E172" i="8"/>
  <c r="B172" i="8"/>
  <c r="A172" i="8"/>
  <c r="AA171" i="8"/>
  <c r="F171" i="8"/>
  <c r="E171" i="8"/>
  <c r="B171" i="8"/>
  <c r="A171" i="8"/>
  <c r="AA170" i="8"/>
  <c r="F170" i="8"/>
  <c r="E170" i="8"/>
  <c r="B170" i="8"/>
  <c r="A170" i="8"/>
  <c r="AA169" i="8"/>
  <c r="F169" i="8"/>
  <c r="E169" i="8"/>
  <c r="B169" i="8"/>
  <c r="A169" i="8"/>
  <c r="AA168" i="8"/>
  <c r="F168" i="8"/>
  <c r="E168" i="8"/>
  <c r="B168" i="8"/>
  <c r="A168" i="8"/>
  <c r="AA167" i="8"/>
  <c r="F167" i="8"/>
  <c r="E167" i="8"/>
  <c r="B167" i="8"/>
  <c r="A167" i="8"/>
  <c r="AA166" i="8"/>
  <c r="F166" i="8"/>
  <c r="E166" i="8"/>
  <c r="B166" i="8"/>
  <c r="A166" i="8"/>
  <c r="AA165" i="8"/>
  <c r="F165" i="8"/>
  <c r="E165" i="8"/>
  <c r="B165" i="8"/>
  <c r="A165" i="8"/>
  <c r="AA164" i="8"/>
  <c r="F164" i="8"/>
  <c r="E164" i="8"/>
  <c r="B164" i="8"/>
  <c r="A164" i="8"/>
  <c r="AA163" i="8"/>
  <c r="F163" i="8"/>
  <c r="E163" i="8"/>
  <c r="B163" i="8"/>
  <c r="A163" i="8"/>
  <c r="AA162" i="8"/>
  <c r="F162" i="8"/>
  <c r="E162" i="8"/>
  <c r="B162" i="8"/>
  <c r="A162" i="8"/>
  <c r="AA161" i="8"/>
  <c r="F161" i="8"/>
  <c r="E161" i="8"/>
  <c r="B161" i="8"/>
  <c r="A161" i="8"/>
  <c r="AA160" i="8"/>
  <c r="F160" i="8"/>
  <c r="E160" i="8"/>
  <c r="B160" i="8"/>
  <c r="A160" i="8"/>
  <c r="AA159" i="8"/>
  <c r="F159" i="8"/>
  <c r="E159" i="8"/>
  <c r="B159" i="8"/>
  <c r="A159" i="8"/>
  <c r="AA158" i="8"/>
  <c r="F158" i="8"/>
  <c r="E158" i="8"/>
  <c r="B158" i="8"/>
  <c r="A158" i="8"/>
  <c r="AA157" i="8"/>
  <c r="F157" i="8"/>
  <c r="E157" i="8"/>
  <c r="B157" i="8"/>
  <c r="A157" i="8"/>
  <c r="AA156" i="8"/>
  <c r="F156" i="8"/>
  <c r="E156" i="8"/>
  <c r="B156" i="8"/>
  <c r="A156" i="8"/>
  <c r="AA155" i="8"/>
  <c r="F155" i="8"/>
  <c r="E155" i="8"/>
  <c r="B155" i="8"/>
  <c r="A155" i="8"/>
  <c r="AA154" i="8"/>
  <c r="F154" i="8"/>
  <c r="E154" i="8"/>
  <c r="B154" i="8"/>
  <c r="A154" i="8"/>
  <c r="AA153" i="8"/>
  <c r="F153" i="8"/>
  <c r="E153" i="8"/>
  <c r="B153" i="8"/>
  <c r="A153" i="8"/>
  <c r="AA152" i="8"/>
  <c r="F152" i="8"/>
  <c r="E152" i="8"/>
  <c r="B152" i="8"/>
  <c r="A152" i="8"/>
  <c r="AA151" i="8"/>
  <c r="F151" i="8"/>
  <c r="E151" i="8"/>
  <c r="B151" i="8"/>
  <c r="A151" i="8"/>
  <c r="AA150" i="8"/>
  <c r="F150" i="8"/>
  <c r="E150" i="8"/>
  <c r="B150" i="8"/>
  <c r="A150" i="8"/>
  <c r="AA149" i="8"/>
  <c r="F149" i="8"/>
  <c r="E149" i="8"/>
  <c r="B149" i="8"/>
  <c r="A149" i="8"/>
  <c r="AA148" i="8"/>
  <c r="F148" i="8"/>
  <c r="E148" i="8"/>
  <c r="B148" i="8"/>
  <c r="A148" i="8"/>
  <c r="AA147" i="8"/>
  <c r="F147" i="8"/>
  <c r="E147" i="8"/>
  <c r="B147" i="8"/>
  <c r="A147" i="8"/>
  <c r="AA146" i="8"/>
  <c r="F146" i="8"/>
  <c r="E146" i="8"/>
  <c r="B146" i="8"/>
  <c r="A146" i="8"/>
  <c r="AA145" i="8"/>
  <c r="F145" i="8"/>
  <c r="E145" i="8"/>
  <c r="B145" i="8"/>
  <c r="A145" i="8"/>
  <c r="AA144" i="8"/>
  <c r="F144" i="8"/>
  <c r="E144" i="8"/>
  <c r="B144" i="8"/>
  <c r="A144" i="8"/>
  <c r="AA143" i="8"/>
  <c r="F143" i="8"/>
  <c r="E143" i="8"/>
  <c r="B143" i="8"/>
  <c r="A143" i="8"/>
  <c r="AA142" i="8"/>
  <c r="F142" i="8"/>
  <c r="E142" i="8"/>
  <c r="B142" i="8"/>
  <c r="A142" i="8"/>
  <c r="AA141" i="8"/>
  <c r="F141" i="8"/>
  <c r="E141" i="8"/>
  <c r="B141" i="8"/>
  <c r="A141" i="8"/>
  <c r="AA140" i="8"/>
  <c r="F140" i="8"/>
  <c r="E140" i="8"/>
  <c r="B140" i="8"/>
  <c r="A140" i="8"/>
  <c r="AA139" i="8"/>
  <c r="F139" i="8"/>
  <c r="E139" i="8"/>
  <c r="B139" i="8"/>
  <c r="A139" i="8"/>
  <c r="AA138" i="8"/>
  <c r="F138" i="8"/>
  <c r="E138" i="8"/>
  <c r="B138" i="8"/>
  <c r="A138" i="8"/>
  <c r="AA137" i="8"/>
  <c r="F137" i="8"/>
  <c r="E137" i="8"/>
  <c r="B137" i="8"/>
  <c r="A137" i="8"/>
  <c r="AA136" i="8"/>
  <c r="F136" i="8"/>
  <c r="E136" i="8"/>
  <c r="B136" i="8"/>
  <c r="A136" i="8"/>
  <c r="AA135" i="8"/>
  <c r="F135" i="8"/>
  <c r="E135" i="8"/>
  <c r="B135" i="8"/>
  <c r="A135" i="8"/>
  <c r="AA134" i="8"/>
  <c r="F134" i="8"/>
  <c r="E134" i="8"/>
  <c r="B134" i="8"/>
  <c r="A134" i="8"/>
  <c r="AA133" i="8"/>
  <c r="F133" i="8"/>
  <c r="E133" i="8"/>
  <c r="B133" i="8"/>
  <c r="A133" i="8"/>
  <c r="AA132" i="8"/>
  <c r="F132" i="8"/>
  <c r="E132" i="8"/>
  <c r="B132" i="8"/>
  <c r="A132" i="8"/>
  <c r="AA131" i="8"/>
  <c r="F131" i="8"/>
  <c r="E131" i="8"/>
  <c r="B131" i="8"/>
  <c r="A131" i="8"/>
  <c r="AA130" i="8"/>
  <c r="F130" i="8"/>
  <c r="E130" i="8"/>
  <c r="B130" i="8"/>
  <c r="A130" i="8"/>
  <c r="AA129" i="8"/>
  <c r="F129" i="8"/>
  <c r="E129" i="8"/>
  <c r="B129" i="8"/>
  <c r="A129" i="8"/>
  <c r="AA128" i="8"/>
  <c r="F128" i="8"/>
  <c r="E128" i="8"/>
  <c r="B128" i="8"/>
  <c r="A128" i="8"/>
  <c r="AA127" i="8"/>
  <c r="F127" i="8"/>
  <c r="E127" i="8"/>
  <c r="B127" i="8"/>
  <c r="A127" i="8"/>
  <c r="AA126" i="8"/>
  <c r="F126" i="8"/>
  <c r="E126" i="8"/>
  <c r="B126" i="8"/>
  <c r="A126" i="8"/>
  <c r="AA125" i="8"/>
  <c r="F125" i="8"/>
  <c r="E125" i="8"/>
  <c r="B125" i="8"/>
  <c r="A125" i="8"/>
  <c r="AA124" i="8"/>
  <c r="F124" i="8"/>
  <c r="E124" i="8"/>
  <c r="B124" i="8"/>
  <c r="A124" i="8"/>
  <c r="AA123" i="8"/>
  <c r="F123" i="8"/>
  <c r="E123" i="8"/>
  <c r="B123" i="8"/>
  <c r="A123" i="8"/>
  <c r="AA122" i="8"/>
  <c r="F122" i="8"/>
  <c r="E122" i="8"/>
  <c r="B122" i="8"/>
  <c r="A122" i="8"/>
  <c r="AA121" i="8"/>
  <c r="F121" i="8"/>
  <c r="E121" i="8"/>
  <c r="B121" i="8"/>
  <c r="A121" i="8"/>
  <c r="AA120" i="8"/>
  <c r="F120" i="8"/>
  <c r="E120" i="8"/>
  <c r="B120" i="8"/>
  <c r="A120" i="8"/>
  <c r="AA119" i="8"/>
  <c r="F119" i="8"/>
  <c r="E119" i="8"/>
  <c r="B119" i="8"/>
  <c r="A119" i="8"/>
  <c r="AA118" i="8"/>
  <c r="F118" i="8"/>
  <c r="E118" i="8"/>
  <c r="B118" i="8"/>
  <c r="A118" i="8"/>
  <c r="AA117" i="8"/>
  <c r="F117" i="8"/>
  <c r="E117" i="8"/>
  <c r="B117" i="8"/>
  <c r="A117" i="8"/>
  <c r="AA116" i="8"/>
  <c r="F116" i="8"/>
  <c r="E116" i="8"/>
  <c r="B116" i="8"/>
  <c r="A116" i="8"/>
  <c r="AA115" i="8"/>
  <c r="F115" i="8"/>
  <c r="E115" i="8"/>
  <c r="B115" i="8"/>
  <c r="A115" i="8"/>
  <c r="AA114" i="8"/>
  <c r="F114" i="8"/>
  <c r="E114" i="8"/>
  <c r="B114" i="8"/>
  <c r="A114" i="8"/>
  <c r="AA113" i="8"/>
  <c r="F113" i="8"/>
  <c r="E113" i="8"/>
  <c r="B113" i="8"/>
  <c r="A113" i="8"/>
  <c r="AA112" i="8"/>
  <c r="F112" i="8"/>
  <c r="E112" i="8"/>
  <c r="B112" i="8"/>
  <c r="A112" i="8"/>
  <c r="AA111" i="8"/>
  <c r="F111" i="8"/>
  <c r="E111" i="8"/>
  <c r="B111" i="8"/>
  <c r="A111" i="8"/>
  <c r="AA110" i="8"/>
  <c r="F110" i="8"/>
  <c r="E110" i="8"/>
  <c r="B110" i="8"/>
  <c r="A110" i="8"/>
  <c r="AA109" i="8"/>
  <c r="F109" i="8"/>
  <c r="E109" i="8"/>
  <c r="B109" i="8"/>
  <c r="A109" i="8"/>
  <c r="AA108" i="8"/>
  <c r="F108" i="8"/>
  <c r="E108" i="8"/>
  <c r="B108" i="8"/>
  <c r="A108" i="8"/>
  <c r="AA107" i="8"/>
  <c r="F107" i="8"/>
  <c r="E107" i="8"/>
  <c r="B107" i="8"/>
  <c r="A107" i="8"/>
  <c r="AA106" i="8"/>
  <c r="F106" i="8"/>
  <c r="E106" i="8"/>
  <c r="B106" i="8"/>
  <c r="A106" i="8"/>
  <c r="AA105" i="8"/>
  <c r="F105" i="8"/>
  <c r="E105" i="8"/>
  <c r="B105" i="8"/>
  <c r="A105" i="8"/>
  <c r="AA104" i="8"/>
  <c r="F104" i="8"/>
  <c r="E104" i="8"/>
  <c r="B104" i="8"/>
  <c r="A104" i="8"/>
  <c r="AA103" i="8"/>
  <c r="F103" i="8"/>
  <c r="E103" i="8"/>
  <c r="B103" i="8"/>
  <c r="A103" i="8"/>
  <c r="AA102" i="8"/>
  <c r="F102" i="8"/>
  <c r="E102" i="8"/>
  <c r="B102" i="8"/>
  <c r="A102" i="8"/>
  <c r="AA101" i="8"/>
  <c r="F101" i="8"/>
  <c r="E101" i="8"/>
  <c r="B101" i="8"/>
  <c r="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K34" i="8"/>
  <c r="I34" i="8"/>
  <c r="G34" i="8"/>
  <c r="E34" i="8"/>
  <c r="C34" i="8"/>
  <c r="AA33" i="8"/>
  <c r="AA32" i="8"/>
  <c r="AA31" i="8"/>
  <c r="AA30" i="8"/>
  <c r="Z30" i="8"/>
  <c r="AA29" i="8"/>
  <c r="Z29" i="8"/>
  <c r="AA28" i="8"/>
  <c r="Z28" i="8"/>
  <c r="AA27" i="8"/>
  <c r="Z27" i="8"/>
  <c r="AA26" i="8"/>
  <c r="Z26" i="8"/>
  <c r="AA25" i="8"/>
  <c r="Z25" i="8"/>
  <c r="AA24" i="8"/>
  <c r="Z24" i="8"/>
  <c r="AA23" i="8"/>
  <c r="Z23" i="8"/>
  <c r="AA22" i="8"/>
  <c r="Z22" i="8"/>
  <c r="AA21" i="8"/>
  <c r="Z21" i="8"/>
  <c r="AA20" i="8"/>
  <c r="Z20" i="8"/>
  <c r="AA19" i="8"/>
  <c r="Z19" i="8"/>
  <c r="K19" i="8"/>
  <c r="AA18" i="8"/>
  <c r="Z18" i="8"/>
  <c r="AA17" i="8"/>
  <c r="Z17" i="8"/>
  <c r="AA16" i="8"/>
  <c r="Z16" i="8"/>
  <c r="AA15" i="8"/>
  <c r="Z15" i="8"/>
  <c r="AA14" i="8"/>
  <c r="Z14" i="8"/>
  <c r="AA13" i="8"/>
  <c r="Z13" i="8"/>
  <c r="AA12" i="8"/>
  <c r="Z12" i="8"/>
  <c r="AA11" i="8"/>
  <c r="Z11" i="8"/>
  <c r="AA10" i="8"/>
  <c r="Z10" i="8"/>
  <c r="AA9" i="8"/>
  <c r="Z9" i="8"/>
  <c r="AA8" i="8"/>
  <c r="Z8" i="8"/>
  <c r="AA7" i="8"/>
  <c r="Z7" i="8"/>
  <c r="AA6" i="8"/>
  <c r="Z6" i="8"/>
  <c r="AA5" i="8"/>
  <c r="Z5" i="8"/>
  <c r="AA4" i="8"/>
  <c r="Z4" i="8"/>
  <c r="AA3" i="8"/>
  <c r="Z3" i="8"/>
  <c r="Y3" i="8"/>
  <c r="A40" i="8" s="1"/>
  <c r="C40" i="8" s="1"/>
  <c r="AA2" i="8"/>
  <c r="Z2" i="8"/>
  <c r="Y2" i="8"/>
  <c r="I39" i="8" s="1"/>
  <c r="X2" i="8"/>
  <c r="L458" i="8" s="1"/>
  <c r="C238" i="7"/>
  <c r="B238" i="7"/>
  <c r="A238" i="7"/>
  <c r="C237" i="7"/>
  <c r="B237" i="7"/>
  <c r="A237" i="7"/>
  <c r="C236" i="7"/>
  <c r="B236" i="7"/>
  <c r="A236" i="7"/>
  <c r="C235" i="7"/>
  <c r="B235" i="7"/>
  <c r="A235" i="7"/>
  <c r="C234" i="7"/>
  <c r="B234" i="7"/>
  <c r="A234" i="7"/>
  <c r="C233" i="7"/>
  <c r="B233" i="7"/>
  <c r="A233" i="7"/>
  <c r="C232" i="7"/>
  <c r="B232" i="7"/>
  <c r="A232" i="7"/>
  <c r="C231" i="7"/>
  <c r="B231" i="7"/>
  <c r="A231" i="7"/>
  <c r="C230" i="7"/>
  <c r="B230" i="7"/>
  <c r="A230" i="7"/>
  <c r="C229" i="7"/>
  <c r="B229" i="7"/>
  <c r="A229" i="7"/>
  <c r="C228" i="7"/>
  <c r="B228" i="7"/>
  <c r="A228" i="7"/>
  <c r="C227" i="7"/>
  <c r="B227" i="7"/>
  <c r="A227" i="7"/>
  <c r="C226" i="7"/>
  <c r="B226" i="7"/>
  <c r="A226" i="7"/>
  <c r="C225" i="7"/>
  <c r="B225" i="7"/>
  <c r="A225" i="7"/>
  <c r="C224" i="7"/>
  <c r="B224" i="7"/>
  <c r="A224" i="7"/>
  <c r="C223" i="7"/>
  <c r="B223" i="7"/>
  <c r="A223" i="7"/>
  <c r="C222" i="7"/>
  <c r="B222" i="7"/>
  <c r="A222" i="7"/>
  <c r="C221" i="7"/>
  <c r="B221" i="7"/>
  <c r="A221" i="7"/>
  <c r="C220" i="7"/>
  <c r="B220" i="7"/>
  <c r="A220" i="7"/>
  <c r="C219" i="7"/>
  <c r="B219" i="7"/>
  <c r="A219" i="7"/>
  <c r="C218" i="7"/>
  <c r="B218" i="7"/>
  <c r="A218" i="7"/>
  <c r="C217" i="7"/>
  <c r="B217" i="7"/>
  <c r="A217" i="7"/>
  <c r="C216" i="7"/>
  <c r="B216" i="7"/>
  <c r="A216" i="7"/>
  <c r="C215" i="7"/>
  <c r="B215" i="7"/>
  <c r="A215" i="7"/>
  <c r="C214" i="7"/>
  <c r="B214" i="7"/>
  <c r="A214" i="7"/>
  <c r="C213" i="7"/>
  <c r="B213" i="7"/>
  <c r="A213" i="7"/>
  <c r="C212" i="7"/>
  <c r="B212" i="7"/>
  <c r="A212" i="7"/>
  <c r="C211" i="7"/>
  <c r="B211" i="7"/>
  <c r="A211" i="7"/>
  <c r="C210" i="7"/>
  <c r="B210" i="7"/>
  <c r="A210" i="7"/>
  <c r="C209" i="7"/>
  <c r="B209" i="7"/>
  <c r="A209" i="7"/>
  <c r="C208" i="7"/>
  <c r="B208" i="7"/>
  <c r="A208" i="7"/>
  <c r="C207" i="7"/>
  <c r="B207" i="7"/>
  <c r="A207" i="7"/>
  <c r="C206" i="7"/>
  <c r="B206" i="7"/>
  <c r="A206" i="7"/>
  <c r="C205" i="7"/>
  <c r="B205" i="7"/>
  <c r="A205" i="7"/>
  <c r="C204" i="7"/>
  <c r="B204" i="7"/>
  <c r="A204" i="7"/>
  <c r="C203" i="7"/>
  <c r="B203" i="7"/>
  <c r="A203" i="7"/>
  <c r="C202" i="7"/>
  <c r="B202" i="7"/>
  <c r="A202" i="7"/>
  <c r="C201" i="7"/>
  <c r="B201" i="7"/>
  <c r="A201" i="7"/>
  <c r="C200" i="7"/>
  <c r="B200" i="7"/>
  <c r="A200" i="7"/>
  <c r="C199" i="7"/>
  <c r="B199" i="7"/>
  <c r="A199" i="7"/>
  <c r="C198" i="7"/>
  <c r="B198" i="7"/>
  <c r="A198" i="7"/>
  <c r="C197" i="7"/>
  <c r="B197" i="7"/>
  <c r="A197" i="7"/>
  <c r="C196" i="7"/>
  <c r="B196" i="7"/>
  <c r="A196" i="7"/>
  <c r="C195" i="7"/>
  <c r="B195" i="7"/>
  <c r="A195" i="7"/>
  <c r="C194" i="7"/>
  <c r="B194" i="7"/>
  <c r="A194" i="7"/>
  <c r="C193" i="7"/>
  <c r="B193" i="7"/>
  <c r="A193" i="7"/>
  <c r="C192" i="7"/>
  <c r="B192" i="7"/>
  <c r="A192" i="7"/>
  <c r="C191" i="7"/>
  <c r="B191" i="7"/>
  <c r="A191" i="7"/>
  <c r="C190" i="7"/>
  <c r="B190" i="7"/>
  <c r="A190" i="7"/>
  <c r="C189" i="7"/>
  <c r="B189" i="7"/>
  <c r="A189" i="7"/>
  <c r="C188" i="7"/>
  <c r="B188" i="7"/>
  <c r="A188" i="7"/>
  <c r="C187" i="7"/>
  <c r="B187" i="7"/>
  <c r="A187" i="7"/>
  <c r="C186" i="7"/>
  <c r="B186" i="7"/>
  <c r="A186" i="7"/>
  <c r="C185" i="7"/>
  <c r="B185" i="7"/>
  <c r="A185" i="7"/>
  <c r="C184" i="7"/>
  <c r="B184" i="7"/>
  <c r="A184" i="7"/>
  <c r="C183" i="7"/>
  <c r="B183" i="7"/>
  <c r="A183" i="7"/>
  <c r="C182" i="7"/>
  <c r="B182" i="7"/>
  <c r="A182" i="7"/>
  <c r="C181" i="7"/>
  <c r="B181" i="7"/>
  <c r="A181" i="7"/>
  <c r="C180" i="7"/>
  <c r="B180" i="7"/>
  <c r="A180" i="7"/>
  <c r="C179" i="7"/>
  <c r="B179" i="7"/>
  <c r="A179" i="7"/>
  <c r="C178" i="7"/>
  <c r="B178" i="7"/>
  <c r="A178" i="7"/>
  <c r="C177" i="7"/>
  <c r="B177" i="7"/>
  <c r="A177" i="7"/>
  <c r="C176" i="7"/>
  <c r="B176" i="7"/>
  <c r="A176" i="7"/>
  <c r="C175" i="7"/>
  <c r="B175" i="7"/>
  <c r="A175" i="7"/>
  <c r="C174" i="7"/>
  <c r="B174" i="7"/>
  <c r="A174" i="7"/>
  <c r="C173" i="7"/>
  <c r="B173" i="7"/>
  <c r="A173" i="7"/>
  <c r="C172" i="7"/>
  <c r="B172" i="7"/>
  <c r="A172" i="7"/>
  <c r="C171" i="7"/>
  <c r="B171" i="7"/>
  <c r="A171" i="7"/>
  <c r="C170" i="7"/>
  <c r="B170" i="7"/>
  <c r="A170" i="7"/>
  <c r="C169" i="7"/>
  <c r="B169" i="7"/>
  <c r="A169" i="7"/>
  <c r="C168" i="7"/>
  <c r="B168" i="7"/>
  <c r="A168" i="7"/>
  <c r="C167" i="7"/>
  <c r="B167" i="7"/>
  <c r="A167" i="7"/>
  <c r="C166" i="7"/>
  <c r="B166" i="7"/>
  <c r="A166" i="7"/>
  <c r="C165" i="7"/>
  <c r="B165" i="7"/>
  <c r="A165" i="7"/>
  <c r="C164" i="7"/>
  <c r="B164" i="7"/>
  <c r="A164" i="7"/>
  <c r="C163" i="7"/>
  <c r="B163" i="7"/>
  <c r="A163" i="7"/>
  <c r="C162" i="7"/>
  <c r="B162" i="7"/>
  <c r="A162" i="7"/>
  <c r="C161" i="7"/>
  <c r="B161" i="7"/>
  <c r="A161" i="7"/>
  <c r="C160" i="7"/>
  <c r="B160" i="7"/>
  <c r="A160" i="7"/>
  <c r="C159" i="7"/>
  <c r="B159" i="7"/>
  <c r="A159" i="7"/>
  <c r="C158" i="7"/>
  <c r="B158" i="7"/>
  <c r="A158" i="7"/>
  <c r="C157" i="7"/>
  <c r="B157" i="7"/>
  <c r="A157" i="7"/>
  <c r="C156" i="7"/>
  <c r="B156" i="7"/>
  <c r="A156" i="7"/>
  <c r="C155" i="7"/>
  <c r="B155" i="7"/>
  <c r="A155" i="7"/>
  <c r="C154" i="7"/>
  <c r="B154" i="7"/>
  <c r="A154" i="7"/>
  <c r="C153" i="7"/>
  <c r="B153" i="7"/>
  <c r="A153" i="7"/>
  <c r="C152" i="7"/>
  <c r="B152" i="7"/>
  <c r="A152" i="7"/>
  <c r="C151" i="7"/>
  <c r="B151" i="7"/>
  <c r="A151" i="7"/>
  <c r="C150" i="7"/>
  <c r="B150" i="7"/>
  <c r="A150" i="7"/>
  <c r="C149" i="7"/>
  <c r="B149" i="7"/>
  <c r="A149" i="7"/>
  <c r="C148" i="7"/>
  <c r="B148" i="7"/>
  <c r="A148" i="7"/>
  <c r="C147" i="7"/>
  <c r="B147" i="7"/>
  <c r="A147" i="7"/>
  <c r="C146" i="7"/>
  <c r="B146" i="7"/>
  <c r="A146" i="7"/>
  <c r="C145" i="7"/>
  <c r="B145" i="7"/>
  <c r="A145" i="7"/>
  <c r="C144" i="7"/>
  <c r="B144" i="7"/>
  <c r="A144" i="7"/>
  <c r="C143" i="7"/>
  <c r="B143" i="7"/>
  <c r="A143" i="7"/>
  <c r="C142" i="7"/>
  <c r="B142" i="7"/>
  <c r="A142" i="7"/>
  <c r="C141" i="7"/>
  <c r="B141" i="7"/>
  <c r="A141" i="7"/>
  <c r="C140" i="7"/>
  <c r="B140" i="7"/>
  <c r="A140" i="7"/>
  <c r="C139" i="7"/>
  <c r="B139" i="7"/>
  <c r="A139" i="7"/>
  <c r="C138" i="7"/>
  <c r="B138" i="7"/>
  <c r="A138" i="7"/>
  <c r="C137" i="7"/>
  <c r="B137" i="7"/>
  <c r="A137" i="7"/>
  <c r="C136" i="7"/>
  <c r="B136" i="7"/>
  <c r="A136" i="7"/>
  <c r="C135" i="7"/>
  <c r="B135" i="7"/>
  <c r="A135" i="7"/>
  <c r="C134" i="7"/>
  <c r="B134" i="7"/>
  <c r="A134" i="7"/>
  <c r="C133" i="7"/>
  <c r="B133" i="7"/>
  <c r="A133" i="7"/>
  <c r="C132" i="7"/>
  <c r="B132" i="7"/>
  <c r="A132" i="7"/>
  <c r="C131" i="7"/>
  <c r="B131" i="7"/>
  <c r="A131" i="7"/>
  <c r="C130" i="7"/>
  <c r="B130" i="7"/>
  <c r="A130" i="7"/>
  <c r="C129" i="7"/>
  <c r="B129" i="7"/>
  <c r="A129" i="7"/>
  <c r="C128" i="7"/>
  <c r="B128" i="7"/>
  <c r="A128" i="7"/>
  <c r="C127" i="7"/>
  <c r="B127" i="7"/>
  <c r="A127" i="7"/>
  <c r="C126" i="7"/>
  <c r="B126" i="7"/>
  <c r="A126" i="7"/>
  <c r="C125" i="7"/>
  <c r="B125" i="7"/>
  <c r="A125" i="7"/>
  <c r="C124" i="7"/>
  <c r="B124" i="7"/>
  <c r="A124" i="7"/>
  <c r="C123" i="7"/>
  <c r="B123" i="7"/>
  <c r="A123" i="7"/>
  <c r="C122" i="7"/>
  <c r="B122" i="7"/>
  <c r="A122" i="7"/>
  <c r="C121" i="7"/>
  <c r="B121" i="7"/>
  <c r="A121" i="7"/>
  <c r="C120" i="7"/>
  <c r="B120" i="7"/>
  <c r="A120" i="7"/>
  <c r="C119" i="7"/>
  <c r="B119" i="7"/>
  <c r="A119" i="7"/>
  <c r="C118" i="7"/>
  <c r="B118" i="7"/>
  <c r="A118" i="7"/>
  <c r="C117" i="7"/>
  <c r="B117" i="7"/>
  <c r="A117" i="7"/>
  <c r="C116" i="7"/>
  <c r="B116" i="7"/>
  <c r="A116" i="7"/>
  <c r="C115" i="7"/>
  <c r="B115" i="7"/>
  <c r="A115" i="7"/>
  <c r="C114" i="7"/>
  <c r="B114" i="7"/>
  <c r="A114" i="7"/>
  <c r="C113" i="7"/>
  <c r="B113" i="7"/>
  <c r="A113" i="7"/>
  <c r="C112" i="7"/>
  <c r="B112" i="7"/>
  <c r="A112" i="7"/>
  <c r="C111" i="7"/>
  <c r="B111" i="7"/>
  <c r="A111" i="7"/>
  <c r="C110" i="7"/>
  <c r="B110" i="7"/>
  <c r="A110" i="7"/>
  <c r="C109" i="7"/>
  <c r="B109" i="7"/>
  <c r="A109" i="7"/>
  <c r="C108" i="7"/>
  <c r="B108" i="7"/>
  <c r="A108" i="7"/>
  <c r="C107" i="7"/>
  <c r="B107" i="7"/>
  <c r="A107" i="7"/>
  <c r="C106" i="7"/>
  <c r="B106" i="7"/>
  <c r="A106" i="7"/>
  <c r="C105" i="7"/>
  <c r="B105" i="7"/>
  <c r="A105" i="7"/>
  <c r="C104" i="7"/>
  <c r="B104" i="7"/>
  <c r="A104" i="7"/>
  <c r="C103" i="7"/>
  <c r="B103" i="7"/>
  <c r="A103" i="7"/>
  <c r="C102" i="7"/>
  <c r="B102" i="7"/>
  <c r="A102" i="7"/>
  <c r="C101" i="7"/>
  <c r="B101" i="7"/>
  <c r="A101" i="7"/>
  <c r="C100" i="7"/>
  <c r="B100" i="7"/>
  <c r="A100" i="7"/>
  <c r="C99" i="7"/>
  <c r="B99" i="7"/>
  <c r="A99" i="7"/>
  <c r="C98" i="7"/>
  <c r="B98" i="7"/>
  <c r="A98" i="7"/>
  <c r="C97" i="7"/>
  <c r="B97" i="7"/>
  <c r="A97" i="7"/>
  <c r="C96" i="7"/>
  <c r="B96" i="7"/>
  <c r="A96" i="7"/>
  <c r="C95" i="7"/>
  <c r="B95" i="7"/>
  <c r="A95" i="7"/>
  <c r="C94" i="7"/>
  <c r="B94" i="7"/>
  <c r="A94" i="7"/>
  <c r="C93" i="7"/>
  <c r="B93" i="7"/>
  <c r="A93" i="7"/>
  <c r="C92" i="7"/>
  <c r="B92" i="7"/>
  <c r="A92" i="7"/>
  <c r="C91" i="7"/>
  <c r="B91" i="7"/>
  <c r="A91" i="7"/>
  <c r="C90" i="7"/>
  <c r="B90" i="7"/>
  <c r="A90" i="7"/>
  <c r="C89" i="7"/>
  <c r="B89" i="7"/>
  <c r="A89" i="7"/>
  <c r="C88" i="7"/>
  <c r="B88" i="7"/>
  <c r="A88" i="7"/>
  <c r="C87" i="7"/>
  <c r="B87" i="7"/>
  <c r="A87" i="7"/>
  <c r="C86" i="7"/>
  <c r="B86" i="7"/>
  <c r="A86" i="7"/>
  <c r="C85" i="7"/>
  <c r="B85" i="7"/>
  <c r="A85" i="7"/>
  <c r="C84" i="7"/>
  <c r="B84" i="7"/>
  <c r="A84" i="7"/>
  <c r="C83" i="7"/>
  <c r="B83" i="7"/>
  <c r="A83" i="7"/>
  <c r="C82" i="7"/>
  <c r="B82" i="7"/>
  <c r="A82" i="7"/>
  <c r="C81" i="7"/>
  <c r="B81" i="7"/>
  <c r="A81" i="7"/>
  <c r="X2" i="7"/>
  <c r="M42" i="7" s="1"/>
  <c r="B14" i="6"/>
  <c r="B13" i="6"/>
  <c r="B4" i="6"/>
  <c r="I40" i="8" l="1"/>
  <c r="F8" i="9"/>
  <c r="E70" i="9"/>
  <c r="F91" i="9"/>
  <c r="E118" i="9"/>
  <c r="F177" i="9"/>
  <c r="F209" i="9"/>
  <c r="E226" i="9"/>
  <c r="G114" i="8"/>
  <c r="G122" i="8"/>
  <c r="G130" i="8"/>
  <c r="G138" i="8"/>
  <c r="G146" i="8"/>
  <c r="G154" i="8"/>
  <c r="G162" i="8"/>
  <c r="G170" i="8"/>
  <c r="G178" i="8"/>
  <c r="G186" i="8"/>
  <c r="G194" i="8"/>
  <c r="G202" i="8"/>
  <c r="G210" i="8"/>
  <c r="G218" i="8"/>
  <c r="G226" i="8"/>
  <c r="G234" i="8"/>
  <c r="G253" i="8"/>
  <c r="G241" i="8"/>
  <c r="G111" i="8"/>
  <c r="G103" i="8"/>
  <c r="M417" i="8"/>
  <c r="M449" i="8"/>
  <c r="K414" i="8"/>
  <c r="K446" i="8"/>
  <c r="M410" i="8"/>
  <c r="M442" i="8"/>
  <c r="K407" i="8"/>
  <c r="K439" i="8"/>
  <c r="M407" i="8"/>
  <c r="M439" i="8"/>
  <c r="K400" i="8"/>
  <c r="K432" i="8"/>
  <c r="K464" i="8"/>
  <c r="M428" i="8"/>
  <c r="M460" i="8"/>
  <c r="K425" i="8"/>
  <c r="K457" i="8"/>
  <c r="J411" i="8"/>
  <c r="J427" i="8"/>
  <c r="J443" i="8"/>
  <c r="J459" i="8"/>
  <c r="L409" i="8"/>
  <c r="L425" i="8"/>
  <c r="L441" i="8"/>
  <c r="L457" i="8"/>
  <c r="J406" i="8"/>
  <c r="J422" i="8"/>
  <c r="J438" i="8"/>
  <c r="J454" i="8"/>
  <c r="L402" i="8"/>
  <c r="L418" i="8"/>
  <c r="L434" i="8"/>
  <c r="L450" i="8"/>
  <c r="L466" i="8"/>
  <c r="E53" i="9"/>
  <c r="E101" i="9"/>
  <c r="F194" i="9"/>
  <c r="G115" i="8"/>
  <c r="G123" i="8"/>
  <c r="G131" i="8"/>
  <c r="G139" i="8"/>
  <c r="G147" i="8"/>
  <c r="G155" i="8"/>
  <c r="G163" i="8"/>
  <c r="G171" i="8"/>
  <c r="G179" i="8"/>
  <c r="G187" i="8"/>
  <c r="G195" i="8"/>
  <c r="G203" i="8"/>
  <c r="G211" i="8"/>
  <c r="G219" i="8"/>
  <c r="G227" i="8"/>
  <c r="G235" i="8"/>
  <c r="G244" i="8"/>
  <c r="G249" i="8"/>
  <c r="G110" i="8"/>
  <c r="G102" i="8"/>
  <c r="M421" i="8"/>
  <c r="M453" i="8"/>
  <c r="K418" i="8"/>
  <c r="K450" i="8"/>
  <c r="M414" i="8"/>
  <c r="M446" i="8"/>
  <c r="K411" i="8"/>
  <c r="K443" i="8"/>
  <c r="M411" i="8"/>
  <c r="M443" i="8"/>
  <c r="K404" i="8"/>
  <c r="K436" i="8"/>
  <c r="M400" i="8"/>
  <c r="M432" i="8"/>
  <c r="M464" i="8"/>
  <c r="K429" i="8"/>
  <c r="K461" i="8"/>
  <c r="J413" i="8"/>
  <c r="J429" i="8"/>
  <c r="J445" i="8"/>
  <c r="J461" i="8"/>
  <c r="L411" i="8"/>
  <c r="L427" i="8"/>
  <c r="L443" i="8"/>
  <c r="L459" i="8"/>
  <c r="J408" i="8"/>
  <c r="J424" i="8"/>
  <c r="J440" i="8"/>
  <c r="J456" i="8"/>
  <c r="L404" i="8"/>
  <c r="L420" i="8"/>
  <c r="L436" i="8"/>
  <c r="L452" i="8"/>
  <c r="G133" i="8"/>
  <c r="G141" i="8"/>
  <c r="G149" i="8"/>
  <c r="G157" i="8"/>
  <c r="G165" i="8"/>
  <c r="G173" i="8"/>
  <c r="G181" i="8"/>
  <c r="G189" i="8"/>
  <c r="G197" i="8"/>
  <c r="G205" i="8"/>
  <c r="G213" i="8"/>
  <c r="G221" i="8"/>
  <c r="G229" i="8"/>
  <c r="G237" i="8"/>
  <c r="G258" i="8"/>
  <c r="G257" i="8"/>
  <c r="G108" i="8"/>
  <c r="G248" i="8"/>
  <c r="M429" i="8"/>
  <c r="M461" i="8"/>
  <c r="K426" i="8"/>
  <c r="K458" i="8"/>
  <c r="M422" i="8"/>
  <c r="M454" i="8"/>
  <c r="K419" i="8"/>
  <c r="K451" i="8"/>
  <c r="M419" i="8"/>
  <c r="M451" i="8"/>
  <c r="K412" i="8"/>
  <c r="K444" i="8"/>
  <c r="M408" i="8"/>
  <c r="M440" i="8"/>
  <c r="K405" i="8"/>
  <c r="K437" i="8"/>
  <c r="J401" i="8"/>
  <c r="J417" i="8"/>
  <c r="J433" i="8"/>
  <c r="J449" i="8"/>
  <c r="J465" i="8"/>
  <c r="L415" i="8"/>
  <c r="L431" i="8"/>
  <c r="L447" i="8"/>
  <c r="L463" i="8"/>
  <c r="J412" i="8"/>
  <c r="J428" i="8"/>
  <c r="J444" i="8"/>
  <c r="J460" i="8"/>
  <c r="L408" i="8"/>
  <c r="L424" i="8"/>
  <c r="L440" i="8"/>
  <c r="L456" i="8"/>
  <c r="E122" i="9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3" i="8"/>
  <c r="G255" i="8"/>
  <c r="G107" i="8"/>
  <c r="M401" i="8"/>
  <c r="M433" i="8"/>
  <c r="M465" i="8"/>
  <c r="K430" i="8"/>
  <c r="K462" i="8"/>
  <c r="M426" i="8"/>
  <c r="M458" i="8"/>
  <c r="K423" i="8"/>
  <c r="K455" i="8"/>
  <c r="M423" i="8"/>
  <c r="M455" i="8"/>
  <c r="K416" i="8"/>
  <c r="K448" i="8"/>
  <c r="M412" i="8"/>
  <c r="M444" i="8"/>
  <c r="K409" i="8"/>
  <c r="K441" i="8"/>
  <c r="J403" i="8"/>
  <c r="J419" i="8"/>
  <c r="J435" i="8"/>
  <c r="J451" i="8"/>
  <c r="L401" i="8"/>
  <c r="L417" i="8"/>
  <c r="L433" i="8"/>
  <c r="L449" i="8"/>
  <c r="L465" i="8"/>
  <c r="J414" i="8"/>
  <c r="J430" i="8"/>
  <c r="J446" i="8"/>
  <c r="J462" i="8"/>
  <c r="L410" i="8"/>
  <c r="L426" i="8"/>
  <c r="L442" i="8"/>
  <c r="E9" i="9"/>
  <c r="F45" i="9"/>
  <c r="F58" i="9"/>
  <c r="E78" i="9"/>
  <c r="F87" i="9"/>
  <c r="F123" i="9"/>
  <c r="F154" i="9"/>
  <c r="F169" i="9"/>
  <c r="F218" i="9"/>
  <c r="E237" i="9"/>
  <c r="E110" i="9"/>
  <c r="E117" i="9"/>
  <c r="F137" i="9"/>
  <c r="F201" i="9"/>
  <c r="F83" i="9"/>
  <c r="E105" i="9"/>
  <c r="E170" i="9"/>
  <c r="E50" i="9"/>
  <c r="F28" i="9"/>
  <c r="E74" i="9"/>
  <c r="F98" i="9"/>
  <c r="E114" i="9"/>
  <c r="E130" i="9"/>
  <c r="F185" i="9"/>
  <c r="F43" i="9"/>
  <c r="F107" i="9"/>
  <c r="M40" i="8"/>
  <c r="E3" i="8"/>
  <c r="M38" i="8"/>
  <c r="A38" i="8"/>
  <c r="C38" i="8" s="1"/>
  <c r="I3" i="8"/>
  <c r="I37" i="8"/>
  <c r="M39" i="8"/>
  <c r="I38" i="8"/>
  <c r="M37" i="8"/>
  <c r="J30" i="7"/>
  <c r="D29" i="7"/>
  <c r="F28" i="7"/>
  <c r="F33" i="7" s="1"/>
  <c r="D31" i="7"/>
  <c r="L28" i="7"/>
  <c r="K30" i="7"/>
  <c r="F29" i="7"/>
  <c r="I30" i="7"/>
  <c r="K29" i="7"/>
  <c r="A24" i="7"/>
  <c r="K31" i="7"/>
  <c r="C28" i="7"/>
  <c r="I31" i="7"/>
  <c r="G31" i="7"/>
  <c r="L29" i="7"/>
  <c r="C29" i="7"/>
  <c r="L31" i="7"/>
  <c r="F30" i="7"/>
  <c r="I22" i="7"/>
  <c r="G29" i="7"/>
  <c r="B30" i="7"/>
  <c r="G28" i="7"/>
  <c r="G33" i="7" s="1"/>
  <c r="I24" i="7"/>
  <c r="G30" i="7"/>
  <c r="J31" i="7"/>
  <c r="I26" i="7"/>
  <c r="J28" i="7"/>
  <c r="E29" i="7"/>
  <c r="A26" i="7"/>
  <c r="F2" i="7"/>
  <c r="J29" i="7"/>
  <c r="B31" i="7"/>
  <c r="D30" i="7"/>
  <c r="I28" i="7"/>
  <c r="H28" i="7"/>
  <c r="J2" i="7"/>
  <c r="C31" i="7"/>
  <c r="B29" i="7"/>
  <c r="E30" i="7"/>
  <c r="E22" i="7"/>
  <c r="A57" i="7" s="1"/>
  <c r="H31" i="7"/>
  <c r="E26" i="7"/>
  <c r="E31" i="7"/>
  <c r="I29" i="7"/>
  <c r="E28" i="7"/>
  <c r="H29" i="7"/>
  <c r="A22" i="7"/>
  <c r="L30" i="7"/>
  <c r="F31" i="7"/>
  <c r="H30" i="7"/>
  <c r="D28" i="7"/>
  <c r="E24" i="7"/>
  <c r="K28" i="7"/>
  <c r="K33" i="7" s="1"/>
  <c r="C30" i="7"/>
  <c r="B28" i="7"/>
  <c r="A42" i="8"/>
  <c r="E42" i="8" s="1"/>
  <c r="A48" i="8"/>
  <c r="B48" i="8" s="1"/>
  <c r="F46" i="9"/>
  <c r="F94" i="9"/>
  <c r="F102" i="9"/>
  <c r="F133" i="9"/>
  <c r="F141" i="9"/>
  <c r="F149" i="9"/>
  <c r="F157" i="9"/>
  <c r="F165" i="9"/>
  <c r="F173" i="9"/>
  <c r="F181" i="9"/>
  <c r="F189" i="9"/>
  <c r="F197" i="9"/>
  <c r="F205" i="9"/>
  <c r="F213" i="9"/>
  <c r="F221" i="9"/>
  <c r="F229" i="9"/>
  <c r="E234" i="9"/>
  <c r="A44" i="8"/>
  <c r="C44" i="8" s="1"/>
  <c r="F55" i="9"/>
  <c r="E85" i="9"/>
  <c r="F109" i="9"/>
  <c r="E233" i="9"/>
  <c r="F12" i="9"/>
  <c r="F30" i="9"/>
  <c r="E57" i="9"/>
  <c r="E62" i="9"/>
  <c r="E69" i="9"/>
  <c r="F75" i="9"/>
  <c r="E82" i="9"/>
  <c r="E90" i="9"/>
  <c r="E106" i="9"/>
  <c r="F119" i="9"/>
  <c r="E14" i="9"/>
  <c r="F25" i="9"/>
  <c r="F32" i="9"/>
  <c r="F44" i="9"/>
  <c r="F49" i="9"/>
  <c r="E54" i="9"/>
  <c r="F77" i="9"/>
  <c r="E97" i="9"/>
  <c r="F103" i="9"/>
  <c r="E121" i="9"/>
  <c r="E126" i="9"/>
  <c r="E134" i="9"/>
  <c r="E142" i="9"/>
  <c r="E150" i="9"/>
  <c r="E158" i="9"/>
  <c r="E166" i="9"/>
  <c r="E174" i="9"/>
  <c r="E182" i="9"/>
  <c r="E190" i="9"/>
  <c r="E198" i="9"/>
  <c r="E206" i="9"/>
  <c r="E214" i="9"/>
  <c r="E222" i="9"/>
  <c r="E230" i="9"/>
  <c r="F2" i="9"/>
  <c r="F11" i="9"/>
  <c r="F29" i="9"/>
  <c r="F36" i="9"/>
  <c r="F41" i="9"/>
  <c r="F59" i="9"/>
  <c r="E89" i="9"/>
  <c r="B33" i="7"/>
  <c r="I33" i="7"/>
  <c r="J33" i="7"/>
  <c r="M36" i="7"/>
  <c r="M39" i="7"/>
  <c r="M44" i="7"/>
  <c r="A42" i="7"/>
  <c r="E48" i="8"/>
  <c r="D48" i="8"/>
  <c r="C33" i="7"/>
  <c r="M41" i="7"/>
  <c r="L33" i="7"/>
  <c r="B19" i="8"/>
  <c r="A49" i="8"/>
  <c r="D44" i="8"/>
  <c r="B44" i="8"/>
  <c r="E33" i="7"/>
  <c r="M35" i="7"/>
  <c r="M43" i="7"/>
  <c r="C19" i="8"/>
  <c r="A45" i="8"/>
  <c r="D38" i="8"/>
  <c r="B38" i="8"/>
  <c r="D33" i="7"/>
  <c r="M38" i="7"/>
  <c r="M40" i="7"/>
  <c r="D19" i="8"/>
  <c r="A37" i="8"/>
  <c r="A39" i="8"/>
  <c r="A41" i="8"/>
  <c r="A43" i="8"/>
  <c r="A47" i="8"/>
  <c r="E40" i="8"/>
  <c r="D40" i="8"/>
  <c r="B40" i="8"/>
  <c r="M37" i="7"/>
  <c r="A232" i="10" a="1"/>
  <c r="A232" i="10" s="1"/>
  <c r="A224" i="10" a="1"/>
  <c r="A224" i="10" s="1"/>
  <c r="A216" i="10" a="1"/>
  <c r="A216" i="10" s="1"/>
  <c r="A237" i="10" a="1"/>
  <c r="A237" i="10" s="1"/>
  <c r="A229" i="10" a="1"/>
  <c r="A229" i="10" s="1"/>
  <c r="A225" i="10" a="1"/>
  <c r="A225" i="10" s="1"/>
  <c r="A230" i="10" a="1"/>
  <c r="A230" i="10" s="1"/>
  <c r="A226" i="10" a="1"/>
  <c r="A226" i="10" s="1"/>
  <c r="A213" i="10" a="1"/>
  <c r="A213" i="10" s="1"/>
  <c r="A206" i="10" a="1"/>
  <c r="A206" i="10" s="1"/>
  <c r="A198" i="10" a="1"/>
  <c r="A198" i="10" s="1"/>
  <c r="A190" i="10" a="1"/>
  <c r="A190" i="10" s="1"/>
  <c r="A182" i="10" a="1"/>
  <c r="A182" i="10" s="1"/>
  <c r="A174" i="10" a="1"/>
  <c r="A174" i="10" s="1"/>
  <c r="A234" i="10" a="1"/>
  <c r="A234" i="10" s="1"/>
  <c r="A227" i="10" a="1"/>
  <c r="A227" i="10" s="1"/>
  <c r="A222" i="10" a="1"/>
  <c r="A222" i="10" s="1"/>
  <c r="A219" i="10" a="1"/>
  <c r="A219" i="10" s="1"/>
  <c r="A209" i="10" a="1"/>
  <c r="A209" i="10" s="1"/>
  <c r="A196" i="10" a="1"/>
  <c r="A196" i="10" s="1"/>
  <c r="A192" i="10" a="1"/>
  <c r="A192" i="10" s="1"/>
  <c r="A179" i="10" a="1"/>
  <c r="A179" i="10" s="1"/>
  <c r="A175" i="10" a="1"/>
  <c r="A175" i="10" s="1"/>
  <c r="A166" i="10" a="1"/>
  <c r="A166" i="10" s="1"/>
  <c r="A158" i="10" a="1"/>
  <c r="A158" i="10" s="1"/>
  <c r="A150" i="10" a="1"/>
  <c r="A150" i="10" s="1"/>
  <c r="A210" i="10" a="1"/>
  <c r="A210" i="10" s="1"/>
  <c r="A197" i="10" a="1"/>
  <c r="A197" i="10" s="1"/>
  <c r="A193" i="10" a="1"/>
  <c r="A193" i="10" s="1"/>
  <c r="A180" i="10" a="1"/>
  <c r="A180" i="10" s="1"/>
  <c r="A176" i="10" a="1"/>
  <c r="A176" i="10" s="1"/>
  <c r="A160" i="10" a="1"/>
  <c r="A160" i="10" s="1"/>
  <c r="A152" i="10" a="1"/>
  <c r="A152" i="10" s="1"/>
  <c r="A235" i="10" a="1"/>
  <c r="A235" i="10" s="1"/>
  <c r="A223" i="10" a="1"/>
  <c r="A223" i="10" s="1"/>
  <c r="A208" i="10" a="1"/>
  <c r="A208" i="10" s="1"/>
  <c r="A201" i="10" a="1"/>
  <c r="A201" i="10" s="1"/>
  <c r="A194" i="10" a="1"/>
  <c r="A194" i="10" s="1"/>
  <c r="A154" i="10" a="1"/>
  <c r="A154" i="10" s="1"/>
  <c r="A151" i="10" a="1"/>
  <c r="A151" i="10" s="1"/>
  <c r="A148" i="10" a="1"/>
  <c r="A148" i="10" s="1"/>
  <c r="A145" i="10" a="1"/>
  <c r="A145" i="10" s="1"/>
  <c r="A141" i="10" a="1"/>
  <c r="A141" i="10" s="1"/>
  <c r="A137" i="10" a="1"/>
  <c r="A137" i="10" s="1"/>
  <c r="A133" i="10" a="1"/>
  <c r="A133" i="10" s="1"/>
  <c r="A125" i="10" a="1"/>
  <c r="A125" i="10" s="1"/>
  <c r="A117" i="10" a="1"/>
  <c r="A117" i="10" s="1"/>
  <c r="A109" i="10" a="1"/>
  <c r="A109" i="10" s="1"/>
  <c r="A217" i="10" a="1"/>
  <c r="A217" i="10" s="1"/>
  <c r="A199" i="10" a="1"/>
  <c r="A199" i="10" s="1"/>
  <c r="A187" i="10" a="1"/>
  <c r="A187" i="10" s="1"/>
  <c r="A185" i="10" a="1"/>
  <c r="A185" i="10" s="1"/>
  <c r="A173" i="10" a="1"/>
  <c r="A173" i="10" s="1"/>
  <c r="A163" i="10" a="1"/>
  <c r="A163" i="10" s="1"/>
  <c r="A157" i="10" a="1"/>
  <c r="A157" i="10" s="1"/>
  <c r="A126" i="10" a="1"/>
  <c r="A126" i="10" s="1"/>
  <c r="A118" i="10" a="1"/>
  <c r="A118" i="10" s="1"/>
  <c r="A221" i="10" a="1"/>
  <c r="A221" i="10" s="1"/>
  <c r="A215" i="10" a="1"/>
  <c r="A215" i="10" s="1"/>
  <c r="A211" i="10" a="1"/>
  <c r="A211" i="10" s="1"/>
  <c r="A178" i="10" a="1"/>
  <c r="A178" i="10" s="1"/>
  <c r="A171" i="10" a="1"/>
  <c r="A171" i="10" s="1"/>
  <c r="A146" i="10" a="1"/>
  <c r="A146" i="10" s="1"/>
  <c r="A142" i="10" a="1"/>
  <c r="A142" i="10" s="1"/>
  <c r="A138" i="10" a="1"/>
  <c r="A138" i="10" s="1"/>
  <c r="A134" i="10" a="1"/>
  <c r="A134" i="10" s="1"/>
  <c r="A127" i="10" a="1"/>
  <c r="A127" i="10" s="1"/>
  <c r="A119" i="10" a="1"/>
  <c r="A119" i="10" s="1"/>
  <c r="A111" i="10" a="1"/>
  <c r="A111" i="10" s="1"/>
  <c r="A103" i="10" a="1"/>
  <c r="A103" i="10" s="1"/>
  <c r="A95" i="10" a="1"/>
  <c r="A95" i="10" s="1"/>
  <c r="A87" i="10" a="1"/>
  <c r="A87" i="10" s="1"/>
  <c r="A86" i="10" a="1"/>
  <c r="A86" i="10" s="1"/>
  <c r="A85" i="10" a="1"/>
  <c r="A85" i="10" s="1"/>
  <c r="A84" i="10" a="1"/>
  <c r="A84" i="10" s="1"/>
  <c r="A83" i="10" a="1"/>
  <c r="A83" i="10" s="1"/>
  <c r="A82" i="10" a="1"/>
  <c r="A82" i="10" s="1"/>
  <c r="A81" i="10" a="1"/>
  <c r="A81" i="10" s="1"/>
  <c r="A80" i="10" a="1"/>
  <c r="A80" i="10" s="1"/>
  <c r="A79" i="10" a="1"/>
  <c r="A79" i="10" s="1"/>
  <c r="A78" i="10" a="1"/>
  <c r="A78" i="10" s="1"/>
  <c r="A77" i="10" a="1"/>
  <c r="A77" i="10" s="1"/>
  <c r="A76" i="10" a="1"/>
  <c r="A76" i="10" s="1"/>
  <c r="A75" i="10" a="1"/>
  <c r="A75" i="10" s="1"/>
  <c r="A74" i="10" a="1"/>
  <c r="A74" i="10" s="1"/>
  <c r="A73" i="10" a="1"/>
  <c r="A73" i="10" s="1"/>
  <c r="A72" i="10" a="1"/>
  <c r="A72" i="10" s="1"/>
  <c r="A71" i="10" a="1"/>
  <c r="A71" i="10" s="1"/>
  <c r="A70" i="10" a="1"/>
  <c r="A70" i="10" s="1"/>
  <c r="A69" i="10" a="1"/>
  <c r="A69" i="10" s="1"/>
  <c r="A68" i="10" a="1"/>
  <c r="A68" i="10" s="1"/>
  <c r="A67" i="10" a="1"/>
  <c r="A67" i="10" s="1"/>
  <c r="A66" i="10" a="1"/>
  <c r="A66" i="10" s="1"/>
  <c r="A65" i="10" a="1"/>
  <c r="A65" i="10" s="1"/>
  <c r="A64" i="10" a="1"/>
  <c r="A64" i="10" s="1"/>
  <c r="A63" i="10" a="1"/>
  <c r="A63" i="10" s="1"/>
  <c r="A62" i="10" a="1"/>
  <c r="A62" i="10" s="1"/>
  <c r="A61" i="10" a="1"/>
  <c r="A61" i="10" s="1"/>
  <c r="A60" i="10" a="1"/>
  <c r="A60" i="10" s="1"/>
  <c r="A59" i="10" a="1"/>
  <c r="A59" i="10" s="1"/>
  <c r="A58" i="10" a="1"/>
  <c r="A58" i="10" s="1"/>
  <c r="A57" i="10" a="1"/>
  <c r="A57" i="10" s="1"/>
  <c r="A56" i="10" a="1"/>
  <c r="A56" i="10" s="1"/>
  <c r="A55" i="10" a="1"/>
  <c r="A55" i="10" s="1"/>
  <c r="A54" i="10" a="1"/>
  <c r="A54" i="10" s="1"/>
  <c r="A53" i="10" a="1"/>
  <c r="A53" i="10" s="1"/>
  <c r="A52" i="10" a="1"/>
  <c r="A52" i="10" s="1"/>
  <c r="A51" i="10" a="1"/>
  <c r="A51" i="10" s="1"/>
  <c r="A50" i="10" a="1"/>
  <c r="A50" i="10" s="1"/>
  <c r="A49" i="10" a="1"/>
  <c r="A49" i="10" s="1"/>
  <c r="A48" i="10" a="1"/>
  <c r="A48" i="10" s="1"/>
  <c r="A47" i="10" a="1"/>
  <c r="A47" i="10" s="1"/>
  <c r="A46" i="10" a="1"/>
  <c r="A46" i="10" s="1"/>
  <c r="A45" i="10" a="1"/>
  <c r="A45" i="10" s="1"/>
  <c r="A44" i="10" a="1"/>
  <c r="A44" i="10" s="1"/>
  <c r="A43" i="10" a="1"/>
  <c r="A43" i="10" s="1"/>
  <c r="A42" i="10" a="1"/>
  <c r="A42" i="10" s="1"/>
  <c r="A41" i="10" a="1"/>
  <c r="A41" i="10" s="1"/>
  <c r="A40" i="10" a="1"/>
  <c r="A40" i="10" s="1"/>
  <c r="A39" i="10" a="1"/>
  <c r="A39" i="10" s="1"/>
  <c r="A38" i="10" a="1"/>
  <c r="A38" i="10" s="1"/>
  <c r="A37" i="10" a="1"/>
  <c r="A37" i="10" s="1"/>
  <c r="A36" i="10" a="1"/>
  <c r="A36" i="10" s="1"/>
  <c r="A35" i="10" a="1"/>
  <c r="A35" i="10" s="1"/>
  <c r="A34" i="10" a="1"/>
  <c r="A34" i="10" s="1"/>
  <c r="A33" i="10" a="1"/>
  <c r="A33" i="10" s="1"/>
  <c r="A32" i="10" a="1"/>
  <c r="A32" i="10" s="1"/>
  <c r="A31" i="10" a="1"/>
  <c r="A31" i="10" s="1"/>
  <c r="A30" i="10" a="1"/>
  <c r="A30" i="10" s="1"/>
  <c r="A29" i="10" a="1"/>
  <c r="A29" i="10" s="1"/>
  <c r="A28" i="10" a="1"/>
  <c r="A28" i="10" s="1"/>
  <c r="A27" i="10" a="1"/>
  <c r="A27" i="10" s="1"/>
  <c r="A26" i="10" a="1"/>
  <c r="A26" i="10" s="1"/>
  <c r="A25" i="10" a="1"/>
  <c r="A25" i="10" s="1"/>
  <c r="A24" i="10" a="1"/>
  <c r="A24" i="10" s="1"/>
  <c r="A23" i="10" a="1"/>
  <c r="A23" i="10" s="1"/>
  <c r="A22" i="10" a="1"/>
  <c r="A22" i="10" s="1"/>
  <c r="A207" i="10" a="1"/>
  <c r="A207" i="10" s="1"/>
  <c r="A195" i="10" a="1"/>
  <c r="A195" i="10" s="1"/>
  <c r="A188" i="10" a="1"/>
  <c r="A188" i="10" s="1"/>
  <c r="A181" i="10" a="1"/>
  <c r="A181" i="10" s="1"/>
  <c r="A167" i="10" a="1"/>
  <c r="A167" i="10" s="1"/>
  <c r="A164" i="10" a="1"/>
  <c r="A164" i="10" s="1"/>
  <c r="A143" i="10" a="1"/>
  <c r="A143" i="10" s="1"/>
  <c r="A139" i="10" a="1"/>
  <c r="A139" i="10" s="1"/>
  <c r="A135" i="10" a="1"/>
  <c r="A135" i="10" s="1"/>
  <c r="A129" i="10" a="1"/>
  <c r="A129" i="10" s="1"/>
  <c r="A121" i="10" a="1"/>
  <c r="A121" i="10" s="1"/>
  <c r="A113" i="10" a="1"/>
  <c r="A113" i="10" s="1"/>
  <c r="A105" i="10" a="1"/>
  <c r="A105" i="10" s="1"/>
  <c r="A97" i="10" a="1"/>
  <c r="A97" i="10" s="1"/>
  <c r="A89" i="10" a="1"/>
  <c r="A89" i="10" s="1"/>
  <c r="A236" i="10" a="1"/>
  <c r="A236" i="10" s="1"/>
  <c r="A233" i="10" a="1"/>
  <c r="A233" i="10" s="1"/>
  <c r="A220" i="10" a="1"/>
  <c r="A220" i="10" s="1"/>
  <c r="A218" i="10" a="1"/>
  <c r="A218" i="10" s="1"/>
  <c r="A214" i="10" a="1"/>
  <c r="A214" i="10" s="1"/>
  <c r="A200" i="10" a="1"/>
  <c r="A200" i="10" s="1"/>
  <c r="A186" i="10" a="1"/>
  <c r="A186" i="10" s="1"/>
  <c r="A172" i="10" a="1"/>
  <c r="A172" i="10" s="1"/>
  <c r="A153" i="10" a="1"/>
  <c r="A153" i="10" s="1"/>
  <c r="A147" i="10" a="1"/>
  <c r="A147" i="10" s="1"/>
  <c r="A130" i="10" a="1"/>
  <c r="A130" i="10" s="1"/>
  <c r="A122" i="10" a="1"/>
  <c r="A122" i="10" s="1"/>
  <c r="A114" i="10" a="1"/>
  <c r="A114" i="10" s="1"/>
  <c r="A106" i="10" a="1"/>
  <c r="A106" i="10" s="1"/>
  <c r="A212" i="10" a="1"/>
  <c r="A212" i="10" s="1"/>
  <c r="A205" i="10" a="1"/>
  <c r="A205" i="10" s="1"/>
  <c r="A191" i="10" a="1"/>
  <c r="A191" i="10" s="1"/>
  <c r="A184" i="10" a="1"/>
  <c r="A184" i="10" s="1"/>
  <c r="A177" i="10" a="1"/>
  <c r="A177" i="10" s="1"/>
  <c r="A162" i="10" a="1"/>
  <c r="A162" i="10" s="1"/>
  <c r="A159" i="10" a="1"/>
  <c r="A159" i="10" s="1"/>
  <c r="A156" i="10" a="1"/>
  <c r="A156" i="10" s="1"/>
  <c r="A144" i="10" a="1"/>
  <c r="A144" i="10" s="1"/>
  <c r="A140" i="10" a="1"/>
  <c r="A140" i="10" s="1"/>
  <c r="A136" i="10" a="1"/>
  <c r="A136" i="10" s="1"/>
  <c r="A131" i="10" a="1"/>
  <c r="A131" i="10" s="1"/>
  <c r="A123" i="10" a="1"/>
  <c r="A123" i="10" s="1"/>
  <c r="A115" i="10" a="1"/>
  <c r="A115" i="10" s="1"/>
  <c r="A107" i="10" a="1"/>
  <c r="A107" i="10" s="1"/>
  <c r="A99" i="10" a="1"/>
  <c r="A99" i="10" s="1"/>
  <c r="A91" i="10" a="1"/>
  <c r="A91" i="10" s="1"/>
  <c r="A96" i="10" a="1"/>
  <c r="A96" i="10" s="1"/>
  <c r="A231" i="10" a="1"/>
  <c r="A231" i="10" s="1"/>
  <c r="A101" i="10" a="1"/>
  <c r="A101" i="10" s="1"/>
  <c r="A90" i="10" a="1"/>
  <c r="A90" i="10" s="1"/>
  <c r="A170" i="10" a="1"/>
  <c r="A170" i="10" s="1"/>
  <c r="A88" i="10" a="1"/>
  <c r="A88" i="10" s="1"/>
  <c r="A228" i="10" a="1"/>
  <c r="A228" i="10" s="1"/>
  <c r="A204" i="10" a="1"/>
  <c r="A204" i="10" s="1"/>
  <c r="A183" i="10" a="1"/>
  <c r="A183" i="10" s="1"/>
  <c r="A169" i="10" a="1"/>
  <c r="A169" i="10" s="1"/>
  <c r="A120" i="10" a="1"/>
  <c r="A120" i="10" s="1"/>
  <c r="A116" i="10" a="1"/>
  <c r="A116" i="10" s="1"/>
  <c r="A110" i="10" a="1"/>
  <c r="A110" i="10" s="1"/>
  <c r="A203" i="10" a="1"/>
  <c r="A203" i="10" s="1"/>
  <c r="A189" i="10" a="1"/>
  <c r="A189" i="10" s="1"/>
  <c r="A168" i="10" a="1"/>
  <c r="A168" i="10" s="1"/>
  <c r="A124" i="10" a="1"/>
  <c r="A124" i="10" s="1"/>
  <c r="A93" i="10" a="1"/>
  <c r="A93" i="10" s="1"/>
  <c r="A21" i="10" a="1"/>
  <c r="A21" i="10" s="1"/>
  <c r="A202" i="10" a="1"/>
  <c r="A202" i="10" s="1"/>
  <c r="A161" i="10" a="1"/>
  <c r="A161" i="10" s="1"/>
  <c r="A155" i="10" a="1"/>
  <c r="A155" i="10" s="1"/>
  <c r="A149" i="10" a="1"/>
  <c r="A149" i="10" s="1"/>
  <c r="A128" i="10" a="1"/>
  <c r="A128" i="10" s="1"/>
  <c r="A104" i="10" a="1"/>
  <c r="A104" i="10" s="1"/>
  <c r="A102" i="10" a="1"/>
  <c r="A102" i="10" s="1"/>
  <c r="A100" i="10" a="1"/>
  <c r="A100" i="10" s="1"/>
  <c r="A132" i="10" a="1"/>
  <c r="A132" i="10" s="1"/>
  <c r="A16" i="10" a="1"/>
  <c r="A16" i="10" s="1"/>
  <c r="A11" i="10" a="1"/>
  <c r="A11" i="10" s="1"/>
  <c r="A9" i="10" a="1"/>
  <c r="A9" i="10" s="1"/>
  <c r="A7" i="10" a="1"/>
  <c r="A7" i="10" s="1"/>
  <c r="A5" i="10" a="1"/>
  <c r="A5" i="10" s="1"/>
  <c r="A3" i="10" a="1"/>
  <c r="A3" i="10" s="1"/>
  <c r="A13" i="10" a="1"/>
  <c r="A13" i="10" s="1"/>
  <c r="A112" i="10" a="1"/>
  <c r="A112" i="10" s="1"/>
  <c r="A18" i="10" a="1"/>
  <c r="A18" i="10" s="1"/>
  <c r="D34" i="8"/>
  <c r="I19" i="8"/>
  <c r="A94" i="10" a="1"/>
  <c r="A94" i="10" s="1"/>
  <c r="A15" i="10" a="1"/>
  <c r="A15" i="10" s="1"/>
  <c r="A50" i="8"/>
  <c r="A46" i="8"/>
  <c r="H19" i="8"/>
  <c r="A20" i="10" a="1"/>
  <c r="A20" i="10" s="1"/>
  <c r="A12" i="10" a="1"/>
  <c r="A12" i="10" s="1"/>
  <c r="A10" i="10" a="1"/>
  <c r="A10" i="10" s="1"/>
  <c r="A8" i="10" a="1"/>
  <c r="A8" i="10" s="1"/>
  <c r="A6" i="10" a="1"/>
  <c r="A6" i="10" s="1"/>
  <c r="A4" i="10" a="1"/>
  <c r="A4" i="10" s="1"/>
  <c r="A2" i="10" a="1"/>
  <c r="A2" i="10" s="1"/>
  <c r="J34" i="8"/>
  <c r="B34" i="8"/>
  <c r="G19" i="8"/>
  <c r="A165" i="10" a="1"/>
  <c r="A165" i="10" s="1"/>
  <c r="A108" i="10" a="1"/>
  <c r="A108" i="10" s="1"/>
  <c r="A92" i="10" a="1"/>
  <c r="A92" i="10" s="1"/>
  <c r="A17" i="10" a="1"/>
  <c r="A17" i="10" s="1"/>
  <c r="A98" i="10" a="1"/>
  <c r="A98" i="10" s="1"/>
  <c r="A14" i="10" a="1"/>
  <c r="A14" i="10" s="1"/>
  <c r="H34" i="8"/>
  <c r="E19" i="8"/>
  <c r="A19" i="10" a="1"/>
  <c r="A19" i="10" s="1"/>
  <c r="F19" i="8"/>
  <c r="F34" i="8"/>
  <c r="H33" i="7"/>
  <c r="J19" i="8"/>
  <c r="E37" i="9"/>
  <c r="F37" i="9"/>
  <c r="E42" i="9"/>
  <c r="F42" i="9"/>
  <c r="E21" i="9"/>
  <c r="E13" i="9"/>
  <c r="F13" i="9"/>
  <c r="E20" i="9"/>
  <c r="F20" i="9"/>
  <c r="E10" i="9"/>
  <c r="F10" i="9"/>
  <c r="E3" i="9"/>
  <c r="F3" i="9"/>
  <c r="F5" i="9"/>
  <c r="E5" i="9"/>
  <c r="E22" i="9"/>
  <c r="E47" i="9"/>
  <c r="F47" i="9"/>
  <c r="E7" i="9"/>
  <c r="F7" i="9"/>
  <c r="F16" i="9"/>
  <c r="F19" i="9"/>
  <c r="F24" i="9"/>
  <c r="F27" i="9"/>
  <c r="E31" i="9"/>
  <c r="F31" i="9"/>
  <c r="F34" i="9"/>
  <c r="E51" i="9"/>
  <c r="F51" i="9"/>
  <c r="F4" i="9"/>
  <c r="F15" i="9"/>
  <c r="E18" i="9"/>
  <c r="F26" i="9"/>
  <c r="F48" i="9"/>
  <c r="E48" i="9"/>
  <c r="F33" i="9"/>
  <c r="F61" i="9"/>
  <c r="E61" i="9"/>
  <c r="F100" i="9"/>
  <c r="E100" i="9"/>
  <c r="E111" i="9"/>
  <c r="F111" i="9"/>
  <c r="F113" i="9"/>
  <c r="E113" i="9"/>
  <c r="E39" i="9"/>
  <c r="F39" i="9"/>
  <c r="F68" i="9"/>
  <c r="E68" i="9"/>
  <c r="F108" i="9"/>
  <c r="E108" i="9"/>
  <c r="F128" i="9"/>
  <c r="E128" i="9"/>
  <c r="F131" i="9"/>
  <c r="E131" i="9"/>
  <c r="F136" i="9"/>
  <c r="E136" i="9"/>
  <c r="F139" i="9"/>
  <c r="E139" i="9"/>
  <c r="F144" i="9"/>
  <c r="E144" i="9"/>
  <c r="F147" i="9"/>
  <c r="E147" i="9"/>
  <c r="E79" i="9"/>
  <c r="F79" i="9"/>
  <c r="F81" i="9"/>
  <c r="E81" i="9"/>
  <c r="F76" i="9"/>
  <c r="E76" i="9"/>
  <c r="F96" i="9"/>
  <c r="E96" i="9"/>
  <c r="E99" i="9"/>
  <c r="F99" i="9"/>
  <c r="F125" i="9"/>
  <c r="E125" i="9"/>
  <c r="E65" i="9"/>
  <c r="F71" i="9"/>
  <c r="E23" i="9"/>
  <c r="F23" i="9"/>
  <c r="F64" i="9"/>
  <c r="E64" i="9"/>
  <c r="E67" i="9"/>
  <c r="F67" i="9"/>
  <c r="F93" i="9"/>
  <c r="E93" i="9"/>
  <c r="F56" i="9"/>
  <c r="E56" i="9"/>
  <c r="F63" i="9"/>
  <c r="F88" i="9"/>
  <c r="E88" i="9"/>
  <c r="F95" i="9"/>
  <c r="F120" i="9"/>
  <c r="E120" i="9"/>
  <c r="F127" i="9"/>
  <c r="F152" i="9"/>
  <c r="E152" i="9"/>
  <c r="F155" i="9"/>
  <c r="E155" i="9"/>
  <c r="F160" i="9"/>
  <c r="E160" i="9"/>
  <c r="F163" i="9"/>
  <c r="E163" i="9"/>
  <c r="F168" i="9"/>
  <c r="E168" i="9"/>
  <c r="F171" i="9"/>
  <c r="E171" i="9"/>
  <c r="F176" i="9"/>
  <c r="E176" i="9"/>
  <c r="F179" i="9"/>
  <c r="E179" i="9"/>
  <c r="F184" i="9"/>
  <c r="E184" i="9"/>
  <c r="F187" i="9"/>
  <c r="E187" i="9"/>
  <c r="F192" i="9"/>
  <c r="E192" i="9"/>
  <c r="F195" i="9"/>
  <c r="E195" i="9"/>
  <c r="F200" i="9"/>
  <c r="E200" i="9"/>
  <c r="F203" i="9"/>
  <c r="E203" i="9"/>
  <c r="F208" i="9"/>
  <c r="E208" i="9"/>
  <c r="F211" i="9"/>
  <c r="E211" i="9"/>
  <c r="F216" i="9"/>
  <c r="E216" i="9"/>
  <c r="F219" i="9"/>
  <c r="E219" i="9"/>
  <c r="F224" i="9"/>
  <c r="E224" i="9"/>
  <c r="F227" i="9"/>
  <c r="E227" i="9"/>
  <c r="F232" i="9"/>
  <c r="E232" i="9"/>
  <c r="F235" i="9"/>
  <c r="E235" i="9"/>
  <c r="F52" i="9"/>
  <c r="E52" i="9"/>
  <c r="F84" i="9"/>
  <c r="E84" i="9"/>
  <c r="F116" i="9"/>
  <c r="E116" i="9"/>
  <c r="F72" i="9"/>
  <c r="E72" i="9"/>
  <c r="F104" i="9"/>
  <c r="E104" i="9"/>
  <c r="F60" i="9"/>
  <c r="E60" i="9"/>
  <c r="F92" i="9"/>
  <c r="E92" i="9"/>
  <c r="F124" i="9"/>
  <c r="E124" i="9"/>
  <c r="F80" i="9"/>
  <c r="E80" i="9"/>
  <c r="F112" i="9"/>
  <c r="E112" i="9"/>
  <c r="F132" i="9"/>
  <c r="E132" i="9"/>
  <c r="F135" i="9"/>
  <c r="E135" i="9"/>
  <c r="F140" i="9"/>
  <c r="E140" i="9"/>
  <c r="F143" i="9"/>
  <c r="E143" i="9"/>
  <c r="F148" i="9"/>
  <c r="E148" i="9"/>
  <c r="F151" i="9"/>
  <c r="E151" i="9"/>
  <c r="F156" i="9"/>
  <c r="E156" i="9"/>
  <c r="F159" i="9"/>
  <c r="E159" i="9"/>
  <c r="F164" i="9"/>
  <c r="E164" i="9"/>
  <c r="F167" i="9"/>
  <c r="E167" i="9"/>
  <c r="F172" i="9"/>
  <c r="E172" i="9"/>
  <c r="F175" i="9"/>
  <c r="E175" i="9"/>
  <c r="F180" i="9"/>
  <c r="E180" i="9"/>
  <c r="F183" i="9"/>
  <c r="E183" i="9"/>
  <c r="F188" i="9"/>
  <c r="E188" i="9"/>
  <c r="F191" i="9"/>
  <c r="E191" i="9"/>
  <c r="F196" i="9"/>
  <c r="E196" i="9"/>
  <c r="F199" i="9"/>
  <c r="E199" i="9"/>
  <c r="F204" i="9"/>
  <c r="E204" i="9"/>
  <c r="F207" i="9"/>
  <c r="E207" i="9"/>
  <c r="F212" i="9"/>
  <c r="E212" i="9"/>
  <c r="F215" i="9"/>
  <c r="E215" i="9"/>
  <c r="F220" i="9"/>
  <c r="E220" i="9"/>
  <c r="F223" i="9"/>
  <c r="E223" i="9"/>
  <c r="F228" i="9"/>
  <c r="E228" i="9"/>
  <c r="F231" i="9"/>
  <c r="E231" i="9"/>
  <c r="E236" i="9"/>
  <c r="E38" i="8" l="1"/>
  <c r="E44" i="8"/>
  <c r="C48" i="8"/>
  <c r="B42" i="8"/>
  <c r="D42" i="8"/>
  <c r="C42" i="8"/>
  <c r="A56" i="7"/>
  <c r="E56" i="7" s="1"/>
  <c r="A54" i="7"/>
  <c r="I54" i="7" s="1"/>
  <c r="A52" i="7"/>
  <c r="D52" i="7" s="1"/>
  <c r="A55" i="7"/>
  <c r="E55" i="7" s="1"/>
  <c r="A58" i="7"/>
  <c r="H58" i="7" s="1"/>
  <c r="A53" i="7"/>
  <c r="G53" i="7" s="1"/>
  <c r="A39" i="7"/>
  <c r="D39" i="7" s="1"/>
  <c r="A50" i="7"/>
  <c r="D50" i="7" s="1"/>
  <c r="D57" i="7"/>
  <c r="C57" i="7"/>
  <c r="F57" i="7"/>
  <c r="I57" i="7"/>
  <c r="B57" i="7"/>
  <c r="E57" i="7"/>
  <c r="H57" i="7"/>
  <c r="G57" i="7"/>
  <c r="A36" i="7"/>
  <c r="A51" i="7"/>
  <c r="B53" i="7"/>
  <c r="I53" i="7"/>
  <c r="B39" i="7"/>
  <c r="F39" i="7"/>
  <c r="L39" i="7"/>
  <c r="I39" i="7"/>
  <c r="C39" i="7"/>
  <c r="K39" i="7"/>
  <c r="G39" i="7"/>
  <c r="E39" i="7"/>
  <c r="J39" i="7"/>
  <c r="A44" i="7"/>
  <c r="A59" i="7"/>
  <c r="G55" i="7"/>
  <c r="B55" i="7"/>
  <c r="F55" i="7"/>
  <c r="B52" i="7"/>
  <c r="H52" i="7"/>
  <c r="E52" i="7"/>
  <c r="D42" i="7"/>
  <c r="B42" i="7"/>
  <c r="K42" i="7"/>
  <c r="C42" i="7"/>
  <c r="I42" i="7"/>
  <c r="J42" i="7"/>
  <c r="G42" i="7"/>
  <c r="F42" i="7"/>
  <c r="E42" i="7"/>
  <c r="L42" i="7"/>
  <c r="H42" i="7"/>
  <c r="I41" i="8"/>
  <c r="M42" i="8"/>
  <c r="B14" i="10" a="1"/>
  <c r="B14" i="10" s="1"/>
  <c r="C14" i="10" a="1"/>
  <c r="C14" i="10" s="1"/>
  <c r="C10" i="10" a="1"/>
  <c r="C10" i="10" s="1"/>
  <c r="B10" i="10" a="1"/>
  <c r="B10" i="10" s="1"/>
  <c r="I42" i="8"/>
  <c r="C5" i="10" a="1"/>
  <c r="C5" i="10" s="1"/>
  <c r="B5" i="10" a="1"/>
  <c r="B5" i="10" s="1"/>
  <c r="C102" i="10" a="1"/>
  <c r="C102" i="10" s="1"/>
  <c r="B102" i="10" a="1"/>
  <c r="B102" i="10" s="1"/>
  <c r="C93" i="10" a="1"/>
  <c r="C93" i="10" s="1"/>
  <c r="B93" i="10" a="1"/>
  <c r="B93" i="10" s="1"/>
  <c r="C120" i="10" a="1"/>
  <c r="C120" i="10" s="1"/>
  <c r="B120" i="10" a="1"/>
  <c r="B120" i="10" s="1"/>
  <c r="C96" i="10" a="1"/>
  <c r="C96" i="10" s="1"/>
  <c r="B96" i="10" a="1"/>
  <c r="B96" i="10" s="1"/>
  <c r="C140" i="10" a="1"/>
  <c r="C140" i="10" s="1"/>
  <c r="B140" i="10" a="1"/>
  <c r="B140" i="10" s="1"/>
  <c r="C205" i="10" a="1"/>
  <c r="C205" i="10" s="1"/>
  <c r="B205" i="10" a="1"/>
  <c r="B205" i="10" s="1"/>
  <c r="C172" i="10" a="1"/>
  <c r="C172" i="10" s="1"/>
  <c r="B172" i="10" a="1"/>
  <c r="B172" i="10" s="1"/>
  <c r="C89" i="10" a="1"/>
  <c r="C89" i="10" s="1"/>
  <c r="B89" i="10" a="1"/>
  <c r="B89" i="10" s="1"/>
  <c r="C143" i="10" a="1"/>
  <c r="C143" i="10" s="1"/>
  <c r="B143" i="10" a="1"/>
  <c r="B143" i="10" s="1"/>
  <c r="C23" i="10" a="1"/>
  <c r="C23" i="10" s="1"/>
  <c r="B23" i="10" a="1"/>
  <c r="B23" i="10" s="1"/>
  <c r="C31" i="10" a="1"/>
  <c r="C31" i="10" s="1"/>
  <c r="B31" i="10" a="1"/>
  <c r="B31" i="10" s="1"/>
  <c r="C39" i="10" a="1"/>
  <c r="C39" i="10" s="1"/>
  <c r="B39" i="10" a="1"/>
  <c r="B39" i="10" s="1"/>
  <c r="C47" i="10" a="1"/>
  <c r="C47" i="10" s="1"/>
  <c r="B47" i="10" a="1"/>
  <c r="B47" i="10" s="1"/>
  <c r="C55" i="10" a="1"/>
  <c r="C55" i="10" s="1"/>
  <c r="B55" i="10" a="1"/>
  <c r="B55" i="10" s="1"/>
  <c r="C63" i="10" a="1"/>
  <c r="C63" i="10" s="1"/>
  <c r="B63" i="10" a="1"/>
  <c r="B63" i="10" s="1"/>
  <c r="C71" i="10" a="1"/>
  <c r="C71" i="10" s="1"/>
  <c r="B71" i="10" a="1"/>
  <c r="B71" i="10" s="1"/>
  <c r="C79" i="10" a="1"/>
  <c r="C79" i="10" s="1"/>
  <c r="B79" i="10" a="1"/>
  <c r="B79" i="10" s="1"/>
  <c r="C87" i="10" a="1"/>
  <c r="C87" i="10" s="1"/>
  <c r="B87" i="10" a="1"/>
  <c r="B87" i="10" s="1"/>
  <c r="C142" i="10" a="1"/>
  <c r="C142" i="10" s="1"/>
  <c r="B142" i="10" a="1"/>
  <c r="B142" i="10" s="1"/>
  <c r="C126" i="10" a="1"/>
  <c r="C126" i="10" s="1"/>
  <c r="B126" i="10" a="1"/>
  <c r="B126" i="10" s="1"/>
  <c r="C109" i="10" a="1"/>
  <c r="C109" i="10" s="1"/>
  <c r="B109" i="10" a="1"/>
  <c r="B109" i="10" s="1"/>
  <c r="B151" i="10" a="1"/>
  <c r="B151" i="10" s="1"/>
  <c r="C151" i="10" a="1"/>
  <c r="C151" i="10" s="1"/>
  <c r="B160" i="10" a="1"/>
  <c r="B160" i="10" s="1"/>
  <c r="C160" i="10" a="1"/>
  <c r="C160" i="10" s="1"/>
  <c r="B166" i="10" a="1"/>
  <c r="B166" i="10" s="1"/>
  <c r="C166" i="10" a="1"/>
  <c r="C166" i="10" s="1"/>
  <c r="C227" i="10" a="1"/>
  <c r="C227" i="10" s="1"/>
  <c r="B227" i="10" a="1"/>
  <c r="B227" i="10" s="1"/>
  <c r="C226" i="10" a="1"/>
  <c r="C226" i="10" s="1"/>
  <c r="B226" i="10" a="1"/>
  <c r="B226" i="10" s="1"/>
  <c r="A37" i="7"/>
  <c r="M43" i="8"/>
  <c r="C98" i="10" a="1"/>
  <c r="C98" i="10" s="1"/>
  <c r="B98" i="10" a="1"/>
  <c r="B98" i="10" s="1"/>
  <c r="B12" i="10" a="1"/>
  <c r="B12" i="10" s="1"/>
  <c r="C12" i="10" a="1"/>
  <c r="C12" i="10" s="1"/>
  <c r="I43" i="8"/>
  <c r="C7" i="10" a="1"/>
  <c r="C7" i="10" s="1"/>
  <c r="B7" i="10" a="1"/>
  <c r="B7" i="10" s="1"/>
  <c r="C104" i="10" a="1"/>
  <c r="C104" i="10" s="1"/>
  <c r="B104" i="10" a="1"/>
  <c r="B104" i="10" s="1"/>
  <c r="C124" i="10" a="1"/>
  <c r="C124" i="10" s="1"/>
  <c r="B124" i="10" a="1"/>
  <c r="B124" i="10" s="1"/>
  <c r="C169" i="10" a="1"/>
  <c r="C169" i="10" s="1"/>
  <c r="B169" i="10" a="1"/>
  <c r="B169" i="10" s="1"/>
  <c r="C91" i="10" a="1"/>
  <c r="C91" i="10" s="1"/>
  <c r="B91" i="10" a="1"/>
  <c r="B91" i="10" s="1"/>
  <c r="C144" i="10" a="1"/>
  <c r="C144" i="10" s="1"/>
  <c r="B144" i="10" a="1"/>
  <c r="B144" i="10" s="1"/>
  <c r="B212" i="10" a="1"/>
  <c r="B212" i="10" s="1"/>
  <c r="C212" i="10" a="1"/>
  <c r="C212" i="10" s="1"/>
  <c r="C186" i="10" a="1"/>
  <c r="C186" i="10" s="1"/>
  <c r="B186" i="10" a="1"/>
  <c r="B186" i="10" s="1"/>
  <c r="C97" i="10" a="1"/>
  <c r="C97" i="10" s="1"/>
  <c r="B97" i="10" a="1"/>
  <c r="B97" i="10" s="1"/>
  <c r="C164" i="10" a="1"/>
  <c r="C164" i="10" s="1"/>
  <c r="B164" i="10" a="1"/>
  <c r="B164" i="10" s="1"/>
  <c r="C24" i="10" a="1"/>
  <c r="C24" i="10" s="1"/>
  <c r="B24" i="10" a="1"/>
  <c r="B24" i="10" s="1"/>
  <c r="C32" i="10" a="1"/>
  <c r="C32" i="10" s="1"/>
  <c r="B32" i="10" a="1"/>
  <c r="B32" i="10" s="1"/>
  <c r="C40" i="10" a="1"/>
  <c r="C40" i="10" s="1"/>
  <c r="B40" i="10" a="1"/>
  <c r="B40" i="10" s="1"/>
  <c r="C48" i="10" a="1"/>
  <c r="C48" i="10" s="1"/>
  <c r="B48" i="10" a="1"/>
  <c r="B48" i="10" s="1"/>
  <c r="C56" i="10" a="1"/>
  <c r="C56" i="10" s="1"/>
  <c r="B56" i="10" a="1"/>
  <c r="B56" i="10" s="1"/>
  <c r="C64" i="10" a="1"/>
  <c r="C64" i="10" s="1"/>
  <c r="B64" i="10" a="1"/>
  <c r="B64" i="10" s="1"/>
  <c r="C72" i="10" a="1"/>
  <c r="C72" i="10" s="1"/>
  <c r="B72" i="10" a="1"/>
  <c r="B72" i="10" s="1"/>
  <c r="C80" i="10" a="1"/>
  <c r="C80" i="10" s="1"/>
  <c r="B80" i="10" a="1"/>
  <c r="B80" i="10" s="1"/>
  <c r="C95" i="10" a="1"/>
  <c r="C95" i="10" s="1"/>
  <c r="B95" i="10" a="1"/>
  <c r="B95" i="10" s="1"/>
  <c r="C146" i="10" a="1"/>
  <c r="C146" i="10" s="1"/>
  <c r="B146" i="10" a="1"/>
  <c r="B146" i="10" s="1"/>
  <c r="B157" i="10" a="1"/>
  <c r="B157" i="10" s="1"/>
  <c r="C157" i="10" a="1"/>
  <c r="C157" i="10" s="1"/>
  <c r="C117" i="10" a="1"/>
  <c r="C117" i="10" s="1"/>
  <c r="B117" i="10" a="1"/>
  <c r="B117" i="10" s="1"/>
  <c r="C154" i="10" a="1"/>
  <c r="C154" i="10" s="1"/>
  <c r="B154" i="10" a="1"/>
  <c r="B154" i="10" s="1"/>
  <c r="C176" i="10" a="1"/>
  <c r="C176" i="10" s="1"/>
  <c r="B176" i="10" a="1"/>
  <c r="B176" i="10" s="1"/>
  <c r="C175" i="10" a="1"/>
  <c r="C175" i="10" s="1"/>
  <c r="B175" i="10" a="1"/>
  <c r="B175" i="10" s="1"/>
  <c r="B234" i="10" a="1"/>
  <c r="B234" i="10" s="1"/>
  <c r="C234" i="10" a="1"/>
  <c r="C234" i="10" s="1"/>
  <c r="B230" i="10" a="1"/>
  <c r="B230" i="10" s="1"/>
  <c r="C230" i="10" a="1"/>
  <c r="C230" i="10" s="1"/>
  <c r="A40" i="7"/>
  <c r="A38" i="7"/>
  <c r="A43" i="7"/>
  <c r="M41" i="8"/>
  <c r="A41" i="7"/>
  <c r="B19" i="10" a="1"/>
  <c r="B19" i="10" s="1"/>
  <c r="C19" i="10" a="1"/>
  <c r="C19" i="10" s="1"/>
  <c r="B17" i="10" a="1"/>
  <c r="B17" i="10" s="1"/>
  <c r="C17" i="10" a="1"/>
  <c r="C17" i="10" s="1"/>
  <c r="B20" i="10" a="1"/>
  <c r="B20" i="10" s="1"/>
  <c r="C20" i="10" a="1"/>
  <c r="C20" i="10" s="1"/>
  <c r="B15" i="10" a="1"/>
  <c r="B15" i="10" s="1"/>
  <c r="C15" i="10" a="1"/>
  <c r="C15" i="10" s="1"/>
  <c r="B13" i="10" a="1"/>
  <c r="B13" i="10" s="1"/>
  <c r="C13" i="10" a="1"/>
  <c r="C13" i="10" s="1"/>
  <c r="C9" i="10" a="1"/>
  <c r="C9" i="10" s="1"/>
  <c r="B9" i="10" a="1"/>
  <c r="B9" i="10" s="1"/>
  <c r="C128" i="10" a="1"/>
  <c r="C128" i="10" s="1"/>
  <c r="B128" i="10" a="1"/>
  <c r="B128" i="10" s="1"/>
  <c r="C168" i="10" a="1"/>
  <c r="C168" i="10" s="1"/>
  <c r="B168" i="10" a="1"/>
  <c r="B168" i="10" s="1"/>
  <c r="C183" i="10" a="1"/>
  <c r="C183" i="10" s="1"/>
  <c r="B183" i="10" a="1"/>
  <c r="B183" i="10" s="1"/>
  <c r="C90" i="10" a="1"/>
  <c r="C90" i="10" s="1"/>
  <c r="B90" i="10" a="1"/>
  <c r="B90" i="10" s="1"/>
  <c r="C99" i="10" a="1"/>
  <c r="C99" i="10" s="1"/>
  <c r="B99" i="10" a="1"/>
  <c r="B99" i="10" s="1"/>
  <c r="B156" i="10" a="1"/>
  <c r="B156" i="10" s="1"/>
  <c r="C156" i="10" a="1"/>
  <c r="C156" i="10" s="1"/>
  <c r="C106" i="10" a="1"/>
  <c r="C106" i="10" s="1"/>
  <c r="B106" i="10" a="1"/>
  <c r="B106" i="10" s="1"/>
  <c r="C200" i="10" a="1"/>
  <c r="C200" i="10" s="1"/>
  <c r="B200" i="10" a="1"/>
  <c r="B200" i="10" s="1"/>
  <c r="C105" i="10" a="1"/>
  <c r="C105" i="10" s="1"/>
  <c r="B105" i="10" a="1"/>
  <c r="B105" i="10" s="1"/>
  <c r="C167" i="10" a="1"/>
  <c r="C167" i="10" s="1"/>
  <c r="B167" i="10" a="1"/>
  <c r="B167" i="10" s="1"/>
  <c r="C25" i="10" a="1"/>
  <c r="C25" i="10" s="1"/>
  <c r="B25" i="10" a="1"/>
  <c r="B25" i="10" s="1"/>
  <c r="C33" i="10" a="1"/>
  <c r="C33" i="10" s="1"/>
  <c r="B33" i="10" a="1"/>
  <c r="B33" i="10" s="1"/>
  <c r="C41" i="10" a="1"/>
  <c r="C41" i="10" s="1"/>
  <c r="B41" i="10" a="1"/>
  <c r="B41" i="10" s="1"/>
  <c r="C49" i="10" a="1"/>
  <c r="C49" i="10" s="1"/>
  <c r="B49" i="10" a="1"/>
  <c r="B49" i="10" s="1"/>
  <c r="C57" i="10" a="1"/>
  <c r="C57" i="10" s="1"/>
  <c r="B57" i="10" a="1"/>
  <c r="B57" i="10" s="1"/>
  <c r="C65" i="10" a="1"/>
  <c r="C65" i="10" s="1"/>
  <c r="B65" i="10" a="1"/>
  <c r="B65" i="10" s="1"/>
  <c r="C73" i="10" a="1"/>
  <c r="C73" i="10" s="1"/>
  <c r="B73" i="10" a="1"/>
  <c r="B73" i="10" s="1"/>
  <c r="C81" i="10" a="1"/>
  <c r="C81" i="10" s="1"/>
  <c r="B81" i="10" a="1"/>
  <c r="B81" i="10" s="1"/>
  <c r="C103" i="10" a="1"/>
  <c r="C103" i="10" s="1"/>
  <c r="B103" i="10" a="1"/>
  <c r="B103" i="10" s="1"/>
  <c r="C171" i="10" a="1"/>
  <c r="C171" i="10" s="1"/>
  <c r="B171" i="10" a="1"/>
  <c r="B171" i="10" s="1"/>
  <c r="C163" i="10" a="1"/>
  <c r="C163" i="10" s="1"/>
  <c r="B163" i="10" a="1"/>
  <c r="B163" i="10" s="1"/>
  <c r="C125" i="10" a="1"/>
  <c r="C125" i="10" s="1"/>
  <c r="B125" i="10" a="1"/>
  <c r="B125" i="10" s="1"/>
  <c r="C194" i="10" a="1"/>
  <c r="C194" i="10" s="1"/>
  <c r="B194" i="10" a="1"/>
  <c r="B194" i="10" s="1"/>
  <c r="C180" i="10" a="1"/>
  <c r="C180" i="10" s="1"/>
  <c r="B180" i="10" a="1"/>
  <c r="B180" i="10" s="1"/>
  <c r="C179" i="10" a="1"/>
  <c r="C179" i="10" s="1"/>
  <c r="B179" i="10" a="1"/>
  <c r="B179" i="10" s="1"/>
  <c r="C174" i="10" a="1"/>
  <c r="C174" i="10" s="1"/>
  <c r="B174" i="10" a="1"/>
  <c r="B174" i="10" s="1"/>
  <c r="B225" i="10" a="1"/>
  <c r="B225" i="10" s="1"/>
  <c r="C225" i="10" a="1"/>
  <c r="C225" i="10" s="1"/>
  <c r="C92" i="10" a="1"/>
  <c r="C92" i="10" s="1"/>
  <c r="B92" i="10" a="1"/>
  <c r="B92" i="10" s="1"/>
  <c r="C94" i="10" a="1"/>
  <c r="C94" i="10" s="1"/>
  <c r="B94" i="10" a="1"/>
  <c r="B94" i="10" s="1"/>
  <c r="C11" i="10" a="1"/>
  <c r="C11" i="10" s="1"/>
  <c r="B11" i="10" a="1"/>
  <c r="B11" i="10" s="1"/>
  <c r="C149" i="10" a="1"/>
  <c r="C149" i="10" s="1"/>
  <c r="B149" i="10" a="1"/>
  <c r="B149" i="10" s="1"/>
  <c r="C189" i="10" a="1"/>
  <c r="C189" i="10" s="1"/>
  <c r="B189" i="10" a="1"/>
  <c r="B189" i="10" s="1"/>
  <c r="C204" i="10" a="1"/>
  <c r="C204" i="10" s="1"/>
  <c r="B204" i="10" a="1"/>
  <c r="B204" i="10" s="1"/>
  <c r="C101" i="10" a="1"/>
  <c r="C101" i="10" s="1"/>
  <c r="B101" i="10" a="1"/>
  <c r="B101" i="10" s="1"/>
  <c r="C107" i="10" a="1"/>
  <c r="C107" i="10" s="1"/>
  <c r="B107" i="10" a="1"/>
  <c r="B107" i="10" s="1"/>
  <c r="B159" i="10" a="1"/>
  <c r="B159" i="10" s="1"/>
  <c r="C159" i="10" a="1"/>
  <c r="C159" i="10" s="1"/>
  <c r="C114" i="10" a="1"/>
  <c r="C114" i="10" s="1"/>
  <c r="B114" i="10" a="1"/>
  <c r="B114" i="10" s="1"/>
  <c r="B214" i="10" a="1"/>
  <c r="B214" i="10" s="1"/>
  <c r="C214" i="10" a="1"/>
  <c r="C214" i="10" s="1"/>
  <c r="C113" i="10" a="1"/>
  <c r="C113" i="10" s="1"/>
  <c r="B113" i="10" a="1"/>
  <c r="B113" i="10" s="1"/>
  <c r="C181" i="10" a="1"/>
  <c r="C181" i="10" s="1"/>
  <c r="B181" i="10" a="1"/>
  <c r="B181" i="10" s="1"/>
  <c r="C26" i="10" a="1"/>
  <c r="C26" i="10" s="1"/>
  <c r="B26" i="10" a="1"/>
  <c r="B26" i="10" s="1"/>
  <c r="C34" i="10" a="1"/>
  <c r="C34" i="10" s="1"/>
  <c r="B34" i="10" a="1"/>
  <c r="B34" i="10" s="1"/>
  <c r="C42" i="10" a="1"/>
  <c r="C42" i="10" s="1"/>
  <c r="B42" i="10" a="1"/>
  <c r="B42" i="10" s="1"/>
  <c r="C50" i="10" a="1"/>
  <c r="C50" i="10" s="1"/>
  <c r="B50" i="10" a="1"/>
  <c r="B50" i="10" s="1"/>
  <c r="C58" i="10" a="1"/>
  <c r="C58" i="10" s="1"/>
  <c r="B58" i="10" a="1"/>
  <c r="B58" i="10" s="1"/>
  <c r="C66" i="10" a="1"/>
  <c r="C66" i="10" s="1"/>
  <c r="B66" i="10" a="1"/>
  <c r="B66" i="10" s="1"/>
  <c r="C74" i="10" a="1"/>
  <c r="C74" i="10" s="1"/>
  <c r="B74" i="10" a="1"/>
  <c r="B74" i="10" s="1"/>
  <c r="C82" i="10" a="1"/>
  <c r="C82" i="10" s="1"/>
  <c r="B82" i="10" a="1"/>
  <c r="B82" i="10" s="1"/>
  <c r="C111" i="10" a="1"/>
  <c r="C111" i="10" s="1"/>
  <c r="B111" i="10" a="1"/>
  <c r="B111" i="10" s="1"/>
  <c r="C178" i="10" a="1"/>
  <c r="C178" i="10" s="1"/>
  <c r="B178" i="10" a="1"/>
  <c r="B178" i="10" s="1"/>
  <c r="C173" i="10" a="1"/>
  <c r="C173" i="10" s="1"/>
  <c r="B173" i="10" a="1"/>
  <c r="B173" i="10" s="1"/>
  <c r="C133" i="10" a="1"/>
  <c r="C133" i="10" s="1"/>
  <c r="B133" i="10" a="1"/>
  <c r="B133" i="10" s="1"/>
  <c r="C201" i="10" a="1"/>
  <c r="C201" i="10" s="1"/>
  <c r="B201" i="10" a="1"/>
  <c r="B201" i="10" s="1"/>
  <c r="C193" i="10" a="1"/>
  <c r="C193" i="10" s="1"/>
  <c r="B193" i="10" a="1"/>
  <c r="B193" i="10" s="1"/>
  <c r="C192" i="10" a="1"/>
  <c r="C192" i="10" s="1"/>
  <c r="B192" i="10" a="1"/>
  <c r="B192" i="10" s="1"/>
  <c r="C182" i="10" a="1"/>
  <c r="C182" i="10" s="1"/>
  <c r="B182" i="10" a="1"/>
  <c r="B182" i="10" s="1"/>
  <c r="B229" i="10" a="1"/>
  <c r="B229" i="10" s="1"/>
  <c r="C229" i="10" a="1"/>
  <c r="C229" i="10" s="1"/>
  <c r="D47" i="8"/>
  <c r="C47" i="8"/>
  <c r="B47" i="8"/>
  <c r="E47" i="8"/>
  <c r="A35" i="7"/>
  <c r="C108" i="10" a="1"/>
  <c r="C108" i="10" s="1"/>
  <c r="B108" i="10" a="1"/>
  <c r="B108" i="10" s="1"/>
  <c r="C2" i="10" a="1"/>
  <c r="C2" i="10" s="1"/>
  <c r="B2" i="10" a="1"/>
  <c r="B2" i="10" s="1"/>
  <c r="B16" i="10" a="1"/>
  <c r="B16" i="10" s="1"/>
  <c r="C16" i="10" a="1"/>
  <c r="C16" i="10" s="1"/>
  <c r="C155" i="10" a="1"/>
  <c r="C155" i="10" s="1"/>
  <c r="B155" i="10" a="1"/>
  <c r="B155" i="10" s="1"/>
  <c r="C203" i="10" a="1"/>
  <c r="C203" i="10" s="1"/>
  <c r="B203" i="10" a="1"/>
  <c r="B203" i="10" s="1"/>
  <c r="B228" i="10" a="1"/>
  <c r="B228" i="10" s="1"/>
  <c r="C228" i="10" a="1"/>
  <c r="C228" i="10" s="1"/>
  <c r="C231" i="10" a="1"/>
  <c r="C231" i="10" s="1"/>
  <c r="B231" i="10" a="1"/>
  <c r="B231" i="10" s="1"/>
  <c r="C115" i="10" a="1"/>
  <c r="C115" i="10" s="1"/>
  <c r="B115" i="10" a="1"/>
  <c r="B115" i="10" s="1"/>
  <c r="C162" i="10" a="1"/>
  <c r="C162" i="10" s="1"/>
  <c r="B162" i="10" a="1"/>
  <c r="B162" i="10" s="1"/>
  <c r="C122" i="10" a="1"/>
  <c r="C122" i="10" s="1"/>
  <c r="B122" i="10" a="1"/>
  <c r="B122" i="10" s="1"/>
  <c r="B218" i="10" a="1"/>
  <c r="B218" i="10" s="1"/>
  <c r="C218" i="10" a="1"/>
  <c r="C218" i="10" s="1"/>
  <c r="C121" i="10" a="1"/>
  <c r="C121" i="10" s="1"/>
  <c r="B121" i="10" a="1"/>
  <c r="B121" i="10" s="1"/>
  <c r="C188" i="10" a="1"/>
  <c r="C188" i="10" s="1"/>
  <c r="B188" i="10" a="1"/>
  <c r="B188" i="10" s="1"/>
  <c r="C27" i="10" a="1"/>
  <c r="C27" i="10" s="1"/>
  <c r="B27" i="10" a="1"/>
  <c r="B27" i="10" s="1"/>
  <c r="C35" i="10" a="1"/>
  <c r="C35" i="10" s="1"/>
  <c r="B35" i="10" a="1"/>
  <c r="B35" i="10" s="1"/>
  <c r="C43" i="10" a="1"/>
  <c r="C43" i="10" s="1"/>
  <c r="B43" i="10" a="1"/>
  <c r="B43" i="10" s="1"/>
  <c r="C51" i="10" a="1"/>
  <c r="C51" i="10" s="1"/>
  <c r="B51" i="10" a="1"/>
  <c r="B51" i="10" s="1"/>
  <c r="C59" i="10" a="1"/>
  <c r="C59" i="10" s="1"/>
  <c r="B59" i="10" a="1"/>
  <c r="B59" i="10" s="1"/>
  <c r="C67" i="10" a="1"/>
  <c r="C67" i="10" s="1"/>
  <c r="B67" i="10" a="1"/>
  <c r="B67" i="10" s="1"/>
  <c r="C75" i="10" a="1"/>
  <c r="C75" i="10" s="1"/>
  <c r="B75" i="10" a="1"/>
  <c r="B75" i="10" s="1"/>
  <c r="C83" i="10" a="1"/>
  <c r="C83" i="10" s="1"/>
  <c r="B83" i="10" a="1"/>
  <c r="B83" i="10" s="1"/>
  <c r="C119" i="10" a="1"/>
  <c r="C119" i="10" s="1"/>
  <c r="B119" i="10" a="1"/>
  <c r="B119" i="10" s="1"/>
  <c r="C211" i="10" a="1"/>
  <c r="C211" i="10" s="1"/>
  <c r="B211" i="10" a="1"/>
  <c r="B211" i="10" s="1"/>
  <c r="C185" i="10" a="1"/>
  <c r="C185" i="10" s="1"/>
  <c r="B185" i="10" a="1"/>
  <c r="B185" i="10" s="1"/>
  <c r="C137" i="10" a="1"/>
  <c r="C137" i="10" s="1"/>
  <c r="B137" i="10" a="1"/>
  <c r="B137" i="10" s="1"/>
  <c r="C208" i="10" a="1"/>
  <c r="C208" i="10" s="1"/>
  <c r="B208" i="10" a="1"/>
  <c r="B208" i="10" s="1"/>
  <c r="C197" i="10" a="1"/>
  <c r="C197" i="10" s="1"/>
  <c r="B197" i="10" a="1"/>
  <c r="B197" i="10" s="1"/>
  <c r="C196" i="10" a="1"/>
  <c r="C196" i="10" s="1"/>
  <c r="B196" i="10" a="1"/>
  <c r="B196" i="10" s="1"/>
  <c r="C190" i="10" a="1"/>
  <c r="C190" i="10" s="1"/>
  <c r="B190" i="10" a="1"/>
  <c r="B190" i="10" s="1"/>
  <c r="B237" i="10" a="1"/>
  <c r="B237" i="10" s="1"/>
  <c r="C237" i="10" a="1"/>
  <c r="C237" i="10" s="1"/>
  <c r="E43" i="8"/>
  <c r="D43" i="8"/>
  <c r="B43" i="8"/>
  <c r="C43" i="8"/>
  <c r="C165" i="10" a="1"/>
  <c r="C165" i="10" s="1"/>
  <c r="B165" i="10" a="1"/>
  <c r="B165" i="10" s="1"/>
  <c r="C4" i="10" a="1"/>
  <c r="C4" i="10" s="1"/>
  <c r="B4" i="10" a="1"/>
  <c r="B4" i="10" s="1"/>
  <c r="B46" i="8"/>
  <c r="E46" i="8"/>
  <c r="D46" i="8"/>
  <c r="C46" i="8"/>
  <c r="B18" i="10" a="1"/>
  <c r="B18" i="10" s="1"/>
  <c r="C18" i="10" a="1"/>
  <c r="C18" i="10" s="1"/>
  <c r="C132" i="10" a="1"/>
  <c r="C132" i="10" s="1"/>
  <c r="B132" i="10" a="1"/>
  <c r="B132" i="10" s="1"/>
  <c r="C161" i="10" a="1"/>
  <c r="C161" i="10" s="1"/>
  <c r="B161" i="10" a="1"/>
  <c r="B161" i="10" s="1"/>
  <c r="C88" i="10" a="1"/>
  <c r="C88" i="10" s="1"/>
  <c r="B88" i="10" a="1"/>
  <c r="B88" i="10" s="1"/>
  <c r="C123" i="10" a="1"/>
  <c r="C123" i="10" s="1"/>
  <c r="B123" i="10" a="1"/>
  <c r="B123" i="10" s="1"/>
  <c r="C177" i="10" a="1"/>
  <c r="C177" i="10" s="1"/>
  <c r="B177" i="10" a="1"/>
  <c r="B177" i="10" s="1"/>
  <c r="C130" i="10" a="1"/>
  <c r="C130" i="10" s="1"/>
  <c r="B130" i="10" a="1"/>
  <c r="B130" i="10" s="1"/>
  <c r="C220" i="10" a="1"/>
  <c r="C220" i="10" s="1"/>
  <c r="B220" i="10" a="1"/>
  <c r="B220" i="10" s="1"/>
  <c r="C129" i="10" a="1"/>
  <c r="C129" i="10" s="1"/>
  <c r="B129" i="10" a="1"/>
  <c r="B129" i="10" s="1"/>
  <c r="C195" i="10" a="1"/>
  <c r="C195" i="10" s="1"/>
  <c r="B195" i="10" a="1"/>
  <c r="B195" i="10" s="1"/>
  <c r="C28" i="10" a="1"/>
  <c r="C28" i="10" s="1"/>
  <c r="B28" i="10" a="1"/>
  <c r="B28" i="10" s="1"/>
  <c r="C36" i="10" a="1"/>
  <c r="C36" i="10" s="1"/>
  <c r="B36" i="10" a="1"/>
  <c r="B36" i="10" s="1"/>
  <c r="C44" i="10" a="1"/>
  <c r="C44" i="10" s="1"/>
  <c r="B44" i="10" a="1"/>
  <c r="B44" i="10" s="1"/>
  <c r="C52" i="10" a="1"/>
  <c r="C52" i="10" s="1"/>
  <c r="B52" i="10" a="1"/>
  <c r="B52" i="10" s="1"/>
  <c r="C60" i="10" a="1"/>
  <c r="C60" i="10" s="1"/>
  <c r="B60" i="10" a="1"/>
  <c r="B60" i="10" s="1"/>
  <c r="C68" i="10" a="1"/>
  <c r="C68" i="10" s="1"/>
  <c r="B68" i="10" a="1"/>
  <c r="B68" i="10" s="1"/>
  <c r="C76" i="10" a="1"/>
  <c r="C76" i="10" s="1"/>
  <c r="B76" i="10" a="1"/>
  <c r="B76" i="10" s="1"/>
  <c r="C84" i="10" a="1"/>
  <c r="C84" i="10" s="1"/>
  <c r="B84" i="10" a="1"/>
  <c r="B84" i="10" s="1"/>
  <c r="C127" i="10" a="1"/>
  <c r="C127" i="10" s="1"/>
  <c r="B127" i="10" a="1"/>
  <c r="B127" i="10" s="1"/>
  <c r="B215" i="10" a="1"/>
  <c r="B215" i="10" s="1"/>
  <c r="C215" i="10" a="1"/>
  <c r="C215" i="10" s="1"/>
  <c r="C187" i="10" a="1"/>
  <c r="C187" i="10" s="1"/>
  <c r="B187" i="10" a="1"/>
  <c r="B187" i="10" s="1"/>
  <c r="C141" i="10" a="1"/>
  <c r="C141" i="10" s="1"/>
  <c r="B141" i="10" a="1"/>
  <c r="B141" i="10" s="1"/>
  <c r="C223" i="10" a="1"/>
  <c r="C223" i="10" s="1"/>
  <c r="B223" i="10" a="1"/>
  <c r="B223" i="10" s="1"/>
  <c r="C210" i="10" a="1"/>
  <c r="C210" i="10" s="1"/>
  <c r="B210" i="10" a="1"/>
  <c r="B210" i="10" s="1"/>
  <c r="C209" i="10" a="1"/>
  <c r="C209" i="10" s="1"/>
  <c r="B209" i="10" a="1"/>
  <c r="B209" i="10" s="1"/>
  <c r="C198" i="10" a="1"/>
  <c r="C198" i="10" s="1"/>
  <c r="B198" i="10" a="1"/>
  <c r="B198" i="10" s="1"/>
  <c r="B216" i="10" a="1"/>
  <c r="B216" i="10" s="1"/>
  <c r="C216" i="10" a="1"/>
  <c r="C216" i="10" s="1"/>
  <c r="E41" i="8"/>
  <c r="D41" i="8"/>
  <c r="B41" i="8"/>
  <c r="C41" i="8"/>
  <c r="C6" i="10" a="1"/>
  <c r="C6" i="10" s="1"/>
  <c r="B6" i="10" a="1"/>
  <c r="B6" i="10" s="1"/>
  <c r="B50" i="8"/>
  <c r="E50" i="8"/>
  <c r="D50" i="8"/>
  <c r="C50" i="8"/>
  <c r="C112" i="10" a="1"/>
  <c r="C112" i="10" s="1"/>
  <c r="B112" i="10" a="1"/>
  <c r="B112" i="10" s="1"/>
  <c r="C202" i="10" a="1"/>
  <c r="C202" i="10" s="1"/>
  <c r="B202" i="10" a="1"/>
  <c r="B202" i="10" s="1"/>
  <c r="C110" i="10" a="1"/>
  <c r="C110" i="10" s="1"/>
  <c r="B110" i="10" a="1"/>
  <c r="B110" i="10" s="1"/>
  <c r="C170" i="10" a="1"/>
  <c r="C170" i="10" s="1"/>
  <c r="B170" i="10" a="1"/>
  <c r="B170" i="10" s="1"/>
  <c r="C131" i="10" a="1"/>
  <c r="C131" i="10" s="1"/>
  <c r="B131" i="10" a="1"/>
  <c r="B131" i="10" s="1"/>
  <c r="C184" i="10" a="1"/>
  <c r="C184" i="10" s="1"/>
  <c r="B184" i="10" a="1"/>
  <c r="B184" i="10" s="1"/>
  <c r="C147" i="10" a="1"/>
  <c r="C147" i="10" s="1"/>
  <c r="B147" i="10" a="1"/>
  <c r="B147" i="10" s="1"/>
  <c r="B233" i="10" a="1"/>
  <c r="B233" i="10" s="1"/>
  <c r="C233" i="10" a="1"/>
  <c r="C233" i="10" s="1"/>
  <c r="C135" i="10" a="1"/>
  <c r="C135" i="10" s="1"/>
  <c r="B135" i="10" a="1"/>
  <c r="B135" i="10" s="1"/>
  <c r="C207" i="10" a="1"/>
  <c r="C207" i="10" s="1"/>
  <c r="B207" i="10" a="1"/>
  <c r="B207" i="10" s="1"/>
  <c r="C29" i="10" a="1"/>
  <c r="C29" i="10" s="1"/>
  <c r="B29" i="10" a="1"/>
  <c r="B29" i="10" s="1"/>
  <c r="C37" i="10" a="1"/>
  <c r="C37" i="10" s="1"/>
  <c r="B37" i="10" a="1"/>
  <c r="B37" i="10" s="1"/>
  <c r="C45" i="10" a="1"/>
  <c r="C45" i="10" s="1"/>
  <c r="B45" i="10" a="1"/>
  <c r="B45" i="10" s="1"/>
  <c r="C53" i="10" a="1"/>
  <c r="C53" i="10" s="1"/>
  <c r="B53" i="10" a="1"/>
  <c r="B53" i="10" s="1"/>
  <c r="C61" i="10" a="1"/>
  <c r="C61" i="10" s="1"/>
  <c r="B61" i="10" a="1"/>
  <c r="B61" i="10" s="1"/>
  <c r="C69" i="10" a="1"/>
  <c r="C69" i="10" s="1"/>
  <c r="B69" i="10" a="1"/>
  <c r="B69" i="10" s="1"/>
  <c r="C77" i="10" a="1"/>
  <c r="C77" i="10" s="1"/>
  <c r="B77" i="10" a="1"/>
  <c r="B77" i="10" s="1"/>
  <c r="C85" i="10" a="1"/>
  <c r="C85" i="10" s="1"/>
  <c r="B85" i="10" a="1"/>
  <c r="B85" i="10" s="1"/>
  <c r="C134" i="10" a="1"/>
  <c r="C134" i="10" s="1"/>
  <c r="B134" i="10" a="1"/>
  <c r="B134" i="10" s="1"/>
  <c r="B221" i="10" a="1"/>
  <c r="B221" i="10" s="1"/>
  <c r="C221" i="10" a="1"/>
  <c r="C221" i="10" s="1"/>
  <c r="C199" i="10" a="1"/>
  <c r="C199" i="10" s="1"/>
  <c r="B199" i="10" a="1"/>
  <c r="B199" i="10" s="1"/>
  <c r="C145" i="10" a="1"/>
  <c r="C145" i="10" s="1"/>
  <c r="B145" i="10" a="1"/>
  <c r="B145" i="10" s="1"/>
  <c r="C235" i="10" a="1"/>
  <c r="C235" i="10" s="1"/>
  <c r="B235" i="10" a="1"/>
  <c r="B235" i="10" s="1"/>
  <c r="B150" i="10" a="1"/>
  <c r="B150" i="10" s="1"/>
  <c r="C150" i="10" a="1"/>
  <c r="C150" i="10" s="1"/>
  <c r="C219" i="10" a="1"/>
  <c r="C219" i="10" s="1"/>
  <c r="B219" i="10" a="1"/>
  <c r="B219" i="10" s="1"/>
  <c r="C206" i="10" a="1"/>
  <c r="C206" i="10" s="1"/>
  <c r="B206" i="10" a="1"/>
  <c r="B206" i="10" s="1"/>
  <c r="C224" i="10" a="1"/>
  <c r="C224" i="10" s="1"/>
  <c r="B224" i="10" a="1"/>
  <c r="B224" i="10" s="1"/>
  <c r="E39" i="8"/>
  <c r="D39" i="8"/>
  <c r="B39" i="8"/>
  <c r="C39" i="8"/>
  <c r="C8" i="10" a="1"/>
  <c r="C8" i="10" s="1"/>
  <c r="B8" i="10" a="1"/>
  <c r="B8" i="10" s="1"/>
  <c r="C3" i="10" a="1"/>
  <c r="C3" i="10" s="1"/>
  <c r="B3" i="10" a="1"/>
  <c r="B3" i="10" s="1"/>
  <c r="C100" i="10" a="1"/>
  <c r="C100" i="10" s="1"/>
  <c r="B100" i="10" a="1"/>
  <c r="B100" i="10" s="1"/>
  <c r="B21" i="10" a="1"/>
  <c r="B21" i="10" s="1"/>
  <c r="C21" i="10" a="1"/>
  <c r="C21" i="10" s="1"/>
  <c r="C116" i="10" a="1"/>
  <c r="C116" i="10" s="1"/>
  <c r="B116" i="10" a="1"/>
  <c r="B116" i="10" s="1"/>
  <c r="C136" i="10" a="1"/>
  <c r="C136" i="10" s="1"/>
  <c r="B136" i="10" a="1"/>
  <c r="B136" i="10" s="1"/>
  <c r="C191" i="10" a="1"/>
  <c r="C191" i="10" s="1"/>
  <c r="B191" i="10" a="1"/>
  <c r="B191" i="10" s="1"/>
  <c r="C153" i="10" a="1"/>
  <c r="C153" i="10" s="1"/>
  <c r="B153" i="10" a="1"/>
  <c r="B153" i="10" s="1"/>
  <c r="C236" i="10" a="1"/>
  <c r="C236" i="10" s="1"/>
  <c r="B236" i="10" a="1"/>
  <c r="B236" i="10" s="1"/>
  <c r="C139" i="10" a="1"/>
  <c r="C139" i="10" s="1"/>
  <c r="B139" i="10" a="1"/>
  <c r="B139" i="10" s="1"/>
  <c r="C22" i="10" a="1"/>
  <c r="C22" i="10" s="1"/>
  <c r="B22" i="10" a="1"/>
  <c r="B22" i="10" s="1"/>
  <c r="C30" i="10" a="1"/>
  <c r="C30" i="10" s="1"/>
  <c r="B30" i="10" a="1"/>
  <c r="B30" i="10" s="1"/>
  <c r="C38" i="10" a="1"/>
  <c r="C38" i="10" s="1"/>
  <c r="B38" i="10" a="1"/>
  <c r="B38" i="10" s="1"/>
  <c r="C46" i="10" a="1"/>
  <c r="C46" i="10" s="1"/>
  <c r="B46" i="10" a="1"/>
  <c r="B46" i="10" s="1"/>
  <c r="C54" i="10" a="1"/>
  <c r="C54" i="10" s="1"/>
  <c r="B54" i="10" a="1"/>
  <c r="B54" i="10" s="1"/>
  <c r="C62" i="10" a="1"/>
  <c r="C62" i="10" s="1"/>
  <c r="B62" i="10" a="1"/>
  <c r="B62" i="10" s="1"/>
  <c r="C70" i="10" a="1"/>
  <c r="C70" i="10" s="1"/>
  <c r="B70" i="10" a="1"/>
  <c r="B70" i="10" s="1"/>
  <c r="C78" i="10" a="1"/>
  <c r="C78" i="10" s="1"/>
  <c r="B78" i="10" a="1"/>
  <c r="B78" i="10" s="1"/>
  <c r="C86" i="10" a="1"/>
  <c r="C86" i="10" s="1"/>
  <c r="B86" i="10" a="1"/>
  <c r="B86" i="10" s="1"/>
  <c r="C138" i="10" a="1"/>
  <c r="C138" i="10" s="1"/>
  <c r="B138" i="10" a="1"/>
  <c r="B138" i="10" s="1"/>
  <c r="C118" i="10" a="1"/>
  <c r="C118" i="10" s="1"/>
  <c r="B118" i="10" a="1"/>
  <c r="B118" i="10" s="1"/>
  <c r="B217" i="10" a="1"/>
  <c r="B217" i="10" s="1"/>
  <c r="C217" i="10" a="1"/>
  <c r="C217" i="10" s="1"/>
  <c r="C148" i="10" a="1"/>
  <c r="C148" i="10" s="1"/>
  <c r="B148" i="10" a="1"/>
  <c r="B148" i="10" s="1"/>
  <c r="C152" i="10" a="1"/>
  <c r="C152" i="10" s="1"/>
  <c r="B152" i="10" a="1"/>
  <c r="B152" i="10" s="1"/>
  <c r="C158" i="10" a="1"/>
  <c r="C158" i="10" s="1"/>
  <c r="B158" i="10" a="1"/>
  <c r="B158" i="10" s="1"/>
  <c r="B222" i="10" a="1"/>
  <c r="B222" i="10" s="1"/>
  <c r="C222" i="10" a="1"/>
  <c r="C222" i="10" s="1"/>
  <c r="B213" i="10" a="1"/>
  <c r="B213" i="10" s="1"/>
  <c r="C213" i="10" a="1"/>
  <c r="C213" i="10" s="1"/>
  <c r="B232" i="10" a="1"/>
  <c r="B232" i="10" s="1"/>
  <c r="C232" i="10" a="1"/>
  <c r="C232" i="10" s="1"/>
  <c r="E37" i="8"/>
  <c r="D37" i="8"/>
  <c r="B37" i="8"/>
  <c r="C37" i="8"/>
  <c r="D45" i="8"/>
  <c r="E45" i="8"/>
  <c r="C45" i="8"/>
  <c r="B45" i="8"/>
  <c r="D49" i="8"/>
  <c r="E49" i="8"/>
  <c r="C49" i="8"/>
  <c r="B49" i="8"/>
  <c r="G54" i="7" l="1"/>
  <c r="C52" i="7"/>
  <c r="D55" i="7"/>
  <c r="H39" i="7"/>
  <c r="F54" i="7"/>
  <c r="G52" i="7"/>
  <c r="I52" i="7"/>
  <c r="E58" i="7"/>
  <c r="H55" i="7"/>
  <c r="E54" i="7"/>
  <c r="I55" i="7"/>
  <c r="C54" i="7"/>
  <c r="H54" i="7"/>
  <c r="D54" i="7"/>
  <c r="E53" i="7"/>
  <c r="B54" i="7"/>
  <c r="E50" i="7"/>
  <c r="C50" i="7"/>
  <c r="F58" i="7"/>
  <c r="G50" i="7"/>
  <c r="F52" i="7"/>
  <c r="C55" i="7"/>
  <c r="I50" i="7"/>
  <c r="F53" i="7"/>
  <c r="G58" i="7"/>
  <c r="B50" i="7"/>
  <c r="H53" i="7"/>
  <c r="B58" i="7"/>
  <c r="B56" i="7"/>
  <c r="D56" i="7"/>
  <c r="F50" i="7"/>
  <c r="C53" i="7"/>
  <c r="C58" i="7"/>
  <c r="F56" i="7"/>
  <c r="C56" i="7"/>
  <c r="H56" i="7"/>
  <c r="I56" i="7"/>
  <c r="H50" i="7"/>
  <c r="D53" i="7"/>
  <c r="D58" i="7"/>
  <c r="G56" i="7"/>
  <c r="I58" i="7"/>
  <c r="B59" i="7"/>
  <c r="D59" i="7"/>
  <c r="G59" i="7"/>
  <c r="I59" i="7"/>
  <c r="C59" i="7"/>
  <c r="H59" i="7"/>
  <c r="F59" i="7"/>
  <c r="E59" i="7"/>
  <c r="K37" i="7"/>
  <c r="C37" i="7"/>
  <c r="L37" i="7"/>
  <c r="F37" i="7"/>
  <c r="G37" i="7"/>
  <c r="E37" i="7"/>
  <c r="B37" i="7"/>
  <c r="H37" i="7"/>
  <c r="I37" i="7"/>
  <c r="D37" i="7"/>
  <c r="J37" i="7"/>
  <c r="F38" i="7"/>
  <c r="E38" i="7"/>
  <c r="H38" i="7"/>
  <c r="K38" i="7"/>
  <c r="L38" i="7"/>
  <c r="I38" i="7"/>
  <c r="D38" i="7"/>
  <c r="G38" i="7"/>
  <c r="C38" i="7"/>
  <c r="B38" i="7"/>
  <c r="J38" i="7"/>
  <c r="K44" i="7"/>
  <c r="I44" i="7"/>
  <c r="L44" i="7"/>
  <c r="J44" i="7"/>
  <c r="B44" i="7"/>
  <c r="H44" i="7"/>
  <c r="D44" i="7"/>
  <c r="G44" i="7"/>
  <c r="F44" i="7"/>
  <c r="C44" i="7"/>
  <c r="E44" i="7"/>
  <c r="F40" i="7"/>
  <c r="B40" i="7"/>
  <c r="I40" i="7"/>
  <c r="H40" i="7"/>
  <c r="E40" i="7"/>
  <c r="D40" i="7"/>
  <c r="C40" i="7"/>
  <c r="L40" i="7"/>
  <c r="K40" i="7"/>
  <c r="G40" i="7"/>
  <c r="J40" i="7"/>
  <c r="H35" i="7"/>
  <c r="D35" i="7"/>
  <c r="G35" i="7"/>
  <c r="K35" i="7"/>
  <c r="B35" i="7"/>
  <c r="C35" i="7"/>
  <c r="J35" i="7"/>
  <c r="F35" i="7"/>
  <c r="L35" i="7"/>
  <c r="I35" i="7"/>
  <c r="E35" i="7"/>
  <c r="L43" i="7"/>
  <c r="C43" i="7"/>
  <c r="J43" i="7"/>
  <c r="B43" i="7"/>
  <c r="E43" i="7"/>
  <c r="H43" i="7"/>
  <c r="D43" i="7"/>
  <c r="G43" i="7"/>
  <c r="K43" i="7"/>
  <c r="I43" i="7"/>
  <c r="F43" i="7"/>
  <c r="D51" i="7"/>
  <c r="C51" i="7"/>
  <c r="I51" i="7"/>
  <c r="H51" i="7"/>
  <c r="F51" i="7"/>
  <c r="G51" i="7"/>
  <c r="E51" i="7"/>
  <c r="B51" i="7"/>
  <c r="H41" i="7"/>
  <c r="J41" i="7"/>
  <c r="F41" i="7"/>
  <c r="K41" i="7"/>
  <c r="G41" i="7"/>
  <c r="C41" i="7"/>
  <c r="B41" i="7"/>
  <c r="D41" i="7"/>
  <c r="E41" i="7"/>
  <c r="I41" i="7"/>
  <c r="L41" i="7"/>
  <c r="I36" i="7"/>
  <c r="C36" i="7"/>
  <c r="L36" i="7"/>
  <c r="G36" i="7"/>
  <c r="B36" i="7"/>
  <c r="J36" i="7"/>
  <c r="H36" i="7"/>
  <c r="K36" i="7"/>
  <c r="D36" i="7"/>
  <c r="F36" i="7"/>
  <c r="E36" i="7"/>
  <c r="E221" i="10"/>
  <c r="D221" i="10"/>
  <c r="D220" i="10"/>
  <c r="E220" i="10"/>
  <c r="D197" i="10"/>
  <c r="E197" i="10"/>
  <c r="E211" i="10"/>
  <c r="D211" i="10"/>
  <c r="E67" i="10"/>
  <c r="D67" i="10"/>
  <c r="E35" i="10"/>
  <c r="D35" i="10"/>
  <c r="D231" i="10"/>
  <c r="E231" i="10"/>
  <c r="E159" i="10"/>
  <c r="D159" i="10"/>
  <c r="E225" i="10"/>
  <c r="D225" i="10"/>
  <c r="D13" i="10"/>
  <c r="E13" i="10"/>
  <c r="D19" i="10"/>
  <c r="E19" i="10"/>
  <c r="E234" i="10"/>
  <c r="D234" i="10"/>
  <c r="E213" i="10"/>
  <c r="D213" i="10"/>
  <c r="E68" i="10"/>
  <c r="D68" i="10"/>
  <c r="D198" i="10"/>
  <c r="E198" i="10"/>
  <c r="E141" i="10"/>
  <c r="D141" i="10"/>
  <c r="E84" i="10"/>
  <c r="D84" i="10"/>
  <c r="E195" i="10"/>
  <c r="D195" i="10"/>
  <c r="E132" i="10"/>
  <c r="D132" i="10"/>
  <c r="E218" i="10"/>
  <c r="D218" i="10"/>
  <c r="D16" i="10"/>
  <c r="E16" i="10"/>
  <c r="E192" i="10"/>
  <c r="D192" i="10"/>
  <c r="E173" i="10"/>
  <c r="D173" i="10"/>
  <c r="E74" i="10"/>
  <c r="D74" i="10"/>
  <c r="E42" i="10"/>
  <c r="D42" i="10"/>
  <c r="D113" i="10"/>
  <c r="E113" i="10"/>
  <c r="D107" i="10"/>
  <c r="E107" i="10"/>
  <c r="E149" i="10"/>
  <c r="D149" i="10"/>
  <c r="E174" i="10"/>
  <c r="D174" i="10"/>
  <c r="D125" i="10"/>
  <c r="E125" i="10"/>
  <c r="E81" i="10"/>
  <c r="D81" i="10"/>
  <c r="E49" i="10"/>
  <c r="D49" i="10"/>
  <c r="E167" i="10"/>
  <c r="D167" i="10"/>
  <c r="D168" i="10"/>
  <c r="E168" i="10"/>
  <c r="E175" i="10"/>
  <c r="D175" i="10"/>
  <c r="E72" i="10"/>
  <c r="D72" i="10"/>
  <c r="E40" i="10"/>
  <c r="D40" i="10"/>
  <c r="E97" i="10"/>
  <c r="D97" i="10"/>
  <c r="D91" i="10"/>
  <c r="E91" i="10"/>
  <c r="D7" i="10"/>
  <c r="E7" i="10"/>
  <c r="E126" i="10"/>
  <c r="D126" i="10"/>
  <c r="E71" i="10"/>
  <c r="D71" i="10"/>
  <c r="E39" i="10"/>
  <c r="D39" i="10"/>
  <c r="E89" i="10"/>
  <c r="D89" i="10"/>
  <c r="E96" i="10"/>
  <c r="D96" i="10"/>
  <c r="D5" i="10"/>
  <c r="E5" i="10"/>
  <c r="D233" i="10"/>
  <c r="E233" i="10"/>
  <c r="D210" i="10"/>
  <c r="E210" i="10"/>
  <c r="E52" i="10"/>
  <c r="D52" i="10"/>
  <c r="E177" i="10"/>
  <c r="D177" i="10"/>
  <c r="D152" i="10"/>
  <c r="E152" i="10"/>
  <c r="E138" i="10"/>
  <c r="D138" i="10"/>
  <c r="E30" i="10"/>
  <c r="D30" i="10"/>
  <c r="E153" i="10"/>
  <c r="D153" i="10"/>
  <c r="D219" i="10"/>
  <c r="E219" i="10"/>
  <c r="D199" i="10"/>
  <c r="E199" i="10"/>
  <c r="E77" i="10"/>
  <c r="D77" i="10"/>
  <c r="E135" i="10"/>
  <c r="D135" i="10"/>
  <c r="D232" i="10"/>
  <c r="E232" i="10"/>
  <c r="E187" i="10"/>
  <c r="D187" i="10"/>
  <c r="E44" i="10"/>
  <c r="D44" i="10"/>
  <c r="D129" i="10"/>
  <c r="E129" i="10"/>
  <c r="E123" i="10"/>
  <c r="D123" i="10"/>
  <c r="E165" i="10"/>
  <c r="D165" i="10"/>
  <c r="E208" i="10"/>
  <c r="D208" i="10"/>
  <c r="E119" i="10"/>
  <c r="D119" i="10"/>
  <c r="E59" i="10"/>
  <c r="D59" i="10"/>
  <c r="D27" i="10"/>
  <c r="E27" i="10"/>
  <c r="E122" i="10"/>
  <c r="D122" i="10"/>
  <c r="D2" i="10"/>
  <c r="E2" i="10"/>
  <c r="D156" i="10"/>
  <c r="E156" i="10"/>
  <c r="D15" i="10"/>
  <c r="E15" i="10"/>
  <c r="E157" i="10"/>
  <c r="D157" i="10"/>
  <c r="E166" i="10"/>
  <c r="D166" i="10"/>
  <c r="E150" i="10"/>
  <c r="D150" i="10"/>
  <c r="E88" i="10"/>
  <c r="D88" i="10"/>
  <c r="D4" i="10"/>
  <c r="E4" i="10"/>
  <c r="E62" i="10"/>
  <c r="D62" i="10"/>
  <c r="E45" i="10"/>
  <c r="D45" i="10"/>
  <c r="E131" i="10"/>
  <c r="D131" i="10"/>
  <c r="E112" i="10"/>
  <c r="D112" i="10"/>
  <c r="D21" i="10"/>
  <c r="E21" i="10"/>
  <c r="E209" i="10"/>
  <c r="D209" i="10"/>
  <c r="E76" i="10"/>
  <c r="D76" i="10"/>
  <c r="D148" i="10"/>
  <c r="E148" i="10"/>
  <c r="E86" i="10"/>
  <c r="D86" i="10"/>
  <c r="E54" i="10"/>
  <c r="D54" i="10"/>
  <c r="E22" i="10"/>
  <c r="D22" i="10"/>
  <c r="E191" i="10"/>
  <c r="D191" i="10"/>
  <c r="E100" i="10"/>
  <c r="D100" i="10"/>
  <c r="E69" i="10"/>
  <c r="D69" i="10"/>
  <c r="E37" i="10"/>
  <c r="D37" i="10"/>
  <c r="D170" i="10"/>
  <c r="E170" i="10"/>
  <c r="D18" i="10"/>
  <c r="E18" i="10"/>
  <c r="D237" i="10"/>
  <c r="E237" i="10"/>
  <c r="D228" i="10"/>
  <c r="E228" i="10"/>
  <c r="E193" i="10"/>
  <c r="D193" i="10"/>
  <c r="D178" i="10"/>
  <c r="E178" i="10"/>
  <c r="E66" i="10"/>
  <c r="D66" i="10"/>
  <c r="E34" i="10"/>
  <c r="D34" i="10"/>
  <c r="D101" i="10"/>
  <c r="E101" i="10"/>
  <c r="D11" i="10"/>
  <c r="E11" i="10"/>
  <c r="E179" i="10"/>
  <c r="D179" i="10"/>
  <c r="E163" i="10"/>
  <c r="D163" i="10"/>
  <c r="E73" i="10"/>
  <c r="D73" i="10"/>
  <c r="E41" i="10"/>
  <c r="D41" i="10"/>
  <c r="D105" i="10"/>
  <c r="E105" i="10"/>
  <c r="D99" i="10"/>
  <c r="E99" i="10"/>
  <c r="E128" i="10"/>
  <c r="D128" i="10"/>
  <c r="E176" i="10"/>
  <c r="D176" i="10"/>
  <c r="D146" i="10"/>
  <c r="E146" i="10"/>
  <c r="E64" i="10"/>
  <c r="D64" i="10"/>
  <c r="D32" i="10"/>
  <c r="E32" i="10"/>
  <c r="D186" i="10"/>
  <c r="E186" i="10"/>
  <c r="D169" i="10"/>
  <c r="E169" i="10"/>
  <c r="E142" i="10"/>
  <c r="D142" i="10"/>
  <c r="E63" i="10"/>
  <c r="D63" i="10"/>
  <c r="D31" i="10"/>
  <c r="E31" i="10"/>
  <c r="E172" i="10"/>
  <c r="D172" i="10"/>
  <c r="E120" i="10"/>
  <c r="D120" i="10"/>
  <c r="E160" i="10"/>
  <c r="D160" i="10"/>
  <c r="D10" i="10"/>
  <c r="E10" i="10"/>
  <c r="E190" i="10"/>
  <c r="D190" i="10"/>
  <c r="E83" i="10"/>
  <c r="D83" i="10"/>
  <c r="D162" i="10"/>
  <c r="E162" i="10"/>
  <c r="D214" i="10"/>
  <c r="E214" i="10"/>
  <c r="D20" i="10"/>
  <c r="E20" i="10"/>
  <c r="E78" i="10"/>
  <c r="D78" i="10"/>
  <c r="E46" i="10"/>
  <c r="D46" i="10"/>
  <c r="E139" i="10"/>
  <c r="D139" i="10"/>
  <c r="E136" i="10"/>
  <c r="D136" i="10"/>
  <c r="D3" i="10"/>
  <c r="E3" i="10"/>
  <c r="E224" i="10"/>
  <c r="D224" i="10"/>
  <c r="D235" i="10"/>
  <c r="E235" i="10"/>
  <c r="E134" i="10"/>
  <c r="D134" i="10"/>
  <c r="E61" i="10"/>
  <c r="D61" i="10"/>
  <c r="E29" i="10"/>
  <c r="D29" i="10"/>
  <c r="E147" i="10"/>
  <c r="D147" i="10"/>
  <c r="E110" i="10"/>
  <c r="D110" i="10"/>
  <c r="D215" i="10"/>
  <c r="E215" i="10"/>
  <c r="E201" i="10"/>
  <c r="D201" i="10"/>
  <c r="E111" i="10"/>
  <c r="D111" i="10"/>
  <c r="E58" i="10"/>
  <c r="D58" i="10"/>
  <c r="E26" i="10"/>
  <c r="D26" i="10"/>
  <c r="E114" i="10"/>
  <c r="D114" i="10"/>
  <c r="E204" i="10"/>
  <c r="D204" i="10"/>
  <c r="E94" i="10"/>
  <c r="D94" i="10"/>
  <c r="E180" i="10"/>
  <c r="D180" i="10"/>
  <c r="E171" i="10"/>
  <c r="D171" i="10"/>
  <c r="E65" i="10"/>
  <c r="D65" i="10"/>
  <c r="E33" i="10"/>
  <c r="D33" i="10"/>
  <c r="E200" i="10"/>
  <c r="D200" i="10"/>
  <c r="D90" i="10"/>
  <c r="E90" i="10"/>
  <c r="D9" i="10"/>
  <c r="E9" i="10"/>
  <c r="D154" i="10"/>
  <c r="E154" i="10"/>
  <c r="D95" i="10"/>
  <c r="E95" i="10"/>
  <c r="E56" i="10"/>
  <c r="D56" i="10"/>
  <c r="E24" i="10"/>
  <c r="D24" i="10"/>
  <c r="E124" i="10"/>
  <c r="D124" i="10"/>
  <c r="D12" i="10"/>
  <c r="E12" i="10"/>
  <c r="E226" i="10"/>
  <c r="D226" i="10"/>
  <c r="D87" i="10"/>
  <c r="E87" i="10"/>
  <c r="E55" i="10"/>
  <c r="D55" i="10"/>
  <c r="D23" i="10"/>
  <c r="E23" i="10"/>
  <c r="E205" i="10"/>
  <c r="D205" i="10"/>
  <c r="D93" i="10"/>
  <c r="E93" i="10"/>
  <c r="E36" i="10"/>
  <c r="D36" i="10"/>
  <c r="E51" i="10"/>
  <c r="D51" i="10"/>
  <c r="E108" i="10"/>
  <c r="D108" i="10"/>
  <c r="E223" i="10"/>
  <c r="D223" i="10"/>
  <c r="E127" i="10"/>
  <c r="D127" i="10"/>
  <c r="D196" i="10"/>
  <c r="E196" i="10"/>
  <c r="D185" i="10"/>
  <c r="E185" i="10"/>
  <c r="E75" i="10"/>
  <c r="D75" i="10"/>
  <c r="E43" i="10"/>
  <c r="D43" i="10"/>
  <c r="D121" i="10"/>
  <c r="E121" i="10"/>
  <c r="D115" i="10"/>
  <c r="E115" i="10"/>
  <c r="E155" i="10"/>
  <c r="D155" i="10"/>
  <c r="E229" i="10"/>
  <c r="D229" i="10"/>
  <c r="D17" i="10"/>
  <c r="E17" i="10"/>
  <c r="D230" i="10"/>
  <c r="E230" i="10"/>
  <c r="D212" i="10"/>
  <c r="E212" i="10"/>
  <c r="E98" i="10"/>
  <c r="D98" i="10"/>
  <c r="E151" i="10"/>
  <c r="D151" i="10"/>
  <c r="E137" i="10"/>
  <c r="D137" i="10"/>
  <c r="E188" i="10"/>
  <c r="D188" i="10"/>
  <c r="E203" i="10"/>
  <c r="D203" i="10"/>
  <c r="E222" i="10"/>
  <c r="D222" i="10"/>
  <c r="D217" i="10"/>
  <c r="E217" i="10"/>
  <c r="E60" i="10"/>
  <c r="D60" i="10"/>
  <c r="D28" i="10"/>
  <c r="E28" i="10"/>
  <c r="E130" i="10"/>
  <c r="D130" i="10"/>
  <c r="E161" i="10"/>
  <c r="D161" i="10"/>
  <c r="D158" i="10"/>
  <c r="E158" i="10"/>
  <c r="E118" i="10"/>
  <c r="D118" i="10"/>
  <c r="E70" i="10"/>
  <c r="D70" i="10"/>
  <c r="E38" i="10"/>
  <c r="D38" i="10"/>
  <c r="D236" i="10"/>
  <c r="E236" i="10"/>
  <c r="E116" i="10"/>
  <c r="D116" i="10"/>
  <c r="D8" i="10"/>
  <c r="E8" i="10"/>
  <c r="E206" i="10"/>
  <c r="D206" i="10"/>
  <c r="E145" i="10"/>
  <c r="D145" i="10"/>
  <c r="E85" i="10"/>
  <c r="D85" i="10"/>
  <c r="E53" i="10"/>
  <c r="D53" i="10"/>
  <c r="E207" i="10"/>
  <c r="D207" i="10"/>
  <c r="D184" i="10"/>
  <c r="E184" i="10"/>
  <c r="D202" i="10"/>
  <c r="E202" i="10"/>
  <c r="D6" i="10"/>
  <c r="E6" i="10"/>
  <c r="E216" i="10"/>
  <c r="D216" i="10"/>
  <c r="D182" i="10"/>
  <c r="E182" i="10"/>
  <c r="E133" i="10"/>
  <c r="D133" i="10"/>
  <c r="E82" i="10"/>
  <c r="D82" i="10"/>
  <c r="E50" i="10"/>
  <c r="D50" i="10"/>
  <c r="D181" i="10"/>
  <c r="E181" i="10"/>
  <c r="E189" i="10"/>
  <c r="D189" i="10"/>
  <c r="E92" i="10"/>
  <c r="D92" i="10"/>
  <c r="D194" i="10"/>
  <c r="E194" i="10"/>
  <c r="E103" i="10"/>
  <c r="D103" i="10"/>
  <c r="E57" i="10"/>
  <c r="D57" i="10"/>
  <c r="E25" i="10"/>
  <c r="D25" i="10"/>
  <c r="E106" i="10"/>
  <c r="D106" i="10"/>
  <c r="D183" i="10"/>
  <c r="E183" i="10"/>
  <c r="D117" i="10"/>
  <c r="E117" i="10"/>
  <c r="E80" i="10"/>
  <c r="D80" i="10"/>
  <c r="E48" i="10"/>
  <c r="D48" i="10"/>
  <c r="D164" i="10"/>
  <c r="E164" i="10"/>
  <c r="E144" i="10"/>
  <c r="D144" i="10"/>
  <c r="E104" i="10"/>
  <c r="D104" i="10"/>
  <c r="E227" i="10"/>
  <c r="D227" i="10"/>
  <c r="D109" i="10"/>
  <c r="E109" i="10"/>
  <c r="E79" i="10"/>
  <c r="D79" i="10"/>
  <c r="E47" i="10"/>
  <c r="D47" i="10"/>
  <c r="E143" i="10"/>
  <c r="D143" i="10"/>
  <c r="E140" i="10"/>
  <c r="D140" i="10"/>
  <c r="E102" i="10"/>
  <c r="D102" i="10"/>
  <c r="D14" i="10"/>
  <c r="E1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<sst xmlns="http://schemas.openxmlformats.org/spreadsheetml/2006/main" count="7299" uniqueCount="1180">
  <si>
    <t>Decision_ID</t>
  </si>
  <si>
    <t>Fecha_Decision</t>
  </si>
  <si>
    <t>Hora_Publicacion</t>
  </si>
  <si>
    <t>Tipo_Reunion</t>
  </si>
  <si>
    <t>Regimen_Operativo</t>
  </si>
  <si>
    <t>Tasa_Anterior</t>
  </si>
  <si>
    <t>Cambio_pb</t>
  </si>
  <si>
    <t>Tasa_Nueva</t>
  </si>
  <si>
    <t>Direccion_Decision</t>
  </si>
  <si>
    <t>Decision_Unanime</t>
  </si>
  <si>
    <t>Numero_Disensos</t>
  </si>
  <si>
    <t>Comunicado_URL</t>
  </si>
  <si>
    <t>Minuta_URL</t>
  </si>
  <si>
    <t>Observaciones</t>
  </si>
  <si>
    <t>D20000118</t>
  </si>
  <si>
    <t>Ordinaria</t>
  </si>
  <si>
    <t>Objetivo de saldos/condiciones monetarias</t>
  </si>
  <si>
    <t>No disponible</t>
  </si>
  <si>
    <t>https://www.banxico.org.mx/publicaciones-y-prensa/anuncios-de-las-decisiones-de-politica-monetaria/{13454A37-A216-337E-9BEE-60EC43BDB91D}.pdf</t>
  </si>
  <si>
    <t>Régimen: Objetivo de saldos/condiciones monetarias.</t>
  </si>
  <si>
    <t>D20000516</t>
  </si>
  <si>
    <t>https://www.banxico.org.mx/publicaciones-y-prensa/anuncios-de-las-decisiones-de-politica-monetaria/{2A7425E0-0B60-E7EC-E099-5384C9A7A018}.pdf</t>
  </si>
  <si>
    <t>D20000626</t>
  </si>
  <si>
    <t>https://www.banxico.org.mx/publicaciones-y-prensa/anuncios-de-las-decisiones-de-politica-monetaria/{71B5EA84-D683-03C6-D004-D4E1C4BB9236}.pdf</t>
  </si>
  <si>
    <t>D20000731</t>
  </si>
  <si>
    <t>https://www.banxico.org.mx/publicaciones-y-prensa/anuncios-de-las-decisiones-de-politica-monetaria/{4187E97F-C8B7-1EC6-5FCA-8E309EB909FA}.pdf</t>
  </si>
  <si>
    <t>D20001017</t>
  </si>
  <si>
    <t>https://www.banxico.org.mx/publicaciones-y-prensa/anuncios-de-las-decisiones-de-politica-monetaria/{473E1E72-9133-9FCE-DE83-3D82D61B22FD}.pdf</t>
  </si>
  <si>
    <t>D20001110</t>
  </si>
  <si>
    <t>https://www.banxico.org.mx/publicaciones-y-prensa/anuncios-de-las-decisiones-de-politica-monetaria/{C416157F-C815-5F7E-2C50-E22173121854}.pdf</t>
  </si>
  <si>
    <t>D20010112</t>
  </si>
  <si>
    <t>https://www.banxico.org.mx/publicaciones-y-prensa/anuncios-de-las-decisiones-de-politica-monetaria/{33EAA3B9-4E3C-E0E0-D92C-CA453FA05B8A}.pdf</t>
  </si>
  <si>
    <t>D20010518</t>
  </si>
  <si>
    <t>https://www.banxico.org.mx/publicaciones-y-prensa/anuncios-de-las-decisiones-de-politica-monetaria/{A6967738-A7E8-F18B-82F7-FDE8339B823F}.pdf</t>
  </si>
  <si>
    <t>D20010731</t>
  </si>
  <si>
    <t>https://www.banxico.org.mx/publicaciones-y-prensa/anuncios-de-las-decisiones-de-politica-monetaria/{8AE342BE-6BE0-4B37-37DA-421AFAC33517}.pdf</t>
  </si>
  <si>
    <t>D20020208</t>
  </si>
  <si>
    <t>https://www.banxico.org.mx/publicaciones-y-prensa/anuncios-de-las-decisiones-de-politica-monetaria/{E69CD9F3-41CC-5A19-23D1-0FA9917C78AE}.pdf</t>
  </si>
  <si>
    <t>D20020412</t>
  </si>
  <si>
    <t>https://www.banxico.org.mx/publicaciones-y-prensa/anuncios-de-las-decisiones-de-politica-monetaria/{94E7DC25-3B3D-9AE5-756A-7FB3952F88E0}.pdf</t>
  </si>
  <si>
    <t>D20020923</t>
  </si>
  <si>
    <t>https://www.banxico.org.mx/publicaciones-y-prensa/anuncios-de-las-decisiones-de-politica-monetaria/{D9325B84-9524-BF31-DCBC-74F77F984DFD}.pdf</t>
  </si>
  <si>
    <t>D20021206</t>
  </si>
  <si>
    <t>https://www.banxico.org.mx/publicaciones-y-prensa/anuncios-de-las-decisiones-de-politica-monetaria/{15021384-799C-1347-9592-E7DD83668404}.pdf</t>
  </si>
  <si>
    <t>D20030110</t>
  </si>
  <si>
    <t>https://www.banxico.org.mx/publicaciones-y-prensa/anuncios-de-las-decisiones-de-politica-monetaria/{D0207EEA-BC77-B4A8-1C46-ED4DF7881EB1}.pdf</t>
  </si>
  <si>
    <t>D20030124</t>
  </si>
  <si>
    <t>Sin cambio</t>
  </si>
  <si>
    <t>https://www.banxico.org.mx/publicaciones-y-prensa/anuncios-de-las-decisiones-de-politica-monetaria/{0F16A072-22DA-49AB-DB42-911DB5C73606}.pdf</t>
  </si>
  <si>
    <t>D20030207</t>
  </si>
  <si>
    <t>https://www.banxico.org.mx/publicaciones-y-prensa/anuncios-de-las-decisiones-de-politica-monetaria/{E073CD3D-5DCE-7CFF-5329-235F5BC39AF8}.pdf</t>
  </si>
  <si>
    <t>D20030221</t>
  </si>
  <si>
    <t>https://www.banxico.org.mx/publicaciones-y-prensa/anuncios-de-las-decisiones-de-politica-monetaria/{764BD9A2-41E0-2672-F90A-9F06F60FA441}.pdf</t>
  </si>
  <si>
    <t>D20030328</t>
  </si>
  <si>
    <t>https://www.banxico.org.mx/publicaciones-y-prensa/anuncios-de-las-decisiones-de-politica-monetaria/{9D48A960-F722-427B-F851-9C3468F98E70}.pdf</t>
  </si>
  <si>
    <t>D20030425</t>
  </si>
  <si>
    <t>https://www.banxico.org.mx/publicaciones-y-prensa/anuncios-de-las-decisiones-de-politica-monetaria/{F852BA83-BE9B-5D3B-6FBB-72B4C3A657E8}.pdf</t>
  </si>
  <si>
    <t>D20030523</t>
  </si>
  <si>
    <t>https://www.banxico.org.mx/publicaciones-y-prensa/anuncios-de-las-decisiones-de-politica-monetaria/{75FAED4F-1FD7-B184-68DA-459DB0D2C9D8}.pdf</t>
  </si>
  <si>
    <t>D20030627</t>
  </si>
  <si>
    <t>https://www.banxico.org.mx/publicaciones-y-prensa/anuncios-de-las-decisiones-de-politica-monetaria/{EC4DDDDD-1C8D-B612-4BA6-C7063526FB16}.pdf</t>
  </si>
  <si>
    <t>D20030725</t>
  </si>
  <si>
    <t>https://www.banxico.org.mx/publicaciones-y-prensa/anuncios-de-las-decisiones-de-politica-monetaria/{97ACA940-E4CD-D46F-BAD1-57616BDD33A3}.pdf</t>
  </si>
  <si>
    <t>D20030822</t>
  </si>
  <si>
    <t>https://www.banxico.org.mx/publicaciones-y-prensa/anuncios-de-las-decisiones-de-politica-monetaria/{1A0FC36A-5B93-D407-8F37-81F092E441AB}.pdf</t>
  </si>
  <si>
    <t>D20030926</t>
  </si>
  <si>
    <t>https://www.banxico.org.mx/publicaciones-y-prensa/anuncios-de-las-decisiones-de-politica-monetaria/{F749E14A-A807-75EF-7244-FE219AB900D7}.pdf</t>
  </si>
  <si>
    <t>D20031024</t>
  </si>
  <si>
    <t>https://www.banxico.org.mx/publicaciones-y-prensa/anuncios-de-las-decisiones-de-politica-monetaria/{D58BEC23-B731-5A44-21AC-9EE85D0042B9}.pdf</t>
  </si>
  <si>
    <t>D20031121</t>
  </si>
  <si>
    <t>https://www.banxico.org.mx/publicaciones-y-prensa/anuncios-de-las-decisiones-de-politica-monetaria/{2D614537-FF48-23DC-6C86-37C44731CBCF}.pdf</t>
  </si>
  <si>
    <t>D20031211</t>
  </si>
  <si>
    <t>https://www.banxico.org.mx/publicaciones-y-prensa/anuncios-de-las-decisiones-de-politica-monetaria/{3C1A312D-DC4E-E95B-22CB-625EE103A910}.pdf</t>
  </si>
  <si>
    <t>D20040123</t>
  </si>
  <si>
    <t>https://www.banxico.org.mx/publicaciones-y-prensa/anuncios-de-las-decisiones-de-politica-monetaria/{5BC53D5D-A2C9-4EC5-3F41-43BFA99D1EE6}.pdf</t>
  </si>
  <si>
    <t>D20040220</t>
  </si>
  <si>
    <t>https://www.banxico.org.mx/publicaciones-y-prensa/anuncios-de-las-decisiones-de-politica-monetaria/{3C0303EB-EE8A-E272-9FE6-5325D6A72A27}.pdf</t>
  </si>
  <si>
    <t>D20040312</t>
  </si>
  <si>
    <t>https://www.banxico.org.mx/publicaciones-y-prensa/anuncios-de-las-decisiones-de-politica-monetaria/{2CD1A3C7-9E9C-C895-4962-64F7B460D4F8}.pdf</t>
  </si>
  <si>
    <t>D20040326</t>
  </si>
  <si>
    <t>https://www.banxico.org.mx/publicaciones-y-prensa/anuncios-de-las-decisiones-de-politica-monetaria/{E6066F4E-467D-2EC7-CE49-2D3AF7B50008}.pdf</t>
  </si>
  <si>
    <t>D20040423</t>
  </si>
  <si>
    <t>https://www.banxico.org.mx/publicaciones-y-prensa/anuncios-de-las-decisiones-de-politica-monetaria/{DB2FE114-0DC7-BA33-F53D-3B8F0CF69A43}.pdf</t>
  </si>
  <si>
    <t>D20040427</t>
  </si>
  <si>
    <t>https://www.banxico.org.mx/publicaciones-y-prensa/anuncios-de-las-decisiones-de-politica-monetaria/{8EAFAF2F-523B-BC62-4A6B-DD992AFB09D8}.pdf</t>
  </si>
  <si>
    <t>D20040528</t>
  </si>
  <si>
    <t>https://www.banxico.org.mx/publicaciones-y-prensa/anuncios-de-las-decisiones-de-politica-monetaria/{7FD27369-3C10-DD25-AAB6-412265DA768E}.pdf</t>
  </si>
  <si>
    <t>D20040625</t>
  </si>
  <si>
    <t>https://www.banxico.org.mx/publicaciones-y-prensa/anuncios-de-las-decisiones-de-politica-monetaria/{788E18E1-C937-4561-A47E-AF46DABF0F2E}.pdf</t>
  </si>
  <si>
    <t>D20040723</t>
  </si>
  <si>
    <t>https://www.banxico.org.mx/publicaciones-y-prensa/anuncios-de-las-decisiones-de-politica-monetaria/{710117A8-683E-D6CD-BB34-A94007F425A7}.pdf</t>
  </si>
  <si>
    <t>D20040827</t>
  </si>
  <si>
    <t>https://www.banxico.org.mx/publicaciones-y-prensa/anuncios-de-las-decisiones-de-politica-monetaria/{97B669EB-A457-C613-DF07-6FA7F795276C}.pdf</t>
  </si>
  <si>
    <t>D20040924</t>
  </si>
  <si>
    <t>https://www.banxico.org.mx/publicaciones-y-prensa/anuncios-de-las-decisiones-de-politica-monetaria/{4F1865AE-E558-75F0-D5D2-87ECA75DBF9C}.pdf</t>
  </si>
  <si>
    <t>D20041022</t>
  </si>
  <si>
    <t>https://www.banxico.org.mx/publicaciones-y-prensa/anuncios-de-las-decisiones-de-politica-monetaria/{032CBD52-D087-22AF-3711-818376BE3FAD}.pdf</t>
  </si>
  <si>
    <t>D20041126</t>
  </si>
  <si>
    <t>https://www.banxico.org.mx/publicaciones-y-prensa/anuncios-de-las-decisiones-de-politica-monetaria/{CA2823E4-6AFA-B5CD-AC35-466BEA5C593F}.pdf</t>
  </si>
  <si>
    <t>D20041210</t>
  </si>
  <si>
    <t>https://www.banxico.org.mx/publicaciones-y-prensa/anuncios-de-las-decisiones-de-politica-monetaria/{19183E45-9524-97E8-CFB3-E2B4A4578BC5}.pdf</t>
  </si>
  <si>
    <t>D20050128</t>
  </si>
  <si>
    <t>https://www.banxico.org.mx/publicaciones-y-prensa/anuncios-de-las-decisiones-de-politica-monetaria/{8EB6A80A-2A26-3920-B730-E05F946ECE29}.pdf</t>
  </si>
  <si>
    <t>D20050225</t>
  </si>
  <si>
    <t>https://www.banxico.org.mx/publicaciones-y-prensa/anuncios-de-las-decisiones-de-politica-monetaria/{0275A6FB-144E-3F91-6DC2-F762EF22D654}.pdf</t>
  </si>
  <si>
    <t>D20050323</t>
  </si>
  <si>
    <t>https://www.banxico.org.mx/publicaciones-y-prensa/anuncios-de-las-decisiones-de-politica-monetaria/{686FBF05-3E33-E5A9-3851-2A7B4D9C477F}.pdf</t>
  </si>
  <si>
    <t>D20050422</t>
  </si>
  <si>
    <t>https://www.banxico.org.mx/publicaciones-y-prensa/anuncios-de-las-decisiones-de-politica-monetaria/{264FE661-2553-291D-DB5D-9575CBDFCBCC}.pdf</t>
  </si>
  <si>
    <t>D20050527</t>
  </si>
  <si>
    <t>https://www.banxico.org.mx/publicaciones-y-prensa/anuncios-de-las-decisiones-de-politica-monetaria/{2B402DE3-1C78-0D8D-3128-965FB28B0DE5}.pdf</t>
  </si>
  <si>
    <t>D20050624</t>
  </si>
  <si>
    <t>https://www.banxico.org.mx/publicaciones-y-prensa/anuncios-de-las-decisiones-de-politica-monetaria/{41C482DF-BBFA-3A8B-2BB9-813D7B0DEDA8}.pdf</t>
  </si>
  <si>
    <t>D20050722</t>
  </si>
  <si>
    <t>https://www.banxico.org.mx/publicaciones-y-prensa/anuncios-de-las-decisiones-de-politica-monetaria/{A7405207-495C-B1FD-1609-2FFFEE3C4009}.pdf</t>
  </si>
  <si>
    <t>D20050826</t>
  </si>
  <si>
    <t>https://www.banxico.org.mx/publicaciones-y-prensa/anuncios-de-las-decisiones-de-politica-monetaria/{ECCC48C3-97A9-F049-4260-C4BBDB9DF8BF}.pdf</t>
  </si>
  <si>
    <t>D20050923</t>
  </si>
  <si>
    <t>https://www.banxico.org.mx/publicaciones-y-prensa/anuncios-de-las-decisiones-de-politica-monetaria/{44B28597-E9AC-95E6-F1A2-F41D3591F677}.pdf</t>
  </si>
  <si>
    <t>D20051028</t>
  </si>
  <si>
    <t>https://www.banxico.org.mx/publicaciones-y-prensa/anuncios-de-las-decisiones-de-politica-monetaria/{56832E35-9AA8-147A-91DE-49B114C0E4A2}.pdf</t>
  </si>
  <si>
    <t>D20051125</t>
  </si>
  <si>
    <t>https://www.banxico.org.mx/publicaciones-y-prensa/anuncios-de-las-decisiones-de-politica-monetaria/{06190477-ADD0-F6DC-2293-BC7FD83BA88C}.pdf</t>
  </si>
  <si>
    <t>D20051209</t>
  </si>
  <si>
    <t>https://www.banxico.org.mx/publicaciones-y-prensa/anuncios-de-las-decisiones-de-politica-monetaria/{556D068E-FDC9-4B51-C276-CBBD03780FBA}.pdf</t>
  </si>
  <si>
    <t>D20060127</t>
  </si>
  <si>
    <t>https://www.banxico.org.mx/publicaciones-y-prensa/anuncios-de-las-decisiones-de-politica-monetaria/{25DE104C-4312-2449-0864-74304C36964B}.pdf</t>
  </si>
  <si>
    <t>D20060224</t>
  </si>
  <si>
    <t>https://www.banxico.org.mx/publicaciones-y-prensa/anuncios-de-las-decisiones-de-politica-monetaria/{92E572B8-A0E1-629C-515B-FD0CBA60DAC3}.pdf</t>
  </si>
  <si>
    <t>D20060324</t>
  </si>
  <si>
    <t>https://www.banxico.org.mx/publicaciones-y-prensa/anuncios-de-las-decisiones-de-politica-monetaria/{A8B32BE4-FD85-777E-5C3C-A71A08145D70}.pdf</t>
  </si>
  <si>
    <t>D20060421</t>
  </si>
  <si>
    <t>https://www.banxico.org.mx/publicaciones-y-prensa/anuncios-de-las-decisiones-de-politica-monetaria/{A7780173-C7CC-6C47-B97D-A6285935DEEA}.pdf</t>
  </si>
  <si>
    <t>D20060526</t>
  </si>
  <si>
    <t>https://www.banxico.org.mx/publicaciones-y-prensa/anuncios-de-las-decisiones-de-politica-monetaria/{0C16ECDD-AE4A-7EAE-A57A-68B8823525B0}.pdf</t>
  </si>
  <si>
    <t>D20060623</t>
  </si>
  <si>
    <t>https://www.banxico.org.mx/publicaciones-y-prensa/anuncios-de-las-decisiones-de-politica-monetaria/{0145735A-0B5B-A399-15AD-B9079C7C6B3D}.pdf</t>
  </si>
  <si>
    <t>D20060728</t>
  </si>
  <si>
    <t>https://www.banxico.org.mx/publicaciones-y-prensa/anuncios-de-las-decisiones-de-politica-monetaria/{D36F56FD-27A8-CB9E-B26E-FD9424A4FF2A}.pdf</t>
  </si>
  <si>
    <t>D20060825</t>
  </si>
  <si>
    <t>https://www.banxico.org.mx/publicaciones-y-prensa/anuncios-de-las-decisiones-de-politica-monetaria/{52B23241-315D-5E75-496B-86FEBDAD787F}.pdf</t>
  </si>
  <si>
    <t>D20060922</t>
  </si>
  <si>
    <t>https://www.banxico.org.mx/publicaciones-y-prensa/anuncios-de-las-decisiones-de-politica-monetaria/{2C3DEFCD-B3C5-783C-4A65-1ECD055F54EA}.pdf</t>
  </si>
  <si>
    <t>D20061027</t>
  </si>
  <si>
    <t>https://www.banxico.org.mx/publicaciones-y-prensa/anuncios-de-las-decisiones-de-politica-monetaria/{F9A099EF-3C33-69BE-8828-53201318DFAE}.pdf</t>
  </si>
  <si>
    <t>D20061124</t>
  </si>
  <si>
    <t>https://www.banxico.org.mx/publicaciones-y-prensa/anuncios-de-las-decisiones-de-politica-monetaria/{7EC409CB-10B0-332C-37D4-665B7C31C710}.pdf</t>
  </si>
  <si>
    <t>D20061208</t>
  </si>
  <si>
    <t>https://www.banxico.org.mx/publicaciones-y-prensa/anuncios-de-las-decisiones-de-politica-monetaria/{F281B237-8DE4-056B-17D1-17BCECA4A0E3}.pdf</t>
  </si>
  <si>
    <t>D20070126</t>
  </si>
  <si>
    <t>https://www.banxico.org.mx/publicaciones-y-prensa/anuncios-de-las-decisiones-de-politica-monetaria/{651AB1EF-2405-B1AC-3D66-4F7E15F04B49}.pdf</t>
  </si>
  <si>
    <t>D20070223</t>
  </si>
  <si>
    <t>https://www.banxico.org.mx/publicaciones-y-prensa/anuncios-de-las-decisiones-de-politica-monetaria/{357E9DA9-CCCD-F5EC-33F4-E2FCA42A7A91}.pdf</t>
  </si>
  <si>
    <t>D20070323</t>
  </si>
  <si>
    <t>https://www.banxico.org.mx/publicaciones-y-prensa/anuncios-de-las-decisiones-de-politica-monetaria/{6AEF81DE-5078-C382-7B0D-D9A3B3BDCDD2}.pdf</t>
  </si>
  <si>
    <t>D20070427</t>
  </si>
  <si>
    <t>Sube</t>
  </si>
  <si>
    <t>https://www.banxico.org.mx/publicaciones-y-prensa/anuncios-de-las-decisiones-de-politica-monetaria/{94A7FE40-B78E-1501-958E-24BA90E5F801}.pdf</t>
  </si>
  <si>
    <t>D20070525</t>
  </si>
  <si>
    <t>https://www.banxico.org.mx/publicaciones-y-prensa/anuncios-de-las-decisiones-de-politica-monetaria/{EF8958C1-35C7-2065-DF59-2F8399F32E0A}.pdf</t>
  </si>
  <si>
    <t>D20070622</t>
  </si>
  <si>
    <t>https://www.banxico.org.mx/publicaciones-y-prensa/anuncios-de-las-decisiones-de-politica-monetaria/{FB066B9C-EE8E-65B8-4578-55410B67834F}.pdf</t>
  </si>
  <si>
    <t>D20070727</t>
  </si>
  <si>
    <t>https://www.banxico.org.mx/publicaciones-y-prensa/anuncios-de-las-decisiones-de-politica-monetaria/{4DA7B068-5383-3340-A8F9-761EDEC06668}.pdf</t>
  </si>
  <si>
    <t>D20070824</t>
  </si>
  <si>
    <t>https://www.banxico.org.mx/publicaciones-y-prensa/anuncios-de-las-decisiones-de-politica-monetaria/{00A15548-4B0B-B0D1-C7A2-68A26DAEA469}.pdf</t>
  </si>
  <si>
    <t>D20070921</t>
  </si>
  <si>
    <t>https://www.banxico.org.mx/publicaciones-y-prensa/anuncios-de-las-decisiones-de-politica-monetaria/{1DDB2A01-D44B-BE9A-ED90-572B342A245B}.pdf</t>
  </si>
  <si>
    <t>D20071026</t>
  </si>
  <si>
    <t>https://www.banxico.org.mx/publicaciones-y-prensa/anuncios-de-las-decisiones-de-politica-monetaria/{DAE3A519-16C4-7E9C-3E2E-9098A7770F00}.pdf</t>
  </si>
  <si>
    <t>D20071123</t>
  </si>
  <si>
    <t>https://www.banxico.org.mx/publicaciones-y-prensa/anuncios-de-las-decisiones-de-politica-monetaria/{A80EEB23-D386-BF93-72BD-F24A9F207969}.pdf</t>
  </si>
  <si>
    <t>D20071207</t>
  </si>
  <si>
    <t>https://www.banxico.org.mx/publicaciones-y-prensa/anuncios-de-las-decisiones-de-politica-monetaria/{9F8A1CDB-495F-4F33-BACF-E5BB45851FB7}.pdf</t>
  </si>
  <si>
    <t>D20080118</t>
  </si>
  <si>
    <t>https://www.banxico.org.mx/publicaciones-y-prensa/anuncios-de-las-decisiones-de-politica-monetaria/{DB31F662-BA75-7F48-6B31-C7EEE8AAF9C0}.pdf</t>
  </si>
  <si>
    <t>D20080215</t>
  </si>
  <si>
    <t>Tasa objetivo</t>
  </si>
  <si>
    <t>https://www.banxico.org.mx/publicaciones-y-prensa/anuncios-de-las-decisiones-de-politica-monetaria/{21A25F9E-4186-7A2E-3EEB-8D279E8D716F}.pdf</t>
  </si>
  <si>
    <t>Régimen: Tasa objetivo.</t>
  </si>
  <si>
    <t>D20080314</t>
  </si>
  <si>
    <t>https://www.banxico.org.mx/publicaciones-y-prensa/anuncios-de-las-decisiones-de-politica-monetaria/{1AFBBDF2-F9BD-7972-B7EC-A106692521BA}.pdf</t>
  </si>
  <si>
    <t>D20080418</t>
  </si>
  <si>
    <t>https://www.banxico.org.mx/publicaciones-y-prensa/anuncios-de-las-decisiones-de-politica-monetaria/{4E43A56F-E21C-DA8D-E793-1FB347044B17}.pdf</t>
  </si>
  <si>
    <t>D20080516</t>
  </si>
  <si>
    <t>https://www.banxico.org.mx/publicaciones-y-prensa/anuncios-de-las-decisiones-de-politica-monetaria/{E4D0C362-251B-316B-68C8-C4893FD53FB3}.pdf</t>
  </si>
  <si>
    <t>D20080620</t>
  </si>
  <si>
    <t>https://www.banxico.org.mx/publicaciones-y-prensa/anuncios-de-las-decisiones-de-politica-monetaria/{64384358-74A6-A9C2-425F-97C245F5BC2F}.pdf</t>
  </si>
  <si>
    <t>D20080718</t>
  </si>
  <si>
    <t>https://www.banxico.org.mx/publicaciones-y-prensa/anuncios-de-las-decisiones-de-politica-monetaria/{ACFA5F98-5C19-0495-B708-59BB641FA0DC}.pdf</t>
  </si>
  <si>
    <t>D20080815</t>
  </si>
  <si>
    <t>https://www.banxico.org.mx/publicaciones-y-prensa/anuncios-de-las-decisiones-de-politica-monetaria/{E8B861B4-C2F2-D81C-ED0E-E49221239CE6}.pdf</t>
  </si>
  <si>
    <t>D20080919</t>
  </si>
  <si>
    <t>https://www.banxico.org.mx/publicaciones-y-prensa/anuncios-de-las-decisiones-de-politica-monetaria/{A90F3265-B6F7-6A96-394A-02F5B9F7B51F}.pdf</t>
  </si>
  <si>
    <t>D20081017</t>
  </si>
  <si>
    <t>https://www.banxico.org.mx/publicaciones-y-prensa/anuncios-de-las-decisiones-de-politica-monetaria/{CBB9D6B6-BF78-2774-184A-A35F5A1BC5D7}.pdf</t>
  </si>
  <si>
    <t>D20081128</t>
  </si>
  <si>
    <t>https://www.banxico.org.mx/publicaciones-y-prensa/anuncios-de-las-decisiones-de-politica-monetaria/{F30EAF7B-9DBA-7D78-0DA0-BFAA53A55A9C}.pdf</t>
  </si>
  <si>
    <t>D20090116</t>
  </si>
  <si>
    <t>Baja</t>
  </si>
  <si>
    <t>https://www.banxico.org.mx/publicaciones-y-prensa/anuncios-de-las-decisiones-de-politica-monetaria/{079B1F73-037A-7608-26DE-65FAC0AA66A2}.pdf</t>
  </si>
  <si>
    <t>D20090220</t>
  </si>
  <si>
    <t>https://www.banxico.org.mx/publicaciones-y-prensa/anuncios-de-las-decisiones-de-politica-monetaria/{70C0CD1E-4ECF-59BA-DA8A-AD6ACA36F2A4}.pdf</t>
  </si>
  <si>
    <t>D20090320</t>
  </si>
  <si>
    <t>https://www.banxico.org.mx/publicaciones-y-prensa/anuncios-de-las-decisiones-de-politica-monetaria/{B25B41A7-9CAB-3774-F195-875BB65458D9}.pdf</t>
  </si>
  <si>
    <t>D20090417</t>
  </si>
  <si>
    <t>https://www.banxico.org.mx/publicaciones-y-prensa/anuncios-de-las-decisiones-de-politica-monetaria/{92F70450-2B0B-6A25-C828-4CD84E66B766}.pdf</t>
  </si>
  <si>
    <t>D20090515</t>
  </si>
  <si>
    <t>https://www.banxico.org.mx/publicaciones-y-prensa/anuncios-de-las-decisiones-de-politica-monetaria/{799A6928-D4C4-D78D-8D7A-BD3D80573BFA}.pdf</t>
  </si>
  <si>
    <t>D20090619</t>
  </si>
  <si>
    <t>https://www.banxico.org.mx/publicaciones-y-prensa/anuncios-de-las-decisiones-de-politica-monetaria/{3FB45FBD-3A37-9AF4-54E1-51E54898DDE4}.pdf</t>
  </si>
  <si>
    <t>D20090717</t>
  </si>
  <si>
    <t>https://www.banxico.org.mx/publicaciones-y-prensa/anuncios-de-las-decisiones-de-politica-monetaria/{F85B4FDD-16D9-2952-5376-56AF0051155C}.pdf</t>
  </si>
  <si>
    <t>D20090821</t>
  </si>
  <si>
    <t>https://www.banxico.org.mx/publicaciones-y-prensa/anuncios-de-las-decisiones-de-politica-monetaria/{D6991B75-A686-3A8D-EE4F-115D7A6714C2}.pdf</t>
  </si>
  <si>
    <t>D20090918</t>
  </si>
  <si>
    <t>https://www.banxico.org.mx/publicaciones-y-prensa/anuncios-de-las-decisiones-de-politica-monetaria/{31E56B4B-90E0-CE02-B8C9-898BFC6E0F11}.pdf</t>
  </si>
  <si>
    <t>D20091016</t>
  </si>
  <si>
    <t>https://www.banxico.org.mx/publicaciones-y-prensa/anuncios-de-las-decisiones-de-politica-monetaria/{9E24E85A-103F-A4D9-B0E3-F3D35B5D151B}.pdf</t>
  </si>
  <si>
    <t>D20091127</t>
  </si>
  <si>
    <t>https://www.banxico.org.mx/publicaciones-y-prensa/anuncios-de-las-decisiones-de-politica-monetaria/{87359AB0-44E9-A128-BC58-B83BAA32CE60}.pdf</t>
  </si>
  <si>
    <t>D20100115</t>
  </si>
  <si>
    <t>https://www.banxico.org.mx/publicaciones-y-prensa/anuncios-de-las-decisiones-de-politica-monetaria/{253738A7-B4D5-E6EC-21A4-426902907385}.pdf</t>
  </si>
  <si>
    <t>D20100219</t>
  </si>
  <si>
    <t>https://www.banxico.org.mx/publicaciones-y-prensa/anuncios-de-las-decisiones-de-politica-monetaria/{4333CB58-571D-8587-73FC-6B1FE98F845B}.pdf</t>
  </si>
  <si>
    <t>D20100319</t>
  </si>
  <si>
    <t>https://www.banxico.org.mx/publicaciones-y-prensa/anuncios-de-las-decisiones-de-politica-monetaria/{18F5115A-9EBE-3E47-DB74-C042BD6BC2E5}.pdf</t>
  </si>
  <si>
    <t>D20100416</t>
  </si>
  <si>
    <t>https://www.banxico.org.mx/publicaciones-y-prensa/anuncios-de-las-decisiones-de-politica-monetaria/{3A68189A-904F-C582-A6D1-373BBCABE67F}.pdf</t>
  </si>
  <si>
    <t>D20100521</t>
  </si>
  <si>
    <t>https://www.banxico.org.mx/publicaciones-y-prensa/anuncios-de-las-decisiones-de-politica-monetaria/{A35C0AF8-0A50-7603-B142-77B008A7E5DD}.pdf</t>
  </si>
  <si>
    <t>D20100618</t>
  </si>
  <si>
    <t>https://www.banxico.org.mx/publicaciones-y-prensa/anuncios-de-las-decisiones-de-politica-monetaria/{CC8E689F-2C40-6FB0-3275-CADDEF805465}.pdf</t>
  </si>
  <si>
    <t>D20100716</t>
  </si>
  <si>
    <t>https://www.banxico.org.mx/publicaciones-y-prensa/anuncios-de-las-decisiones-de-politica-monetaria/{37DAB34C-86E9-1B9D-BE18-CC7CE14F3E04}.pdf</t>
  </si>
  <si>
    <t>D20100820</t>
  </si>
  <si>
    <t>https://www.banxico.org.mx/publicaciones-y-prensa/anuncios-de-las-decisiones-de-politica-monetaria/{C812D4DB-7072-409A-957C-C741E170D8FB}.pdf</t>
  </si>
  <si>
    <t>D20100924</t>
  </si>
  <si>
    <t>https://www.banxico.org.mx/publicaciones-y-prensa/anuncios-de-las-decisiones-de-politica-monetaria/{8E115CC9-4757-C410-2F6D-7D389EA7A294}.pdf</t>
  </si>
  <si>
    <t>D20101015</t>
  </si>
  <si>
    <t>https://www.banxico.org.mx/publicaciones-y-prensa/anuncios-de-las-decisiones-de-politica-monetaria/{0E545073-F280-A3BF-DC09-0F3E23366C5A}.pdf</t>
  </si>
  <si>
    <t>D20101126</t>
  </si>
  <si>
    <t>https://www.banxico.org.mx/publicaciones-y-prensa/anuncios-de-las-decisiones-de-politica-monetaria/{45345368-5002-807A-2E56-DA3F2289BE2A}.pdf</t>
  </si>
  <si>
    <t>D20110121</t>
  </si>
  <si>
    <t>Sí</t>
  </si>
  <si>
    <t>https://www.banxico.org.mx/publicaciones-y-prensa/anuncios-de-las-decisiones-de-politica-monetaria/{5282873A-C410-36FC-465E-46EF50657871}.pdf</t>
  </si>
  <si>
    <t>https://www.banxico.org.mx/publicaciones-y-prensa/minutas-de-las-decisiones-de-politica-monetaria/{A3DBE068-BDA5-8215-9B91-AC0C2F8792EC}.pdf</t>
  </si>
  <si>
    <t>D20110304</t>
  </si>
  <si>
    <t>https://www.banxico.org.mx/publicaciones-y-prensa/anuncios-de-las-decisiones-de-politica-monetaria/{D89145E8-6232-FEFB-D839-097CF1694923}.pdf</t>
  </si>
  <si>
    <t>https://www.banxico.org.mx/publicaciones-y-prensa/minutas-de-las-decisiones-de-politica-monetaria/{70660AF9-E7A5-8533-968B-F21627AA338B}.pdf</t>
  </si>
  <si>
    <t>D20110415</t>
  </si>
  <si>
    <t>https://www.banxico.org.mx/publicaciones-y-prensa/anuncios-de-las-decisiones-de-politica-monetaria/{B1D43FD3-F87D-D923-1E08-231774259D6E}.pdf</t>
  </si>
  <si>
    <t>https://www.banxico.org.mx/publicaciones-y-prensa/minutas-de-las-decisiones-de-politica-monetaria/{BFD87DD4-8F75-8ECC-A4FE-B29DA6B49D66}.pdf</t>
  </si>
  <si>
    <t>D20110527</t>
  </si>
  <si>
    <t>https://www.banxico.org.mx/publicaciones-y-prensa/anuncios-de-las-decisiones-de-politica-monetaria/{3EAC8175-5AC9-676F-524D-22057D09C9AF}.pdf</t>
  </si>
  <si>
    <t>https://www.banxico.org.mx/publicaciones-y-prensa/minutas-de-las-decisiones-de-politica-monetaria/{7B3F21DE-A812-7C55-D0FD-5A1230D875E8}.pdf</t>
  </si>
  <si>
    <t>D20110708</t>
  </si>
  <si>
    <t>https://www.banxico.org.mx/publicaciones-y-prensa/anuncios-de-las-decisiones-de-politica-monetaria/{C53A54E5-EFE6-2798-B57A-ADD52BA4414E}.pdf</t>
  </si>
  <si>
    <t>https://www.banxico.org.mx/publicaciones-y-prensa/minutas-de-las-decisiones-de-politica-monetaria/{08103124-9EB4-EF0C-081A-CC63198F52A3}.pdf</t>
  </si>
  <si>
    <t>D20110826</t>
  </si>
  <si>
    <t>https://www.banxico.org.mx/publicaciones-y-prensa/anuncios-de-las-decisiones-de-politica-monetaria/{07D9C69A-03A0-5188-24D0-03970EA6F181}.pdf</t>
  </si>
  <si>
    <t>https://www.banxico.org.mx/publicaciones-y-prensa/minutas-de-las-decisiones-de-politica-monetaria/{1204F695-BB7E-2652-27F7-618E7359BCFC}.pdf</t>
  </si>
  <si>
    <t>D20111014</t>
  </si>
  <si>
    <t>https://www.banxico.org.mx/publicaciones-y-prensa/anuncios-de-las-decisiones-de-politica-monetaria/{4358F902-0DE6-260D-1E38-BCFEE59B570E}.pdf</t>
  </si>
  <si>
    <t>https://www.banxico.org.mx/publicaciones-y-prensa/minutas-de-las-decisiones-de-politica-monetaria/{40753B54-1B88-5957-B9AB-7DAE838EC395}.pdf</t>
  </si>
  <si>
    <t>D20111202</t>
  </si>
  <si>
    <t>https://www.banxico.org.mx/publicaciones-y-prensa/anuncios-de-las-decisiones-de-politica-monetaria/{53C9AEAC-563A-4E3B-E6A8-27DC7C155948}.pdf</t>
  </si>
  <si>
    <t>https://www.banxico.org.mx/publicaciones-y-prensa/minutas-de-las-decisiones-de-politica-monetaria/{64772582-C7F4-471F-317D-00A2D37A5B41}.pdf</t>
  </si>
  <si>
    <t>D20120120</t>
  </si>
  <si>
    <t>https://www.banxico.org.mx/publicaciones-y-prensa/anuncios-de-las-decisiones-de-politica-monetaria/{7D6208ED-793D-993A-96B6-465971CF2373}.pdf</t>
  </si>
  <si>
    <t>https://www.banxico.org.mx/publicaciones-y-prensa/minutas-de-las-decisiones-de-politica-monetaria/{756A02D7-9EF0-99A4-3B0F-BD64F20FA03B}.pdf</t>
  </si>
  <si>
    <t>D20120316</t>
  </si>
  <si>
    <t>https://www.banxico.org.mx/publicaciones-y-prensa/anuncios-de-las-decisiones-de-politica-monetaria/{044CE0CA-6924-4CCD-F33A-DC240EA6A6F8}.pdf</t>
  </si>
  <si>
    <t>https://www.banxico.org.mx/publicaciones-y-prensa/minutas-de-las-decisiones-de-politica-monetaria/{4884526F-58E9-E525-8AD2-FA99A89C3034}.pdf</t>
  </si>
  <si>
    <t>D20120427</t>
  </si>
  <si>
    <t>https://www.banxico.org.mx/publicaciones-y-prensa/anuncios-de-las-decisiones-de-politica-monetaria/{9A5E9E34-2639-BCA3-DEBB-B5E736C57163}.pdf</t>
  </si>
  <si>
    <t>https://www.banxico.org.mx/publicaciones-y-prensa/minutas-de-las-decisiones-de-politica-monetaria/{E9C111E2-0D41-934B-E80E-7C8DE54C710E}.pdf</t>
  </si>
  <si>
    <t>D20120608</t>
  </si>
  <si>
    <t>https://www.banxico.org.mx/publicaciones-y-prensa/anuncios-de-las-decisiones-de-politica-monetaria/{FFA12516-877A-7437-28FC-C81D75A9CE7A}.pdf</t>
  </si>
  <si>
    <t>https://www.banxico.org.mx/publicaciones-y-prensa/minutas-de-las-decisiones-de-politica-monetaria/{F546C1A0-4153-01EF-6268-6DB41F96E3D3}.pdf</t>
  </si>
  <si>
    <t>D20120720</t>
  </si>
  <si>
    <t>https://www.banxico.org.mx/publicaciones-y-prensa/anuncios-de-las-decisiones-de-politica-monetaria/{80701584-AF90-FF4D-9BF1-7EF0EEF975A8}.pdf</t>
  </si>
  <si>
    <t>https://www.banxico.org.mx/publicaciones-y-prensa/minutas-de-las-decisiones-de-politica-monetaria/{39877DD8-F689-9A9A-8B2C-1E1EE8BE37FB}.pdf</t>
  </si>
  <si>
    <t>D20120907</t>
  </si>
  <si>
    <t>https://www.banxico.org.mx/publicaciones-y-prensa/anuncios-de-las-decisiones-de-politica-monetaria/{0D778DF5-9AE3-AE0A-7996-32E16E3BF86E}.pdf</t>
  </si>
  <si>
    <t>https://www.banxico.org.mx/publicaciones-y-prensa/minutas-de-las-decisiones-de-politica-monetaria/{E960D897-291F-D0AE-A162-613EBA8CDBBC}.pdf</t>
  </si>
  <si>
    <t>D20121026</t>
  </si>
  <si>
    <t>https://www.banxico.org.mx/publicaciones-y-prensa/anuncios-de-las-decisiones-de-politica-monetaria/{82443CBD-7358-96E7-3FA9-45427DD7B8B4}.pdf</t>
  </si>
  <si>
    <t>https://www.banxico.org.mx/publicaciones-y-prensa/minutas-de-las-decisiones-de-politica-monetaria/{F69DB0E8-C026-8777-82DA-A78C0469005C}.pdf</t>
  </si>
  <si>
    <t>D20121130</t>
  </si>
  <si>
    <t>https://www.banxico.org.mx/publicaciones-y-prensa/anuncios-de-las-decisiones-de-politica-monetaria/{A15D84B0-1544-FF11-3DA1-3C2353BF89E6}.pdf</t>
  </si>
  <si>
    <t>https://www.banxico.org.mx/publicaciones-y-prensa/minutas-de-las-decisiones-de-politica-monetaria/{9A3F9306-4DA3-6F3E-063D-DD9907BC6BF4}.pdf</t>
  </si>
  <si>
    <t>D20130118</t>
  </si>
  <si>
    <t>https://www.banxico.org.mx/publicaciones-y-prensa/anuncios-de-las-decisiones-de-politica-monetaria/{9FBF12AA-D7D8-E0B2-CCC4-5E6FB38FEBCE}.pdf</t>
  </si>
  <si>
    <t>https://www.banxico.org.mx/publicaciones-y-prensa/minutas-de-las-decisiones-de-politica-monetaria/{3EC00B2A-1A11-DDB7-2A8D-276FA059178D}.pdf</t>
  </si>
  <si>
    <t>D20130308</t>
  </si>
  <si>
    <t>https://www.banxico.org.mx/publicaciones-y-prensa/anuncios-de-las-decisiones-de-politica-monetaria/{B1BB0083-81E6-6A46-917A-A4F34773D8E1}.pdf</t>
  </si>
  <si>
    <t>https://www.banxico.org.mx/publicaciones-y-prensa/minutas-de-las-decisiones-de-politica-monetaria/{930C6DD6-58E4-F349-46E1-0D7230FAE7E0}.pdf</t>
  </si>
  <si>
    <t>D20130426</t>
  </si>
  <si>
    <t>https://www.banxico.org.mx/publicaciones-y-prensa/anuncios-de-las-decisiones-de-politica-monetaria/{4C77F6F1-04BD-3D32-DE6B-DB6C32D93667}.pdf</t>
  </si>
  <si>
    <t>https://www.banxico.org.mx/publicaciones-y-prensa/minutas-de-las-decisiones-de-politica-monetaria/{0B6B8633-5A2D-D7AE-3A8D-90B3467D5265}.pdf</t>
  </si>
  <si>
    <t>D20130607</t>
  </si>
  <si>
    <t>https://www.banxico.org.mx/publicaciones-y-prensa/anuncios-de-las-decisiones-de-politica-monetaria/{D05752AF-DE1F-1AA6-708D-EB0613FD8273}.pdf</t>
  </si>
  <si>
    <t>https://www.banxico.org.mx/publicaciones-y-prensa/minutas-de-las-decisiones-de-politica-monetaria/{8C689AC7-E3B4-25BC-A5FC-B48FA294FE90}.pdf</t>
  </si>
  <si>
    <t>D20130712</t>
  </si>
  <si>
    <t>https://www.banxico.org.mx/publicaciones-y-prensa/anuncios-de-las-decisiones-de-politica-monetaria/{C50924ED-D6B5-E713-7FC4-2BB50704867E}.pdf</t>
  </si>
  <si>
    <t>https://www.banxico.org.mx/publicaciones-y-prensa/minutas-de-las-decisiones-de-politica-monetaria/{C3DE8B2D-FD55-C3CC-109A-DCA36EAD34E2}.pdf</t>
  </si>
  <si>
    <t>D20130906</t>
  </si>
  <si>
    <t>No</t>
  </si>
  <si>
    <t>https://www.banxico.org.mx/publicaciones-y-prensa/anuncios-de-las-decisiones-de-politica-monetaria/{27B95C51-9084-A3B9-EBE5-069CF8EC6AD4}.pdf</t>
  </si>
  <si>
    <t>https://www.banxico.org.mx/publicaciones-y-prensa/minutas-de-las-decisiones-de-politica-monetaria/{3611BA82-C866-44AF-B042-398328F045BC}.pdf</t>
  </si>
  <si>
    <t>D20131025</t>
  </si>
  <si>
    <t>https://www.banxico.org.mx/publicaciones-y-prensa/anuncios-de-las-decisiones-de-politica-monetaria/{F658A41A-1266-7EE9-F392-E598B9518768}.pdf</t>
  </si>
  <si>
    <t>https://www.banxico.org.mx/publicaciones-y-prensa/minutas-de-las-decisiones-de-politica-monetaria/{9DFEADFA-9CB9-9851-AE6F-C266B3B033F6}.pdf</t>
  </si>
  <si>
    <t>D20131206</t>
  </si>
  <si>
    <t>https://www.banxico.org.mx/publicaciones-y-prensa/anuncios-de-las-decisiones-de-politica-monetaria/{4E15E62F-8409-1715-2B50-29107081A593}.pdf</t>
  </si>
  <si>
    <t>https://www.banxico.org.mx/publicaciones-y-prensa/minutas-de-las-decisiones-de-politica-monetaria/{E92AA561-4A03-AEE3-0E8A-79D4FAA30362}.pdf</t>
  </si>
  <si>
    <t>D20140131</t>
  </si>
  <si>
    <t>https://www.banxico.org.mx/publicaciones-y-prensa/anuncios-de-las-decisiones-de-politica-monetaria/{56178024-CC63-0115-AF52-13EC9922A5BD}.pdf</t>
  </si>
  <si>
    <t>https://www.banxico.org.mx/publicaciones-y-prensa/minutas-de-las-decisiones-de-politica-monetaria/{1AD19DD6-42C9-6F55-5A02-4F1AB67F525A}.pdf</t>
  </si>
  <si>
    <t>D20140321</t>
  </si>
  <si>
    <t>https://www.banxico.org.mx/publicaciones-y-prensa/anuncios-de-las-decisiones-de-politica-monetaria/{309E74CE-3529-6B58-54B6-09A3AD31140C}.pdf</t>
  </si>
  <si>
    <t>https://www.banxico.org.mx/publicaciones-y-prensa/minutas-de-las-decisiones-de-politica-monetaria/{4FD893DC-6685-D958-E7F5-32660AEC2D18}.pdf</t>
  </si>
  <si>
    <t>D20140425</t>
  </si>
  <si>
    <t>https://www.banxico.org.mx/publicaciones-y-prensa/anuncios-de-las-decisiones-de-politica-monetaria/{578E4D04-DB2C-2627-161B-5CD93B4D3961}.pdf</t>
  </si>
  <si>
    <t>https://www.banxico.org.mx/publicaciones-y-prensa/minutas-de-las-decisiones-de-politica-monetaria/{5846CA85-DC06-774F-6BE7-795F445BA499}.pdf</t>
  </si>
  <si>
    <t>D20140606</t>
  </si>
  <si>
    <t>https://www.banxico.org.mx/publicaciones-y-prensa/anuncios-de-las-decisiones-de-politica-monetaria/{72EDC731-0F29-9D66-1291-B8C4751F15CE}.pdf</t>
  </si>
  <si>
    <t>https://www.banxico.org.mx/publicaciones-y-prensa/minutas-de-las-decisiones-de-politica-monetaria/{109E42A5-8E58-624C-73DB-00BE9C66F68B}.pdf</t>
  </si>
  <si>
    <t>D20140711</t>
  </si>
  <si>
    <t>https://www.banxico.org.mx/publicaciones-y-prensa/anuncios-de-las-decisiones-de-politica-monetaria/{2AB5FCA9-2C0D-EE65-4670-816E23628FC6}.pdf</t>
  </si>
  <si>
    <t>https://www.banxico.org.mx/publicaciones-y-prensa/minutas-de-las-decisiones-de-politica-monetaria/{4BBA4BD4-1E93-43BB-729B-81F928AC241D}.pdf</t>
  </si>
  <si>
    <t>D20140905</t>
  </si>
  <si>
    <t>https://www.banxico.org.mx/publicaciones-y-prensa/anuncios-de-las-decisiones-de-politica-monetaria/{9EB24CA1-39E6-A525-51BA-3EC753FF4B95}.pdf</t>
  </si>
  <si>
    <t>https://www.banxico.org.mx/publicaciones-y-prensa/minutas-de-las-decisiones-de-politica-monetaria/{15D1D16C-6E36-F940-A9FD-C03DD54FBE5E}.pdf</t>
  </si>
  <si>
    <t>D20141031</t>
  </si>
  <si>
    <t>https://www.banxico.org.mx/publicaciones-y-prensa/anuncios-de-las-decisiones-de-politica-monetaria/{8745E5FE-AE35-A71C-CE15-FE638F7BF96E}.pdf</t>
  </si>
  <si>
    <t>https://www.banxico.org.mx/publicaciones-y-prensa/minutas-de-las-decisiones-de-politica-monetaria/{80187B6A-2B0F-C806-0482-CC2227D702D0}.pdf</t>
  </si>
  <si>
    <t>D20141205</t>
  </si>
  <si>
    <t>https://www.banxico.org.mx/publicaciones-y-prensa/anuncios-de-las-decisiones-de-politica-monetaria/{55344987-3355-2A83-FE8A-C1FE9C71F5A6}.pdf</t>
  </si>
  <si>
    <t>https://www.banxico.org.mx/publicaciones-y-prensa/minutas-de-las-decisiones-de-politica-monetaria/{52CDAF65-32B0-5B19-A12A-3B73A639A1A2}.pdf</t>
  </si>
  <si>
    <t>D20150129</t>
  </si>
  <si>
    <t>https://www.banxico.org.mx/publicaciones-y-prensa/anuncios-de-las-decisiones-de-politica-monetaria/{C9753BF8-12B8-F7AC-F518-BB45EE2BC958}.pdf</t>
  </si>
  <si>
    <t>https://www.banxico.org.mx/publicaciones-y-prensa/minutas-de-las-decisiones-de-politica-monetaria/{FE693B25-7057-1B90-D866-30506ABB5848}.pdf</t>
  </si>
  <si>
    <t>D20150326</t>
  </si>
  <si>
    <t>https://www.banxico.org.mx/publicaciones-y-prensa/anuncios-de-las-decisiones-de-politica-monetaria/{3FD893CC-8D2F-C4CF-BB5D-C4AF49BD9E15}.pdf</t>
  </si>
  <si>
    <t>https://www.banxico.org.mx/publicaciones-y-prensa/minutas-de-las-decisiones-de-politica-monetaria/{A520F575-7066-64BD-B864-FEEBAB9AE2E4}.pdf</t>
  </si>
  <si>
    <t>D20150430</t>
  </si>
  <si>
    <t>https://www.banxico.org.mx/publicaciones-y-prensa/anuncios-de-las-decisiones-de-politica-monetaria/{449F6CF3-8736-2B64-3F30-457140D7D723}.pdf</t>
  </si>
  <si>
    <t>https://www.banxico.org.mx/publicaciones-y-prensa/minutas-de-las-decisiones-de-politica-monetaria/{3609F613-1682-DFCF-C9D9-38ACCBEC044D}.pdf</t>
  </si>
  <si>
    <t>D20150604</t>
  </si>
  <si>
    <t>https://www.banxico.org.mx/publicaciones-y-prensa/anuncios-de-las-decisiones-de-politica-monetaria/{3DD16F35-8148-B447-2E58-AC1DAD0E425E}.pdf</t>
  </si>
  <si>
    <t>https://www.banxico.org.mx/publicaciones-y-prensa/minutas-de-las-decisiones-de-politica-monetaria/{07A0FC21-FC68-EAD7-2375-23754B689692}.pdf</t>
  </si>
  <si>
    <t>D20150730</t>
  </si>
  <si>
    <t>https://www.banxico.org.mx/publicaciones-y-prensa/anuncios-de-las-decisiones-de-politica-monetaria/{04239536-BDEF-88F9-A7F8-88F35B14BA39}.pdf</t>
  </si>
  <si>
    <t>https://www.banxico.org.mx/publicaciones-y-prensa/minutas-de-las-decisiones-de-politica-monetaria/{7CB02FB8-B6F1-826E-A852-4DB9D1747B0D}.pdf</t>
  </si>
  <si>
    <t>D20150921</t>
  </si>
  <si>
    <t>https://www.banxico.org.mx/publicaciones-y-prensa/anuncios-de-las-decisiones-de-politica-monetaria/{677D0E00-3FE0-87DC-430C-A500354B8F17}.pdf</t>
  </si>
  <si>
    <t>https://www.banxico.org.mx/publicaciones-y-prensa/minutas-de-las-decisiones-de-politica-monetaria/{CDFE34CE-2E95-2661-2D57-70DC300E353C}.pdf</t>
  </si>
  <si>
    <t>D20151029</t>
  </si>
  <si>
    <t>https://www.banxico.org.mx/publicaciones-y-prensa/anuncios-de-las-decisiones-de-politica-monetaria/{5240F1DC-6F2D-2415-6B08-29AC65481A3D}.pdf</t>
  </si>
  <si>
    <t>https://www.banxico.org.mx/publicaciones-y-prensa/minutas-de-las-decisiones-de-politica-monetaria/{7997F137-44E3-1A68-2BF4-12252ACAD736}.pdf</t>
  </si>
  <si>
    <t>D20151217</t>
  </si>
  <si>
    <t>https://www.banxico.org.mx/publicaciones-y-prensa/anuncios-de-las-decisiones-de-politica-monetaria/{BF868E41-029A-DD5E-9DA8-2A3A64FD6131}.pdf</t>
  </si>
  <si>
    <t>https://www.banxico.org.mx/publicaciones-y-prensa/minutas-de-las-decisiones-de-politica-monetaria/{1502EADC-BB0C-C02A-6EDE-FE9B377DF98C}.pdf</t>
  </si>
  <si>
    <t>D20160204</t>
  </si>
  <si>
    <t>https://www.banxico.org.mx/publicaciones-y-prensa/anuncios-de-las-decisiones-de-politica-monetaria/{C3181CEA-1120-E7B0-B4A0-1CAA06B26628}.pdf</t>
  </si>
  <si>
    <t>https://www.banxico.org.mx/publicaciones-y-prensa/minutas-de-las-decisiones-de-politica-monetaria/{48C229CB-D66A-DA85-506C-E8396D802689}.pdf</t>
  </si>
  <si>
    <t>D20160217</t>
  </si>
  <si>
    <t>Extraordinaria</t>
  </si>
  <si>
    <t>https://www.banxico.org.mx/publicaciones-y-prensa/anuncios-de-las-decisiones-de-politica-monetaria/{394FBB23-9099-AAB2-6B9B-2FDBAEEE5710}.pdf</t>
  </si>
  <si>
    <t>D20160318</t>
  </si>
  <si>
    <t>https://www.banxico.org.mx/publicaciones-y-prensa/anuncios-de-las-decisiones-de-politica-monetaria/{67F67132-2FCA-0080-84B1-5B87CD5F8023}.pdf</t>
  </si>
  <si>
    <t>https://www.banxico.org.mx/publicaciones-y-prensa/minutas-de-las-decisiones-de-politica-monetaria/{FC72F4E0-95B1-618A-7EA8-60BEAC27B64B}.pdf</t>
  </si>
  <si>
    <t>D20160505</t>
  </si>
  <si>
    <t>https://www.banxico.org.mx/publicaciones-y-prensa/anuncios-de-las-decisiones-de-politica-monetaria/{BB0262C9-23E6-8387-E45F-5E2CC358A7AA}.pdf</t>
  </si>
  <si>
    <t>https://www.banxico.org.mx/publicaciones-y-prensa/minutas-de-las-decisiones-de-politica-monetaria/{34143BBC-E9EB-C930-6102-9FAACE0187F8}.pdf</t>
  </si>
  <si>
    <t>D20160630</t>
  </si>
  <si>
    <t>https://www.banxico.org.mx/publicaciones-y-prensa/anuncios-de-las-decisiones-de-politica-monetaria/{23BBC139-AA05-0827-A061-0C8AB90535FA}.pdf</t>
  </si>
  <si>
    <t>https://www.banxico.org.mx/publicaciones-y-prensa/minutas-de-las-decisiones-de-politica-monetaria/{2FF2127E-33ED-F59E-DF35-80586C369ED5}.pdf</t>
  </si>
  <si>
    <t>D20160811</t>
  </si>
  <si>
    <t>https://www.banxico.org.mx/publicaciones-y-prensa/anuncios-de-las-decisiones-de-politica-monetaria/{2631A849-5E61-2FAE-30CF-50857666686B}.pdf</t>
  </si>
  <si>
    <t>https://www.banxico.org.mx/publicaciones-y-prensa/minutas-de-las-decisiones-de-politica-monetaria/{F9EFF4B7-C3D3-F5D4-E2D5-C543812D1BAD}.pdf</t>
  </si>
  <si>
    <t>D20160929</t>
  </si>
  <si>
    <t>https://www.banxico.org.mx/publicaciones-y-prensa/anuncios-de-las-decisiones-de-politica-monetaria/{A25E397D-81C8-795B-96E8-CADC85B72B9A}.pdf</t>
  </si>
  <si>
    <t>https://www.banxico.org.mx/publicaciones-y-prensa/minutas-de-las-decisiones-de-politica-monetaria/{56F9DC7F-F2C4-6625-D627-246584877544}.pdf</t>
  </si>
  <si>
    <t>D20161117</t>
  </si>
  <si>
    <t>https://www.banxico.org.mx/publicaciones-y-prensa/anuncios-de-las-decisiones-de-politica-monetaria/{81F6BD73-43E9-A2EC-BDF5-06B63696F727}.pdf</t>
  </si>
  <si>
    <t>https://www.banxico.org.mx/publicaciones-y-prensa/minutas-de-las-decisiones-de-politica-monetaria/{CB343B5B-C25F-664A-0B34-2FD8CD049609}.pdf</t>
  </si>
  <si>
    <t>D20161215</t>
  </si>
  <si>
    <t>https://www.banxico.org.mx/publicaciones-y-prensa/anuncios-de-las-decisiones-de-politica-monetaria/{36A53A23-EC79-37FF-0253-33BC526E6917}.pdf</t>
  </si>
  <si>
    <t>https://www.banxico.org.mx/publicaciones-y-prensa/minutas-de-las-decisiones-de-politica-monetaria/{95B8DD36-FA88-D2F0-F83F-186A50C6A501}.pdf</t>
  </si>
  <si>
    <t>D20170209</t>
  </si>
  <si>
    <t>https://www.banxico.org.mx/publicaciones-y-prensa/anuncios-de-las-decisiones-de-politica-monetaria/{CDC07FB1-4E59-81F5-727A-FEAD4F60E286}.pdf</t>
  </si>
  <si>
    <t>https://www.banxico.org.mx/publicaciones-y-prensa/minutas-de-las-decisiones-de-politica-monetaria/{80E4DDAD-DC64-08B6-7F42-C1E1846134C5}.pdf</t>
  </si>
  <si>
    <t>D20170330</t>
  </si>
  <si>
    <t>https://www.banxico.org.mx/publicaciones-y-prensa/anuncios-de-las-decisiones-de-politica-monetaria/{074D9E1A-B709-2638-190B-0D1D7B43CFA1}.pdf</t>
  </si>
  <si>
    <t>https://www.banxico.org.mx/publicaciones-y-prensa/minutas-de-las-decisiones-de-politica-monetaria/{86BCF7C6-983A-9E07-0153-AC8395F3204F}.pdf</t>
  </si>
  <si>
    <t>D20170518</t>
  </si>
  <si>
    <t>https://www.banxico.org.mx/publicaciones-y-prensa/anuncios-de-las-decisiones-de-politica-monetaria/{725F68CC-36E7-2DA7-40DC-40AEFAAA15DB}.pdf</t>
  </si>
  <si>
    <t>https://www.banxico.org.mx/publicaciones-y-prensa/minutas-de-las-decisiones-de-politica-monetaria/{1C5FB7A0-D786-A569-0AC2-7992E9E1CD5D}.pdf</t>
  </si>
  <si>
    <t>D20170622</t>
  </si>
  <si>
    <t>https://www.banxico.org.mx/publicaciones-y-prensa/anuncios-de-las-decisiones-de-politica-monetaria/{67F688BC-F0F6-45B3-D486-5A9CE5C90BB7}.pdf</t>
  </si>
  <si>
    <t>https://www.banxico.org.mx/publicaciones-y-prensa/minutas-de-las-decisiones-de-politica-monetaria/{1C3A9950-A03F-F46F-6ED8-013384A3D5A0}.pdf</t>
  </si>
  <si>
    <t>D20170810</t>
  </si>
  <si>
    <t>https://www.banxico.org.mx/publicaciones-y-prensa/anuncios-de-las-decisiones-de-politica-monetaria/{851EB1B0-83F2-B09B-21EA-ECC9B27AB38E}.pdf</t>
  </si>
  <si>
    <t>https://www.banxico.org.mx/publicaciones-y-prensa/minutas-de-las-decisiones-de-politica-monetaria/{A64E538B-944E-0070-5AA7-25EBCA89EE42}.pdf</t>
  </si>
  <si>
    <t>D20170928</t>
  </si>
  <si>
    <t>https://www.banxico.org.mx/publicaciones-y-prensa/anuncios-de-las-decisiones-de-politica-monetaria/{C10DB730-CC69-994D-CECE-7D3AB1DA4B25}.pdf</t>
  </si>
  <si>
    <t>https://www.banxico.org.mx/publicaciones-y-prensa/minutas-de-las-decisiones-de-politica-monetaria/{10175572-4BFE-7C32-9311-AA453988D1AF}.pdf</t>
  </si>
  <si>
    <t>D20171109</t>
  </si>
  <si>
    <t>https://www.banxico.org.mx/publicaciones-y-prensa/anuncios-de-las-decisiones-de-politica-monetaria/{A7CE1CC8-AA68-16D3-A354-6C649CB5B573}.pdf</t>
  </si>
  <si>
    <t>https://www.banxico.org.mx/publicaciones-y-prensa/minutas-de-las-decisiones-de-politica-monetaria/{9E0B2646-44D4-D9AF-1431-AC74953A0A6E}.pdf</t>
  </si>
  <si>
    <t>D20171214</t>
  </si>
  <si>
    <t>https://www.banxico.org.mx/publicaciones-y-prensa/anuncios-de-las-decisiones-de-politica-monetaria/{D12AE26E-C7E4-98C6-774A-370BE65BB85A}.pdf</t>
  </si>
  <si>
    <t>https://www.banxico.org.mx/publicaciones-y-prensa/minutas-de-las-decisiones-de-politica-monetaria/{610F2139-F8D6-A533-FA85-0C5EF187D0C1}.pdf</t>
  </si>
  <si>
    <t>D20180208</t>
  </si>
  <si>
    <t>https://www.banxico.org.mx/publicaciones-y-prensa/anuncios-de-las-decisiones-de-politica-monetaria/{B8A2EF24-EFB6-7412-2AC7-2A082D849603}.pdf</t>
  </si>
  <si>
    <t>https://www.banxico.org.mx/publicaciones-y-prensa/minutas-de-las-decisiones-de-politica-monetaria/{BB7D0421-4B9F-B4FE-E089-F76F27601D1A}.pdf</t>
  </si>
  <si>
    <t>D20180412</t>
  </si>
  <si>
    <t>https://www.banxico.org.mx/publicaciones-y-prensa/anuncios-de-las-decisiones-de-politica-monetaria/{A020627B-C6CC-C74D-02C8-42D99B9B6B29}.pdf</t>
  </si>
  <si>
    <t>https://www.banxico.org.mx/publicaciones-y-prensa/minutas-de-las-decisiones-de-politica-monetaria/{33AF4E82-305C-2EE4-9BAE-0BE29ED9DFDF}.pdf</t>
  </si>
  <si>
    <t>D20180517</t>
  </si>
  <si>
    <t>https://www.banxico.org.mx/publicaciones-y-prensa/anuncios-de-las-decisiones-de-politica-monetaria/{FA7D3584-6233-EB61-D6D0-420712FB01C2}.pdf</t>
  </si>
  <si>
    <t>https://www.banxico.org.mx/publicaciones-y-prensa/minutas-de-las-decisiones-de-politica-monetaria/{1FC983E2-2499-C296-FE71-85F7ABD67EC3}.pdf</t>
  </si>
  <si>
    <t>D20180621</t>
  </si>
  <si>
    <t>https://www.banxico.org.mx/publicaciones-y-prensa/anuncios-de-las-decisiones-de-politica-monetaria/{32F5F0C4-9EE7-8BB9-3AE0-291882583F3B}.pdf</t>
  </si>
  <si>
    <t>https://www.banxico.org.mx/publicaciones-y-prensa/minutas-de-las-decisiones-de-politica-monetaria/{9D52CB8A-4EA3-F381-42CC-B4A5E02E76E1}.pdf</t>
  </si>
  <si>
    <t>D20180802</t>
  </si>
  <si>
    <t>https://www.banxico.org.mx/publicaciones-y-prensa/anuncios-de-las-decisiones-de-politica-monetaria/{B0E8D2FC-D7D2-F62C-E385-936DB840A68A}.pdf</t>
  </si>
  <si>
    <t>https://www.banxico.org.mx/publicaciones-y-prensa/minutas-de-las-decisiones-de-politica-monetaria/{BC265005-129F-A5FD-309A-229CC8559229}.pdf</t>
  </si>
  <si>
    <t>D20181004</t>
  </si>
  <si>
    <t>https://www.banxico.org.mx/publicaciones-y-prensa/anuncios-de-las-decisiones-de-politica-monetaria/{4A8C90EF-5034-468A-D5A0-92CA39FCBD21}.pdf</t>
  </si>
  <si>
    <t>https://www.banxico.org.mx/publicaciones-y-prensa/minutas-de-las-decisiones-de-politica-monetaria/{50ED7644-47A9-934D-4C49-3CDF170A0FFC}.pdf</t>
  </si>
  <si>
    <t>D20181115</t>
  </si>
  <si>
    <t>https://www.banxico.org.mx/publicaciones-y-prensa/anuncios-de-las-decisiones-de-politica-monetaria/{759F9C79-B40F-CD69-E10F-C56C3265923A}.pdf</t>
  </si>
  <si>
    <t>https://www.banxico.org.mx/publicaciones-y-prensa/minutas-de-las-decisiones-de-politica-monetaria/{E71098EA-AC1E-45CB-F1FC-1BCA43571239}.pdf</t>
  </si>
  <si>
    <t>D20181220</t>
  </si>
  <si>
    <t>https://www.banxico.org.mx/publicaciones-y-prensa/anuncios-de-las-decisiones-de-politica-monetaria/{0CB97688-9500-D1A2-A000-C60DAF3E853F}.pdf</t>
  </si>
  <si>
    <t>https://www.banxico.org.mx/publicaciones-y-prensa/minutas-de-las-decisiones-de-politica-monetaria/{5EC61A9B-E408-3DA8-C647-97B441EC6D76}.pdf</t>
  </si>
  <si>
    <t>D20190207</t>
  </si>
  <si>
    <t>https://www.banxico.org.mx/publicaciones-y-prensa/anuncios-de-las-decisiones-de-politica-monetaria/{066D3F9D-6038-F9FD-88C6-DFE4977DF0D3}.pdf</t>
  </si>
  <si>
    <t>https://www.banxico.org.mx/publicaciones-y-prensa/minutas-de-las-decisiones-de-politica-monetaria/{A63CB66A-5AED-15AE-F534-2D99FB3FA7C9}.pdf</t>
  </si>
  <si>
    <t>D20190328</t>
  </si>
  <si>
    <t>https://www.banxico.org.mx/publicaciones-y-prensa/anuncios-de-las-decisiones-de-politica-monetaria/{0F4AB746-781C-0D0A-5E3F-D5D28B14040C}.pdf</t>
  </si>
  <si>
    <t>https://www.banxico.org.mx/publicaciones-y-prensa/minutas-de-las-decisiones-de-politica-monetaria/{FB16B517-D1BF-D281-60B9-C3552469117C}.pdf</t>
  </si>
  <si>
    <t>D20190516</t>
  </si>
  <si>
    <t>https://www.banxico.org.mx/publicaciones-y-prensa/anuncios-de-las-decisiones-de-politica-monetaria/{F4FA44AB-E4ED-59FA-100A-7791AA0085CD}.pdf</t>
  </si>
  <si>
    <t>https://www.banxico.org.mx/publicaciones-y-prensa/minutas-de-las-decisiones-de-politica-monetaria/{E543784E-F02B-7492-2776-B981AC479D9A}.pdf</t>
  </si>
  <si>
    <t>D20190627</t>
  </si>
  <si>
    <t>https://www.banxico.org.mx/publicaciones-y-prensa/anuncios-de-las-decisiones-de-politica-monetaria/{BBE502FD-07B1-0B6F-80BD-8F9372DB224D}.pdf</t>
  </si>
  <si>
    <t>https://www.banxico.org.mx/publicaciones-y-prensa/minutas-de-las-decisiones-de-politica-monetaria/{912CEB1F-464B-29BA-A44E-1BEA0938891D}.pdf</t>
  </si>
  <si>
    <t>D20190815</t>
  </si>
  <si>
    <t>https://www.banxico.org.mx/publicaciones-y-prensa/anuncios-de-las-decisiones-de-politica-monetaria/{B661860D-753B-D805-90A3-0451F6011307}.pdf</t>
  </si>
  <si>
    <t>https://www.banxico.org.mx/publicaciones-y-prensa/minutas-de-las-decisiones-de-politica-monetaria/{4BD2C2C1-8EE6-3A11-68A2-AAC044D90E03}.pdf</t>
  </si>
  <si>
    <t>D20190926</t>
  </si>
  <si>
    <t>https://www.banxico.org.mx/publicaciones-y-prensa/anuncios-de-las-decisiones-de-politica-monetaria/{1170CD25-C24D-E99C-F3D3-6B86D1822E65}.pdf</t>
  </si>
  <si>
    <t>https://www.banxico.org.mx/publicaciones-y-prensa/minutas-de-las-decisiones-de-politica-monetaria/{C4659F26-F0C4-33C0-8B63-D01B971A39C5}.pdf</t>
  </si>
  <si>
    <t>D20191114</t>
  </si>
  <si>
    <t>https://www.banxico.org.mx/publicaciones-y-prensa/anuncios-de-las-decisiones-de-politica-monetaria/{0DD5A3F4-0B57-8F6A-6F98-1F5048852A35}.pdf</t>
  </si>
  <si>
    <t>https://www.banxico.org.mx/publicaciones-y-prensa/minutas-de-las-decisiones-de-politica-monetaria/{DA837B97-2456-1C39-BFBA-2B3C7513C14F}.pdf</t>
  </si>
  <si>
    <t>D20191219</t>
  </si>
  <si>
    <t>https://www.banxico.org.mx/publicaciones-y-prensa/anuncios-de-las-decisiones-de-politica-monetaria/{D5328504-B958-4BE0-44A3-9363FCAC99D3}.pdf</t>
  </si>
  <si>
    <t>https://www.banxico.org.mx/publicaciones-y-prensa/minutas-de-las-decisiones-de-politica-monetaria/{B272DF7F-5D8B-16A0-9C8E-ECD755C73721}.pdf</t>
  </si>
  <si>
    <t>D20200213</t>
  </si>
  <si>
    <t>https://www.banxico.org.mx/publicaciones-y-prensa/anuncios-de-las-decisiones-de-politica-monetaria/{F2570B49-2124-CAD3-09A5-380DC3E4CD0C}.pdf</t>
  </si>
  <si>
    <t>https://www.banxico.org.mx/publicaciones-y-prensa/minutas-de-las-decisiones-de-politica-monetaria/{241DD6DE-AA67-3DC2-1B9A-009A5815ECFB}.pdf</t>
  </si>
  <si>
    <t>D20200320</t>
  </si>
  <si>
    <t>https://www.banxico.org.mx/publicaciones-y-prensa/anuncios-de-las-decisiones-de-politica-monetaria/{7083B1E9-31C2-67FE-BA71-A63B075075DD}.pdf</t>
  </si>
  <si>
    <t>https://www.banxico.org.mx/publicaciones-y-prensa/minutas-de-las-decisiones-de-politica-monetaria/{2A182BDA-0A22-90DE-9F58-24928C084F74}.pdf</t>
  </si>
  <si>
    <t>D20200421</t>
  </si>
  <si>
    <t>https://www.banxico.org.mx/publicaciones-y-prensa/anuncios-de-las-decisiones-de-politica-monetaria/{4C34FC42-3AB6-4DC4-8767-92CAE7B0C3D3}.pdf</t>
  </si>
  <si>
    <t>https://www.banxico.org.mx/publicaciones-y-prensa/minutas-de-las-decisiones-de-politica-monetaria/{665174C6-A934-C6C4-1796-96FCFA229CCD}.pdf</t>
  </si>
  <si>
    <t>D20200514</t>
  </si>
  <si>
    <t>https://www.banxico.org.mx/publicaciones-y-prensa/anuncios-de-las-decisiones-de-politica-monetaria/{062CAE9F-B896-D200-76F6-1A8BB2DB6394}.pdf</t>
  </si>
  <si>
    <t>https://www.banxico.org.mx/publicaciones-y-prensa/minutas-de-las-decisiones-de-politica-monetaria/{1572CEB0-A2D5-D0AB-D09B-473165C56834}.pdf</t>
  </si>
  <si>
    <t>D20200625</t>
  </si>
  <si>
    <t>https://www.banxico.org.mx/publicaciones-y-prensa/anuncios-de-las-decisiones-de-politica-monetaria/{6BFED160-28CF-F1EA-44B9-27AF079C0309}.pdf</t>
  </si>
  <si>
    <t>https://www.banxico.org.mx/publicaciones-y-prensa/minutas-de-las-decisiones-de-politica-monetaria/{350A9952-EE00-D4BD-DB69-7624D891589D}.pdf</t>
  </si>
  <si>
    <t>D20200813</t>
  </si>
  <si>
    <t>https://www.banxico.org.mx/publicaciones-y-prensa/anuncios-de-las-decisiones-de-politica-monetaria/{45FDC5E7-8F7D-750F-C606-8EBB1CCB7FC6}.pdf</t>
  </si>
  <si>
    <t>https://www.banxico.org.mx/publicaciones-y-prensa/minutas-de-las-decisiones-de-politica-monetaria/{97C9BB82-2331-1715-A58F-63C866B1A196}.pdf</t>
  </si>
  <si>
    <t>D20200924</t>
  </si>
  <si>
    <t>https://www.banxico.org.mx/publicaciones-y-prensa/anuncios-de-las-decisiones-de-politica-monetaria/{D3EEE7A3-E789-A6EC-66A1-9F2BD915053F}.pdf</t>
  </si>
  <si>
    <t>https://www.banxico.org.mx/publicaciones-y-prensa/minutas-de-las-decisiones-de-politica-monetaria/{ADAE24CF-834B-5A2E-AE91-AADFE44AA5F2}.pdf</t>
  </si>
  <si>
    <t>D20201112</t>
  </si>
  <si>
    <t>https://www.banxico.org.mx/publicaciones-y-prensa/anuncios-de-las-decisiones-de-politica-monetaria/{9118C9E6-B3FA-7FE0-FE39-2A7AFC13E990}.pdf</t>
  </si>
  <si>
    <t>https://www.banxico.org.mx/publicaciones-y-prensa/minutas-de-las-decisiones-de-politica-monetaria/{9C238281-DD06-81CE-57B3-C5904A020C22}.pdf</t>
  </si>
  <si>
    <t>D20201217</t>
  </si>
  <si>
    <t>https://www.banxico.org.mx/publicaciones-y-prensa/anuncios-de-las-decisiones-de-politica-monetaria/{611D06FF-825B-33F9-C451-6C765A2F5EA3}.pdf</t>
  </si>
  <si>
    <t>https://www.banxico.org.mx/publicaciones-y-prensa/minutas-de-las-decisiones-de-politica-monetaria/{7BEFC36F-BA57-8084-F183-3EDBCEE27958}.pdf</t>
  </si>
  <si>
    <t>D20210211</t>
  </si>
  <si>
    <t>https://www.banxico.org.mx/publicaciones-y-prensa/anuncios-de-las-decisiones-de-politica-monetaria/{51B1BFD4-35F8-20D6-7A8A-FBFCE7C82118}.pdf</t>
  </si>
  <si>
    <t>https://www.banxico.org.mx/publicaciones-y-prensa/minutas-de-las-decisiones-de-politica-monetaria/{3D041441-5195-710D-6285-49DED93EDFD4}.pdf</t>
  </si>
  <si>
    <t>D20210325</t>
  </si>
  <si>
    <t>https://www.banxico.org.mx/publicaciones-y-prensa/anuncios-de-las-decisiones-de-politica-monetaria/{3A065470-7398-7002-B40F-7DD4F7ED3B45}.pdf</t>
  </si>
  <si>
    <t>https://www.banxico.org.mx/publicaciones-y-prensa/minutas-de-las-decisiones-de-politica-monetaria/{22CCE220-F109-B27C-B79F-9E51E62F95C7}.pdf</t>
  </si>
  <si>
    <t>D20210513</t>
  </si>
  <si>
    <t>https://www.banxico.org.mx/publicaciones-y-prensa/anuncios-de-las-decisiones-de-politica-monetaria/{314F1C8B-65D3-5FDE-AD2F-678BA3747D58}.pdf</t>
  </si>
  <si>
    <t>https://www.banxico.org.mx/publicaciones-y-prensa/minutas-de-las-decisiones-de-politica-monetaria/{8D415BB5-F46C-1303-2502-E8F3D51E12E1}.pdf</t>
  </si>
  <si>
    <t>D20210624</t>
  </si>
  <si>
    <t>https://www.banxico.org.mx/publicaciones-y-prensa/anuncios-de-las-decisiones-de-politica-monetaria/{AD39A465-CA97-ADA1-E27B-8D9782194B55}.pdf</t>
  </si>
  <si>
    <t>https://www.banxico.org.mx/publicaciones-y-prensa/minutas-de-las-decisiones-de-politica-monetaria/{CC691B89-EC10-6A6F-585B-306CAE99E6E1}.pdf</t>
  </si>
  <si>
    <t>D20210812</t>
  </si>
  <si>
    <t>https://www.banxico.org.mx/publicaciones-y-prensa/anuncios-de-las-decisiones-de-politica-monetaria/{9A5EF416-8E39-2862-E718-D4260F10479F}.pdf</t>
  </si>
  <si>
    <t>https://www.banxico.org.mx/publicaciones-y-prensa/minutas-de-las-decisiones-de-politica-monetaria/{A1BF3AF9-2E74-EB2D-5687-A52315DCF9CC}.pdf</t>
  </si>
  <si>
    <t>D20210930</t>
  </si>
  <si>
    <t>https://www.banxico.org.mx/publicaciones-y-prensa/anuncios-de-las-decisiones-de-politica-monetaria/{97E932C6-EBEC-85CD-37CD-5B85ED11F940}.pdf</t>
  </si>
  <si>
    <t>https://www.banxico.org.mx/publicaciones-y-prensa/minutas-de-las-decisiones-de-politica-monetaria/{8472FA9E-8795-8CAA-EE4C-FF5CB60BB2AA}.pdf</t>
  </si>
  <si>
    <t>D20211111</t>
  </si>
  <si>
    <t>https://www.banxico.org.mx/publicaciones-y-prensa/anuncios-de-las-decisiones-de-politica-monetaria/{8D85866C-A59D-E24A-BF81-25F0C999DBA5}.pdf</t>
  </si>
  <si>
    <t>https://www.banxico.org.mx/publicaciones-y-prensa/minutas-de-las-decisiones-de-politica-monetaria/{E63AB45F-CADE-0B8E-46B0-149666C3AA11}.pdf</t>
  </si>
  <si>
    <t>D20211216</t>
  </si>
  <si>
    <t>https://www.banxico.org.mx/publicaciones-y-prensa/anuncios-de-las-decisiones-de-politica-monetaria/{8AAB504C-49F8-6625-F48C-D0B48F9291E2}.pdf</t>
  </si>
  <si>
    <t>https://www.banxico.org.mx/publicaciones-y-prensa/minutas-de-las-decisiones-de-politica-monetaria/{33CEDF79-47BE-B13D-7E8C-123097794BCF}.pdf</t>
  </si>
  <si>
    <t>D20220210</t>
  </si>
  <si>
    <t>https://www.banxico.org.mx/publicaciones-y-prensa/anuncios-de-las-decisiones-de-politica-monetaria/{33C58779-7EFB-ACB7-4BC0-9B7F2444DE1D}.pdf</t>
  </si>
  <si>
    <t>https://www.banxico.org.mx/publicaciones-y-prensa/minutas-de-las-decisiones-de-politica-monetaria/{0875B96D-37BA-B260-BD4D-DB4BAC601648}.pdf</t>
  </si>
  <si>
    <t>D20220324</t>
  </si>
  <si>
    <t>https://www.banxico.org.mx/publicaciones-y-prensa/anuncios-de-las-decisiones-de-politica-monetaria/{B8C1E3A6-4106-7F67-1C3A-904D48D86D0F}.pdf</t>
  </si>
  <si>
    <t>https://www.banxico.org.mx/publicaciones-y-prensa/minutas-de-las-decisiones-de-politica-monetaria/{D4C1F630-4ECB-EE4C-1E24-7E2379F14FD6}.pdf</t>
  </si>
  <si>
    <t>D20220512</t>
  </si>
  <si>
    <t>https://www.banxico.org.mx/publicaciones-y-prensa/anuncios-de-las-decisiones-de-politica-monetaria/{45C4A1AE-E137-13A2-3F3E-5EF91735993F}.pdf</t>
  </si>
  <si>
    <t>https://www.banxico.org.mx/publicaciones-y-prensa/minutas-de-las-decisiones-de-politica-monetaria/{87EDDF27-FB92-A9FE-9FA8-1FE031E8E599}.pdf</t>
  </si>
  <si>
    <t>D20220623</t>
  </si>
  <si>
    <t>https://www.banxico.org.mx/publicaciones-y-prensa/anuncios-de-las-decisiones-de-politica-monetaria/{CACDD0D6-B5C5-C4F8-65A6-C79D36A1981D}.pdf</t>
  </si>
  <si>
    <t>https://www.banxico.org.mx/publicaciones-y-prensa/minutas-de-las-decisiones-de-politica-monetaria/{1D2B28A3-84A7-F37B-062C-8B401C04376A}.pdf</t>
  </si>
  <si>
    <t>D20220811</t>
  </si>
  <si>
    <t>https://www.banxico.org.mx/publicaciones-y-prensa/anuncios-de-las-decisiones-de-politica-monetaria/{2B8A2320-5BA7-3B8E-70D2-8AC80C34C074}.pdf</t>
  </si>
  <si>
    <t>https://www.banxico.org.mx/publicaciones-y-prensa/minutas-de-las-decisiones-de-politica-monetaria/{E49773D0-6A06-2697-567D-3A35EBA1AE9F}.pdf</t>
  </si>
  <si>
    <t>D20220929</t>
  </si>
  <si>
    <t>https://www.banxico.org.mx/publicaciones-y-prensa/anuncios-de-las-decisiones-de-politica-monetaria/{E6A0E26E-D9C0-97D7-64B7-7F2BF274178E}.pdf</t>
  </si>
  <si>
    <t>https://www.banxico.org.mx/publicaciones-y-prensa/minutas-de-las-decisiones-de-politica-monetaria/{59D865CD-B1AA-2362-DD9C-FF9032785660}.pdf</t>
  </si>
  <si>
    <t>D20221110</t>
  </si>
  <si>
    <t>https://www.banxico.org.mx/publicaciones-y-prensa/anuncios-de-las-decisiones-de-politica-monetaria/{B66AB8E7-4C51-B5BB-4463-335449EC1006}.pdf</t>
  </si>
  <si>
    <t>https://www.banxico.org.mx/publicaciones-y-prensa/minutas-de-las-decisiones-de-politica-monetaria/{AA79300D-4009-E91D-125E-C0A6E52AE8AE}.pdf</t>
  </si>
  <si>
    <t>D20221215</t>
  </si>
  <si>
    <t>https://www.banxico.org.mx/publicaciones-y-prensa/anuncios-de-las-decisiones-de-politica-monetaria/{83B088FF-1923-A73F-2914-0087A31FE25A}.pdf</t>
  </si>
  <si>
    <t>https://www.banxico.org.mx/publicaciones-y-prensa/minutas-de-las-decisiones-de-politica-monetaria/{FB6D9934-D8CC-D695-0897-940FEA7821D7}.pdf</t>
  </si>
  <si>
    <t>D20230209</t>
  </si>
  <si>
    <t>https://www.banxico.org.mx/publicaciones-y-prensa/anuncios-de-las-decisiones-de-politica-monetaria/{C38BE1D9-20AB-7D0D-C010-ED242852AF04}.pdf</t>
  </si>
  <si>
    <t>https://www.banxico.org.mx/publicaciones-y-prensa/minutas-de-las-decisiones-de-politica-monetaria/{6C23C599-227C-FE6F-CF3D-37325C858154}.pdf</t>
  </si>
  <si>
    <t>D20230330</t>
  </si>
  <si>
    <t>https://www.banxico.org.mx/publicaciones-y-prensa/anuncios-de-las-decisiones-de-politica-monetaria/{B5CDF10E-D32B-9E92-3E8E-13BB22940D60}.pdf</t>
  </si>
  <si>
    <t>https://www.banxico.org.mx/publicaciones-y-prensa/minutas-de-las-decisiones-de-politica-monetaria/{74DDC4B0-E669-BC27-745E-F453D86608D1}.pdf</t>
  </si>
  <si>
    <t>D20230518</t>
  </si>
  <si>
    <t>https://www.banxico.org.mx/publicaciones-y-prensa/anuncios-de-las-decisiones-de-politica-monetaria/{325F9D3D-8C6B-8F20-4811-1069701DB7F1}.pdf</t>
  </si>
  <si>
    <t>https://www.banxico.org.mx/publicaciones-y-prensa/minutas-de-las-decisiones-de-politica-monetaria/{35319FC4-DD42-44F0-4E44-02D64FEE7E3B}.pdf</t>
  </si>
  <si>
    <t>D20230622</t>
  </si>
  <si>
    <t>https://www.banxico.org.mx/publicaciones-y-prensa/anuncios-de-las-decisiones-de-politica-monetaria/{E24CCCC4-3EBC-F5B1-29FE-4595201C5876}.pdf</t>
  </si>
  <si>
    <t>https://www.banxico.org.mx/publicaciones-y-prensa/minutas-de-las-decisiones-de-politica-monetaria/{049153FE-C659-2401-B4E7-5F9B58624E0F}.pdf</t>
  </si>
  <si>
    <t>D20230810</t>
  </si>
  <si>
    <t>https://www.banxico.org.mx/publicaciones-y-prensa/anuncios-de-las-decisiones-de-politica-monetaria/{3E88ECF2-3506-EF3D-FAC3-63E615972207}.pdf</t>
  </si>
  <si>
    <t>https://www.banxico.org.mx/publicaciones-y-prensa/minutas-de-las-decisiones-de-politica-monetaria/{7C9B1EB3-C147-14B5-6C5C-0D2E24A675BE}.pdf</t>
  </si>
  <si>
    <t>D20230928</t>
  </si>
  <si>
    <t>https://www.banxico.org.mx/publicaciones-y-prensa/anuncios-de-las-decisiones-de-politica-monetaria/{068D6FE9-39EE-C58D-9E79-5B3A3919B796}.pdf</t>
  </si>
  <si>
    <t>https://www.banxico.org.mx/publicaciones-y-prensa/minutas-de-las-decisiones-de-politica-monetaria/{987C7F1F-C654-471E-1C8A-B18117B4D01D}.pdf</t>
  </si>
  <si>
    <t>D20231109</t>
  </si>
  <si>
    <t>https://www.banxico.org.mx/publicaciones-y-prensa/anuncios-de-las-decisiones-de-politica-monetaria/{5958E1D4-163A-6987-C87C-8228F89BDEB2}.pdf</t>
  </si>
  <si>
    <t>https://www.banxico.org.mx/publicaciones-y-prensa/minutas-de-las-decisiones-de-politica-monetaria/{B23AAD19-0964-73D4-B328-8CEB947BF591}.pdf</t>
  </si>
  <si>
    <t>D20231214</t>
  </si>
  <si>
    <t>https://www.banxico.org.mx/publicaciones-y-prensa/anuncios-de-las-decisiones-de-politica-monetaria/{C2B3629A-5738-402A-7D09-9893825E63AC}.pdf</t>
  </si>
  <si>
    <t>https://www.banxico.org.mx/publicaciones-y-prensa/minutas-de-las-decisiones-de-politica-monetaria/{323D332B-79E3-3925-8182-4E22C8B6BFF6}.pdf</t>
  </si>
  <si>
    <t>D20240208</t>
  </si>
  <si>
    <t>https://www.banxico.org.mx/publicaciones-y-prensa/anuncios-de-las-decisiones-de-politica-monetaria/{A060DBDE-00DF-1C4E-7689-CABF9211E20A}.pdf</t>
  </si>
  <si>
    <t>https://www.banxico.org.mx/publicaciones-y-prensa/minutas-de-las-decisiones-de-politica-monetaria/{6758749B-0C92-6897-39C9-120D25343FD3}.pdf</t>
  </si>
  <si>
    <t>D20240321</t>
  </si>
  <si>
    <t>https://www.banxico.org.mx/publicaciones-y-prensa/anuncios-de-las-decisiones-de-politica-monetaria/{B2A2C412-1309-2476-F333-F223A96EA033}.pdf</t>
  </si>
  <si>
    <t>https://www.banxico.org.mx/publicaciones-y-prensa/minutas-de-las-decisiones-de-politica-monetaria/{4023E0B7-02E0-F6F9-6613-842336ABBAC0}.pdf</t>
  </si>
  <si>
    <t>D20240509</t>
  </si>
  <si>
    <t>https://www.banxico.org.mx/publicaciones-y-prensa/anuncios-de-las-decisiones-de-politica-monetaria/{44CE87DF-ED9F-58D3-406B-BD6F940A6651}.pdf</t>
  </si>
  <si>
    <t>https://www.banxico.org.mx/publicaciones-y-prensa/minutas-de-las-decisiones-de-politica-monetaria/{718151B0-83F7-7381-35E1-592A83D30E6E}.pdf</t>
  </si>
  <si>
    <t>D20240627</t>
  </si>
  <si>
    <t>https://www.banxico.org.mx/publicaciones-y-prensa/anuncios-de-las-decisiones-de-politica-monetaria/{17EF4998-D892-3D29-B613-68BEF3D80B21}.pdf</t>
  </si>
  <si>
    <t>https://www.banxico.org.mx/publicaciones-y-prensa/minutas-de-las-decisiones-de-politica-monetaria/{F13FD839-189C-CF58-BF54-025B6FFE559F}.pdf</t>
  </si>
  <si>
    <t>D20240808</t>
  </si>
  <si>
    <t>https://www.banxico.org.mx/publicaciones-y-prensa/anuncios-de-las-decisiones-de-politica-monetaria/{2A30082F-C525-8B90-3E75-E54AF31A21EF}.pdf</t>
  </si>
  <si>
    <t>https://www.banxico.org.mx/publicaciones-y-prensa/minutas-de-las-decisiones-de-politica-monetaria/{C2F0671D-B457-A331-ADED-F498F00F0385}.pdf</t>
  </si>
  <si>
    <t>D20240926</t>
  </si>
  <si>
    <t>https://www.banxico.org.mx/publicaciones-y-prensa/anuncios-de-las-decisiones-de-politica-monetaria/{F6792ED1-A4C0-564D-19F1-F53F50D82B95}.pdf</t>
  </si>
  <si>
    <t>https://www.banxico.org.mx/publicaciones-y-prensa/minutas-de-las-decisiones-de-politica-monetaria/{209F9F3A-D49B-51D1-0460-9B3EA1D9EBAB}.pdf</t>
  </si>
  <si>
    <t>D20241114</t>
  </si>
  <si>
    <t>https://www.banxico.org.mx/publicaciones-y-prensa/anuncios-de-las-decisiones-de-politica-monetaria/{134BAFB3-3FAF-34A6-E510-22D771F7BA70}.pdf</t>
  </si>
  <si>
    <t>https://www.banxico.org.mx/publicaciones-y-prensa/minutas-de-las-decisiones-de-politica-monetaria/{DF53BDC1-88EC-276E-718C-AEC8DE5282B4}.pdf</t>
  </si>
  <si>
    <t>D20241219</t>
  </si>
  <si>
    <t>https://www.banxico.org.mx/publicaciones-y-prensa/anuncios-de-las-decisiones-de-politica-monetaria/{939FDDA6-702A-F315-37B0-4E422044D13E}.pdf</t>
  </si>
  <si>
    <t>https://www.banxico.org.mx/publicaciones-y-prensa/minutas-de-las-decisiones-de-politica-monetaria/{63101F6B-4E37-521E-45B3-3AB92AD757D2}.pdf</t>
  </si>
  <si>
    <t>D20250206</t>
  </si>
  <si>
    <t>https://www.banxico.org.mx/publicaciones-y-prensa/anuncios-de-las-decisiones-de-politica-monetaria/{8F4D3113-637F-2920-42DE-6A5866416A4F}.pdf</t>
  </si>
  <si>
    <t>https://www.banxico.org.mx/publicaciones-y-prensa/minutas-de-las-decisiones-de-politica-monetaria/{DFAB243C-74BE-4DFE-CD46-302D844E68EA}.pdf</t>
  </si>
  <si>
    <t>D20250327</t>
  </si>
  <si>
    <t>https://www.banxico.org.mx/publicaciones-y-prensa/anuncios-de-las-decisiones-de-politica-monetaria/{9842071D-B7B0-B46C-D052-117072FFFC84}.pdf</t>
  </si>
  <si>
    <t>https://www.banxico.org.mx/publicaciones-y-prensa/minutas-de-las-decisiones-de-politica-monetaria/{4AB9F868-2AB8-102D-ED38-1D40F1AD51DF}.pdf</t>
  </si>
  <si>
    <t>D20250515</t>
  </si>
  <si>
    <t>https://www.banxico.org.mx/publicaciones-y-prensa/anuncios-de-las-decisiones-de-politica-monetaria/{FE43A06F-5ECA-8C1D-3E51-DCD1C8657282}.pdf</t>
  </si>
  <si>
    <t>https://www.banxico.org.mx/publicaciones-y-prensa/minutas-de-las-decisiones-de-politica-monetaria/{095C9D00-95A9-1AB7-2E95-61F66587B73B}.pdf</t>
  </si>
  <si>
    <t>D20250626</t>
  </si>
  <si>
    <t>https://www.banxico.org.mx/publicaciones-y-prensa/anuncios-de-las-decisiones-de-politica-monetaria/{7774AEE4-AF2E-9A74-A34C-EDB53F483361}.pdf</t>
  </si>
  <si>
    <t>https://www.banxico.org.mx/publicaciones-y-prensa/minutas-de-las-decisiones-de-politica-monetaria/{A354B917-F0F6-E4BE-CA35-B1F77AC37840}.pdf</t>
  </si>
  <si>
    <t>D20250807</t>
  </si>
  <si>
    <t>https://www.banxico.org.mx/publicaciones-y-prensa/anuncios-de-las-decisiones-de-politica-monetaria/{2C71C5A0-BAB3-8C65-D666-AB9B5D82557E}.pdf</t>
  </si>
  <si>
    <t>https://www.banxico.org.mx/publicaciones-y-prensa/minutas-de-las-decisiones-de-politica-monetaria/{93076C6E-4055-680E-9986-389D0B64F5E7}.pdf</t>
  </si>
  <si>
    <t>D20250925</t>
  </si>
  <si>
    <t>https://www.banxico.org.mx/publicaciones-y-prensa/anuncios-de-las-decisiones-de-politica-monetaria/{013E2D79-2677-5E71-FA22-DD8825AA7C45}.pdf</t>
  </si>
  <si>
    <t>https://www.banxico.org.mx/publicaciones-y-prensa/minutas-de-las-decisiones-de-politica-monetaria/{51E24FD1-CEA3-EEDA-ECB3-B6BFDC8B6671}.pdf</t>
  </si>
  <si>
    <t>D20251106</t>
  </si>
  <si>
    <t>https://www.banxico.org.mx/publicaciones-y-prensa/anuncios-de-las-decisiones-de-politica-monetaria/{EBE40A87-D410-9D84-25A1-935964853DED}.pdf</t>
  </si>
  <si>
    <t>https://www.banxico.org.mx/publicaciones-y-prensa/minutas-de-las-decisiones-de-politica-monetaria/{7EFA29F5-D827-0AA7-5D7A-55C06B82161A}.pdf</t>
  </si>
  <si>
    <t>D20251218</t>
  </si>
  <si>
    <t>https://www.banxico.org.mx/publicaciones-y-prensa/anuncios-de-las-decisiones-de-politica-monetaria/{7EC38EB9-5F4D-5857-805D-2471209BFEBA}.pdf</t>
  </si>
  <si>
    <t>https://www.banxico.org.mx/publicaciones-y-prensa/minutas-de-las-decisiones-de-politica-monetaria/{8017E12E-03DE-78EB-C26E-680454144343}.pdf</t>
  </si>
  <si>
    <t>D20260205</t>
  </si>
  <si>
    <t>https://www.banxico.org.mx/publicaciones-y-prensa/anuncios-de-las-decisiones-de-politica-monetaria/{318D71D0-F37D-869C-E8B4-8E58FD9D3648}.pdf</t>
  </si>
  <si>
    <t>https://www.banxico.org.mx/publicaciones-y-prensa/minutas-de-las-decisiones-de-politica-monetaria/{5701F165-479A-EF00-AFC5-8D2BA594692E}.pdf</t>
  </si>
  <si>
    <t>D20260326</t>
  </si>
  <si>
    <t>https://www.banxico.org.mx/publicaciones-y-prensa/anuncios-de-las-decisiones-de-politica-monetaria/{44EB2DF8-E71A-1553-7322-F60A34382EBA}.pdf</t>
  </si>
  <si>
    <t>https://www.banxico.org.mx/publicaciones-y-prensa/minutas-de-las-decisiones-de-politica-monetaria/{FAC24258-9128-F1BD-D497-6225C392ED52}.pdf</t>
  </si>
  <si>
    <t>D20260507</t>
  </si>
  <si>
    <t>https://www.banxico.org.mx/publicaciones-y-prensa/anuncios-de-las-decisiones-de-politica-monetaria/{8A05C722-0A97-4527-2166-0CE802CE6838}.pdf</t>
  </si>
  <si>
    <t>https://www.banxico.org.mx/publicaciones-y-prensa/minutas-de-las-decisiones-de-politica-monetaria/{3F15F7F1-3E5A-4FD4-E0C0-B4BEA1703FAF}.pdf</t>
  </si>
  <si>
    <t>D20260625</t>
  </si>
  <si>
    <t>https://www.banxico.org.mx/publicaciones-y-prensa/anuncios-de-las-decisiones-de-politica-monetaria/{F6667DDE-E87D-68A3-0EBB-A4DF9048E403}.pdf</t>
  </si>
  <si>
    <t>https://www.banxico.org.mx/publicaciones-y-prensa/minutas-de-las-decisiones-de-politica-monetaria/{34C74125-16AD-2F94-0E20-DB9349E8AB97}.pdf</t>
  </si>
  <si>
    <t>Persona_ID</t>
  </si>
  <si>
    <t>Cargo</t>
  </si>
  <si>
    <t>Participacion_Confirmada</t>
  </si>
  <si>
    <t>P009</t>
  </si>
  <si>
    <t>Integrante de la Junta de Gobierno</t>
  </si>
  <si>
    <t>Presente</t>
  </si>
  <si>
    <t>Presencia confirmada por la lista de asistentes y/o el voto nominal. Comunicado: https://www.banxico.org.mx/publicaciones-y-prensa/anuncios-de-las-decisiones-de-politica-monetaria/{FA7D3584-6233-EB61-D6D0-420712FB01C2}.pdf | Minuta: https://www.banxico.org.mx/publicaciones-y-prensa/minutas-de-las-decisiones-de-politica-monetaria/{1FC983E2-2499-C296-FE71-85F7ABD67EC3}.pdf</t>
  </si>
  <si>
    <t>P012</t>
  </si>
  <si>
    <t>P013</t>
  </si>
  <si>
    <t>P014</t>
  </si>
  <si>
    <t>P015</t>
  </si>
  <si>
    <t>Presencia confirmada por la lista de asistentes y/o el voto nominal. Comunicado: https://www.banxico.org.mx/publicaciones-y-prensa/anuncios-de-las-decisiones-de-politica-monetaria/{32F5F0C4-9EE7-8BB9-3AE0-291882583F3B}.pdf | Minuta: https://www.banxico.org.mx/publicaciones-y-prensa/minutas-de-las-decisiones-de-politica-monetaria/{9D52CB8A-4EA3-F381-42CC-B4A5E02E76E1}.pdf</t>
  </si>
  <si>
    <t>Presencia confirmada por la lista de asistentes y/o el voto nominal. Comunicado: https://www.banxico.org.mx/publicaciones-y-prensa/anuncios-de-las-decisiones-de-politica-monetaria/{B0E8D2FC-D7D2-F62C-E385-936DB840A68A}.pdf | Minuta: https://www.banxico.org.mx/publicaciones-y-prensa/minutas-de-las-decisiones-de-politica-monetaria/{BC265005-129F-A5FD-309A-229CC8559229}.pdf</t>
  </si>
  <si>
    <t>Presencia confirmada por la lista de asistentes y/o el voto nominal. Comunicado: https://www.banxico.org.mx/publicaciones-y-prensa/anuncios-de-las-decisiones-de-politica-monetaria/{4A8C90EF-5034-468A-D5A0-92CA39FCBD21}.pdf | Minuta: https://www.banxico.org.mx/publicaciones-y-prensa/minutas-de-las-decisiones-de-politica-monetaria/{50ED7644-47A9-934D-4C49-3CDF170A0FFC}.pdf</t>
  </si>
  <si>
    <t>Presencia confirmada por la lista de asistentes y/o el voto nominal. Comunicado: https://www.banxico.org.mx/publicaciones-y-prensa/anuncios-de-las-decisiones-de-politica-monetaria/{759F9C79-B40F-CD69-E10F-C56C3265923A}.pdf | Minuta: https://www.banxico.org.mx/publicaciones-y-prensa/minutas-de-las-decisiones-de-politica-monetaria/{E71098EA-AC1E-45CB-F1FC-1BCA43571239}.pdf</t>
  </si>
  <si>
    <t>Vacante</t>
  </si>
  <si>
    <t>Vacante documentada entre la renuncia efectiva de Roberto del Cueto y la designación de Gerardo Esquivel. Fuentes oficiales: https://www.banxico.org.mx/publicaciones-y-prensa/miscelaneos/%7BC5A7D143-40F7-225C-9512-BF9225502B23%7D.pdf | https://www.banxico.org.mx/publicaciones-y-prensa/miscelaneos/%7BD37EA8D9-E439-1416-06B2-539CF2DC3B90%7D.pdf</t>
  </si>
  <si>
    <t>Presencia confirmada por la lista de asistentes y/o el voto nominal. Comunicado: https://www.banxico.org.mx/publicaciones-y-prensa/anuncios-de-las-decisiones-de-politica-monetaria/{0CB97688-9500-D1A2-A000-C60DAF3E853F}.pdf | Minuta: https://www.banxico.org.mx/publicaciones-y-prensa/minutas-de-las-decisiones-de-politica-monetaria/{5EC61A9B-E408-3DA8-C647-97B441EC6D76}.pdf</t>
  </si>
  <si>
    <t>Presencia confirmada por la lista de asistentes y/o el voto nominal. Comunicado: https://www.banxico.org.mx/publicaciones-y-prensa/anuncios-de-las-decisiones-de-politica-monetaria/{066D3F9D-6038-F9FD-88C6-DFE4977DF0D3}.pdf | Minuta: https://www.banxico.org.mx/publicaciones-y-prensa/minutas-de-las-decisiones-de-politica-monetaria/{A63CB66A-5AED-15AE-F534-2D99FB3FA7C9}.pdf</t>
  </si>
  <si>
    <t>P016</t>
  </si>
  <si>
    <t>P017</t>
  </si>
  <si>
    <t>Presencia confirmada por la lista de asistentes y/o el voto nominal. Comunicado: https://www.banxico.org.mx/publicaciones-y-prensa/anuncios-de-las-decisiones-de-politica-monetaria/{0F4AB746-781C-0D0A-5E3F-D5D28B14040C}.pdf | Minuta: https://www.banxico.org.mx/publicaciones-y-prensa/minutas-de-las-decisiones-de-politica-monetaria/{FB16B517-D1BF-D281-60B9-C3552469117C}.pdf</t>
  </si>
  <si>
    <t>Presencia confirmada por la lista de asistentes y/o el voto nominal. Comunicado: https://www.banxico.org.mx/publicaciones-y-prensa/anuncios-de-las-decisiones-de-politica-monetaria/{F4FA44AB-E4ED-59FA-100A-7791AA0085CD}.pdf | Minuta: https://www.banxico.org.mx/publicaciones-y-prensa/minutas-de-las-decisiones-de-politica-monetaria/{E543784E-F02B-7492-2776-B981AC479D9A}.pdf</t>
  </si>
  <si>
    <t>Presencia confirmada por la lista de asistentes y/o el voto nominal. Comunicado: https://www.banxico.org.mx/publicaciones-y-prensa/anuncios-de-las-decisiones-de-politica-monetaria/{BBE502FD-07B1-0B6F-80BD-8F9372DB224D}.pdf | Minuta: https://www.banxico.org.mx/publicaciones-y-prensa/minutas-de-las-decisiones-de-politica-monetaria/{912CEB1F-464B-29BA-A44E-1BEA0938891D}.pdf</t>
  </si>
  <si>
    <t>Presencia confirmada por la lista de asistentes y/o el voto nominal. Comunicado: https://www.banxico.org.mx/publicaciones-y-prensa/anuncios-de-las-decisiones-de-politica-monetaria/{B661860D-753B-D805-90A3-0451F6011307}.pdf | Minuta: https://www.banxico.org.mx/publicaciones-y-prensa/minutas-de-las-decisiones-de-politica-monetaria/{4BD2C2C1-8EE6-3A11-68A2-AAC044D90E03}.pdf</t>
  </si>
  <si>
    <t>Presencia confirmada por la lista de asistentes y/o el voto nominal. Comunicado: https://www.banxico.org.mx/publicaciones-y-prensa/anuncios-de-las-decisiones-de-politica-monetaria/{1170CD25-C24D-E99C-F3D3-6B86D1822E65}.pdf | Minuta: https://www.banxico.org.mx/publicaciones-y-prensa/minutas-de-las-decisiones-de-politica-monetaria/{C4659F26-F0C4-33C0-8B63-D01B971A39C5}.pdf</t>
  </si>
  <si>
    <t>Presencia confirmada por la lista de asistentes y/o el voto nominal. Comunicado: https://www.banxico.org.mx/publicaciones-y-prensa/anuncios-de-las-decisiones-de-politica-monetaria/{0DD5A3F4-0B57-8F6A-6F98-1F5048852A35}.pdf | Minuta: https://www.banxico.org.mx/publicaciones-y-prensa/minutas-de-las-decisiones-de-politica-monetaria/{DA837B97-2456-1C39-BFBA-2B3C7513C14F}.pdf</t>
  </si>
  <si>
    <t>Presencia confirmada por la lista de asistentes y/o el voto nominal. Comunicado: https://www.banxico.org.mx/publicaciones-y-prensa/anuncios-de-las-decisiones-de-politica-monetaria/{D5328504-B958-4BE0-44A3-9363FCAC99D3}.pdf | Minuta: https://www.banxico.org.mx/publicaciones-y-prensa/minutas-de-las-decisiones-de-politica-monetaria/{B272DF7F-5D8B-16A0-9C8E-ECD755C73721}.pdf</t>
  </si>
  <si>
    <t>Presencia confirmada por la lista de asistentes y/o el voto nominal. Comunicado: https://www.banxico.org.mx/publicaciones-y-prensa/anuncios-de-las-decisiones-de-politica-monetaria/{F2570B49-2124-CAD3-09A5-380DC3E4CD0C}.pdf | Minuta: https://www.banxico.org.mx/publicaciones-y-prensa/minutas-de-las-decisiones-de-politica-monetaria/{241DD6DE-AA67-3DC2-1B9A-009A5815ECFB}.pdf</t>
  </si>
  <si>
    <t>Presencia confirmada por la lista de asistentes y/o el voto nominal. Comunicado: https://www.banxico.org.mx/publicaciones-y-prensa/anuncios-de-las-decisiones-de-politica-monetaria/{7083B1E9-31C2-67FE-BA71-A63B075075DD}.pdf | Minuta: https://www.banxico.org.mx/publicaciones-y-prensa/minutas-de-las-decisiones-de-politica-monetaria/{2A182BDA-0A22-90DE-9F58-24928C084F74}.pdf</t>
  </si>
  <si>
    <t>Presencia confirmada por la lista de asistentes y/o el voto nominal. Comunicado: https://www.banxico.org.mx/publicaciones-y-prensa/anuncios-de-las-decisiones-de-politica-monetaria/{4C34FC42-3AB6-4DC4-8767-92CAE7B0C3D3}.pdf | Minuta: https://www.banxico.org.mx/publicaciones-y-prensa/minutas-de-las-decisiones-de-politica-monetaria/{665174C6-A934-C6C4-1796-96FCFA229CCD}.pdf</t>
  </si>
  <si>
    <t>Presencia confirmada por la lista de asistentes y/o el voto nominal. Comunicado: https://www.banxico.org.mx/publicaciones-y-prensa/anuncios-de-las-decisiones-de-politica-monetaria/{062CAE9F-B896-D200-76F6-1A8BB2DB6394}.pdf | Minuta: https://www.banxico.org.mx/publicaciones-y-prensa/minutas-de-las-decisiones-de-politica-monetaria/{1572CEB0-A2D5-D0AB-D09B-473165C56834}.pdf</t>
  </si>
  <si>
    <t>Presencia confirmada por la lista de asistentes y/o el voto nominal. Comunicado: https://www.banxico.org.mx/publicaciones-y-prensa/anuncios-de-las-decisiones-de-politica-monetaria/{6BFED160-28CF-F1EA-44B9-27AF079C0309}.pdf | Minuta: https://www.banxico.org.mx/publicaciones-y-prensa/minutas-de-las-decisiones-de-politica-monetaria/{350A9952-EE00-D4BD-DB69-7624D891589D}.pdf</t>
  </si>
  <si>
    <t>Presencia confirmada por la lista de asistentes y/o el voto nominal. Comunicado: https://www.banxico.org.mx/publicaciones-y-prensa/anuncios-de-las-decisiones-de-politica-monetaria/{45FDC5E7-8F7D-750F-C606-8EBB1CCB7FC6}.pdf | Minuta: https://www.banxico.org.mx/publicaciones-y-prensa/minutas-de-las-decisiones-de-politica-monetaria/{97C9BB82-2331-1715-A58F-63C866B1A196}.pdf</t>
  </si>
  <si>
    <t>Presencia confirmada por la lista de asistentes y/o el voto nominal. Comunicado: https://www.banxico.org.mx/publicaciones-y-prensa/anuncios-de-las-decisiones-de-politica-monetaria/{D3EEE7A3-E789-A6EC-66A1-9F2BD915053F}.pdf | Minuta: https://www.banxico.org.mx/publicaciones-y-prensa/minutas-de-las-decisiones-de-politica-monetaria/{ADAE24CF-834B-5A2E-AE91-AADFE44AA5F2}.pdf</t>
  </si>
  <si>
    <t>Presencia confirmada por la lista de asistentes y/o el voto nominal. Comunicado: https://www.banxico.org.mx/publicaciones-y-prensa/anuncios-de-las-decisiones-de-politica-monetaria/{9118C9E6-B3FA-7FE0-FE39-2A7AFC13E990}.pdf | Minuta: https://www.banxico.org.mx/publicaciones-y-prensa/minutas-de-las-decisiones-de-politica-monetaria/{9C238281-DD06-81CE-57B3-C5904A020C22}.pdf</t>
  </si>
  <si>
    <t>Presencia confirmada por la lista de asistentes y/o el voto nominal. Comunicado: https://www.banxico.org.mx/publicaciones-y-prensa/anuncios-de-las-decisiones-de-politica-monetaria/{611D06FF-825B-33F9-C451-6C765A2F5EA3}.pdf | Minuta: https://www.banxico.org.mx/publicaciones-y-prensa/minutas-de-las-decisiones-de-politica-monetaria/{7BEFC36F-BA57-8084-F183-3EDBCEE27958}.pdf</t>
  </si>
  <si>
    <t>Presencia confirmada por la lista de asistentes y/o el voto nominal. Comunicado: https://www.banxico.org.mx/publicaciones-y-prensa/anuncios-de-las-decisiones-de-politica-monetaria/{51B1BFD4-35F8-20D6-7A8A-FBFCE7C82118}.pdf | Minuta: https://www.banxico.org.mx/publicaciones-y-prensa/minutas-de-las-decisiones-de-politica-monetaria/{3D041441-5195-710D-6285-49DED93EDFD4}.pdf</t>
  </si>
  <si>
    <t>P018</t>
  </si>
  <si>
    <t>Presencia confirmada por la lista de asistentes y/o el voto nominal. Comunicado: https://www.banxico.org.mx/publicaciones-y-prensa/anuncios-de-las-decisiones-de-politica-monetaria/{3A065470-7398-7002-B40F-7DD4F7ED3B45}.pdf | Minuta: https://www.banxico.org.mx/publicaciones-y-prensa/minutas-de-las-decisiones-de-politica-monetaria/{22CCE220-F109-B27C-B79F-9E51E62F95C7}.pdf</t>
  </si>
  <si>
    <t>Presencia confirmada por la lista de asistentes y/o el voto nominal. Comunicado: https://www.banxico.org.mx/publicaciones-y-prensa/anuncios-de-las-decisiones-de-politica-monetaria/{314F1C8B-65D3-5FDE-AD2F-678BA3747D58}.pdf | Minuta: https://www.banxico.org.mx/publicaciones-y-prensa/minutas-de-las-decisiones-de-politica-monetaria/{8D415BB5-F46C-1303-2502-E8F3D51E12E1}.pdf</t>
  </si>
  <si>
    <t>Presencia confirmada por la lista de asistentes y/o el voto nominal. Comunicado: https://www.banxico.org.mx/publicaciones-y-prensa/anuncios-de-las-decisiones-de-politica-monetaria/{AD39A465-CA97-ADA1-E27B-8D9782194B55}.pdf | Minuta: https://www.banxico.org.mx/publicaciones-y-prensa/minutas-de-las-decisiones-de-politica-monetaria/{CC691B89-EC10-6A6F-585B-306CAE99E6E1}.pdf</t>
  </si>
  <si>
    <t>Presencia confirmada por la lista de asistentes y/o el voto nominal. Comunicado: https://www.banxico.org.mx/publicaciones-y-prensa/anuncios-de-las-decisiones-de-politica-monetaria/{9A5EF416-8E39-2862-E718-D4260F10479F}.pdf | Minuta: https://www.banxico.org.mx/publicaciones-y-prensa/minutas-de-las-decisiones-de-politica-monetaria/{A1BF3AF9-2E74-EB2D-5687-A52315DCF9CC}.pdf</t>
  </si>
  <si>
    <t>Presencia confirmada por la lista de asistentes y/o el voto nominal. Comunicado: https://www.banxico.org.mx/publicaciones-y-prensa/anuncios-de-las-decisiones-de-politica-monetaria/{97E932C6-EBEC-85CD-37CD-5B85ED11F940}.pdf | Minuta: https://www.banxico.org.mx/publicaciones-y-prensa/minutas-de-las-decisiones-de-politica-monetaria/{8472FA9E-8795-8CAA-EE4C-FF5CB60BB2AA}.pdf</t>
  </si>
  <si>
    <t>Presencia confirmada por la lista de asistentes y/o el voto nominal. Comunicado: https://www.banxico.org.mx/publicaciones-y-prensa/anuncios-de-las-decisiones-de-politica-monetaria/{8D85866C-A59D-E24A-BF81-25F0C999DBA5}.pdf | Minuta: https://www.banxico.org.mx/publicaciones-y-prensa/minutas-de-las-decisiones-de-politica-monetaria/{E63AB45F-CADE-0B8E-46B0-149666C3AA11}.pdf</t>
  </si>
  <si>
    <t>Presencia confirmada por la lista de asistentes y/o el voto nominal. Comunicado: https://www.banxico.org.mx/publicaciones-y-prensa/anuncios-de-las-decisiones-de-politica-monetaria/{8AAB504C-49F8-6625-F48C-D0B48F9291E2}.pdf | Minuta: https://www.banxico.org.mx/publicaciones-y-prensa/minutas-de-las-decisiones-de-politica-monetaria/{33CEDF79-47BE-B13D-7E8C-123097794BCF}.pdf</t>
  </si>
  <si>
    <t>Presencia confirmada por la lista de asistentes y/o el voto nominal. Comunicado: https://www.banxico.org.mx/publicaciones-y-prensa/anuncios-de-las-decisiones-de-politica-monetaria/{33C58779-7EFB-ACB7-4BC0-9B7F2444DE1D}.pdf | Minuta: https://www.banxico.org.mx/publicaciones-y-prensa/minutas-de-las-decisiones-de-politica-monetaria/{0875B96D-37BA-B260-BD4D-DB4BAC601648}.pdf</t>
  </si>
  <si>
    <t>P019</t>
  </si>
  <si>
    <t>Presencia confirmada por la lista de asistentes y/o el voto nominal. Comunicado: https://www.banxico.org.mx/publicaciones-y-prensa/anuncios-de-las-decisiones-de-politica-monetaria/{B8C1E3A6-4106-7F67-1C3A-904D48D86D0F}.pdf | Minuta: https://www.banxico.org.mx/publicaciones-y-prensa/minutas-de-las-decisiones-de-politica-monetaria/{D4C1F630-4ECB-EE4C-1E24-7E2379F14FD6}.pdf</t>
  </si>
  <si>
    <t>Presencia confirmada por la lista de asistentes y/o el voto nominal. Comunicado: https://www.banxico.org.mx/publicaciones-y-prensa/anuncios-de-las-decisiones-de-politica-monetaria/{45C4A1AE-E137-13A2-3F3E-5EF91735993F}.pdf | Minuta: https://www.banxico.org.mx/publicaciones-y-prensa/minutas-de-las-decisiones-de-politica-monetaria/{87EDDF27-FB92-A9FE-9FA8-1FE031E8E599}.pdf</t>
  </si>
  <si>
    <t>Presencia confirmada por la lista de asistentes y/o el voto nominal. Comunicado: https://www.banxico.org.mx/publicaciones-y-prensa/anuncios-de-las-decisiones-de-politica-monetaria/{CACDD0D6-B5C5-C4F8-65A6-C79D36A1981D}.pdf | Minuta: https://www.banxico.org.mx/publicaciones-y-prensa/minutas-de-las-decisiones-de-politica-monetaria/{1D2B28A3-84A7-F37B-062C-8B401C04376A}.pdf</t>
  </si>
  <si>
    <t>Presencia confirmada por la lista de asistentes y/o el voto nominal. Comunicado: https://www.banxico.org.mx/publicaciones-y-prensa/anuncios-de-las-decisiones-de-politica-monetaria/{2B8A2320-5BA7-3B8E-70D2-8AC80C34C074}.pdf | Minuta: https://www.banxico.org.mx/publicaciones-y-prensa/minutas-de-las-decisiones-de-politica-monetaria/{E49773D0-6A06-2697-567D-3A35EBA1AE9F}.pdf</t>
  </si>
  <si>
    <t>Presencia confirmada por la lista de asistentes y/o el voto nominal. Comunicado: https://www.banxico.org.mx/publicaciones-y-prensa/anuncios-de-las-decisiones-de-politica-monetaria/{E6A0E26E-D9C0-97D7-64B7-7F2BF274178E}.pdf | Minuta: https://www.banxico.org.mx/publicaciones-y-prensa/minutas-de-las-decisiones-de-politica-monetaria/{59D865CD-B1AA-2362-DD9C-FF9032785660}.pdf</t>
  </si>
  <si>
    <t>Presencia confirmada por la lista de asistentes y/o el voto nominal. Comunicado: https://www.banxico.org.mx/publicaciones-y-prensa/anuncios-de-las-decisiones-de-politica-monetaria/{B66AB8E7-4C51-B5BB-4463-335449EC1006}.pdf | Minuta: https://www.banxico.org.mx/publicaciones-y-prensa/minutas-de-las-decisiones-de-politica-monetaria/{AA79300D-4009-E91D-125E-C0A6E52AE8AE}.pdf</t>
  </si>
  <si>
    <t>Presencia confirmada por la lista de asistentes y/o el voto nominal. Comunicado: https://www.banxico.org.mx/publicaciones-y-prensa/anuncios-de-las-decisiones-de-politica-monetaria/{83B088FF-1923-A73F-2914-0087A31FE25A}.pdf | Minuta: https://www.banxico.org.mx/publicaciones-y-prensa/minutas-de-las-decisiones-de-politica-monetaria/{FB6D9934-D8CC-D695-0897-940FEA7821D7}.pdf</t>
  </si>
  <si>
    <t>Presencia confirmada por la lista de asistentes y/o el voto nominal. Comunicado: https://www.banxico.org.mx/publicaciones-y-prensa/anuncios-de-las-decisiones-de-politica-monetaria/{C38BE1D9-20AB-7D0D-C010-ED242852AF04}.pdf | Minuta: https://www.banxico.org.mx/publicaciones-y-prensa/minutas-de-las-decisiones-de-politica-monetaria/{6C23C599-227C-FE6F-CF3D-37325C858154}.pdf</t>
  </si>
  <si>
    <t>P020</t>
  </si>
  <si>
    <t>Presencia confirmada por la lista de asistentes y/o el voto nominal. Comunicado: https://www.banxico.org.mx/publicaciones-y-prensa/anuncios-de-las-decisiones-de-politica-monetaria/{B5CDF10E-D32B-9E92-3E8E-13BB22940D60}.pdf | Minuta: https://www.banxico.org.mx/publicaciones-y-prensa/minutas-de-las-decisiones-de-politica-monetaria/{74DDC4B0-E669-BC27-745E-F453D86608D1}.pdf</t>
  </si>
  <si>
    <t>Presencia confirmada por la lista de asistentes y/o el voto nominal. Comunicado: https://www.banxico.org.mx/publicaciones-y-prensa/anuncios-de-las-decisiones-de-politica-monetaria/{325F9D3D-8C6B-8F20-4811-1069701DB7F1}.pdf | Minuta: https://www.banxico.org.mx/publicaciones-y-prensa/minutas-de-las-decisiones-de-politica-monetaria/{35319FC4-DD42-44F0-4E44-02D64FEE7E3B}.pdf</t>
  </si>
  <si>
    <t>Presencia confirmada por la lista de asistentes y/o el voto nominal. Comunicado: https://www.banxico.org.mx/publicaciones-y-prensa/anuncios-de-las-decisiones-de-politica-monetaria/{E24CCCC4-3EBC-F5B1-29FE-4595201C5876}.pdf | Minuta: https://www.banxico.org.mx/publicaciones-y-prensa/minutas-de-las-decisiones-de-politica-monetaria/{049153FE-C659-2401-B4E7-5F9B58624E0F}.pdf</t>
  </si>
  <si>
    <t>Presencia confirmada por la lista de asistentes y/o el voto nominal. Comunicado: https://www.banxico.org.mx/publicaciones-y-prensa/anuncios-de-las-decisiones-de-politica-monetaria/{3E88ECF2-3506-EF3D-FAC3-63E615972207}.pdf | Minuta: https://www.banxico.org.mx/publicaciones-y-prensa/minutas-de-las-decisiones-de-politica-monetaria/{7C9B1EB3-C147-14B5-6C5C-0D2E24A675BE}.pdf</t>
  </si>
  <si>
    <t>Presencia confirmada por la lista de asistentes y/o el voto nominal. Comunicado: https://www.banxico.org.mx/publicaciones-y-prensa/anuncios-de-las-decisiones-de-politica-monetaria/{068D6FE9-39EE-C58D-9E79-5B3A3919B796}.pdf | Minuta: https://www.banxico.org.mx/publicaciones-y-prensa/minutas-de-las-decisiones-de-politica-monetaria/{987C7F1F-C654-471E-1C8A-B18117B4D01D}.pdf</t>
  </si>
  <si>
    <t>Presencia confirmada por la lista de asistentes y/o el voto nominal. Comunicado: https://www.banxico.org.mx/publicaciones-y-prensa/anuncios-de-las-decisiones-de-politica-monetaria/{5958E1D4-163A-6987-C87C-8228F89BDEB2}.pdf | Minuta: https://www.banxico.org.mx/publicaciones-y-prensa/minutas-de-las-decisiones-de-politica-monetaria/{B23AAD19-0964-73D4-B328-8CEB947BF591}.pdf</t>
  </si>
  <si>
    <t>Presencia confirmada por la lista de asistentes y/o el voto nominal. Comunicado: https://www.banxico.org.mx/publicaciones-y-prensa/anuncios-de-las-decisiones-de-politica-monetaria/{C2B3629A-5738-402A-7D09-9893825E63AC}.pdf | Minuta: https://www.banxico.org.mx/publicaciones-y-prensa/minutas-de-las-decisiones-de-politica-monetaria/{323D332B-79E3-3925-8182-4E22C8B6BFF6}.pdf</t>
  </si>
  <si>
    <t>Presencia confirmada por la lista de asistentes y/o el voto nominal. Comunicado: https://www.banxico.org.mx/publicaciones-y-prensa/anuncios-de-las-decisiones-de-politica-monetaria/{A060DBDE-00DF-1C4E-7689-CABF9211E20A}.pdf | Minuta: https://www.banxico.org.mx/publicaciones-y-prensa/minutas-de-las-decisiones-de-politica-monetaria/{6758749B-0C92-6897-39C9-120D25343FD3}.pdf</t>
  </si>
  <si>
    <t>Presencia confirmada por la lista de asistentes y/o el voto nominal. Comunicado: https://www.banxico.org.mx/publicaciones-y-prensa/anuncios-de-las-decisiones-de-politica-monetaria/{B2A2C412-1309-2476-F333-F223A96EA033}.pdf | Minuta: https://www.banxico.org.mx/publicaciones-y-prensa/minutas-de-las-decisiones-de-politica-monetaria/{4023E0B7-02E0-F6F9-6613-842336ABBAC0}.pdf</t>
  </si>
  <si>
    <t>Presencia confirmada por la lista de asistentes y/o el voto nominal. Comunicado: https://www.banxico.org.mx/publicaciones-y-prensa/anuncios-de-las-decisiones-de-politica-monetaria/{44CE87DF-ED9F-58D3-406B-BD6F940A6651}.pdf | Minuta: https://www.banxico.org.mx/publicaciones-y-prensa/minutas-de-las-decisiones-de-politica-monetaria/{718151B0-83F7-7381-35E1-592A83D30E6E}.pdf</t>
  </si>
  <si>
    <t>Presencia confirmada por la lista de asistentes y/o el voto nominal. Comunicado: https://www.banxico.org.mx/publicaciones-y-prensa/anuncios-de-las-decisiones-de-politica-monetaria/{17EF4998-D892-3D29-B613-68BEF3D80B21}.pdf | Minuta: https://www.banxico.org.mx/publicaciones-y-prensa/minutas-de-las-decisiones-de-politica-monetaria/{F13FD839-189C-CF58-BF54-025B6FFE559F}.pdf</t>
  </si>
  <si>
    <t>Presencia confirmada por la lista de asistentes y/o el voto nominal. Comunicado: https://www.banxico.org.mx/publicaciones-y-prensa/anuncios-de-las-decisiones-de-politica-monetaria/{2A30082F-C525-8B90-3E75-E54AF31A21EF}.pdf | Minuta: https://www.banxico.org.mx/publicaciones-y-prensa/minutas-de-las-decisiones-de-politica-monetaria/{C2F0671D-B457-A331-ADED-F498F00F0385}.pdf</t>
  </si>
  <si>
    <t>Presencia confirmada por la lista de asistentes y/o el voto nominal. Comunicado: https://www.banxico.org.mx/publicaciones-y-prensa/anuncios-de-las-decisiones-de-politica-monetaria/{F6792ED1-A4C0-564D-19F1-F53F50D82B95}.pdf | Minuta: https://www.banxico.org.mx/publicaciones-y-prensa/minutas-de-las-decisiones-de-politica-monetaria/{209F9F3A-D49B-51D1-0460-9B3EA1D9EBAB}.pdf</t>
  </si>
  <si>
    <t>Presencia confirmada por la lista de asistentes y/o el voto nominal. Comunicado: https://www.banxico.org.mx/publicaciones-y-prensa/anuncios-de-las-decisiones-de-politica-monetaria/{134BAFB3-3FAF-34A6-E510-22D771F7BA70}.pdf | Minuta: https://www.banxico.org.mx/publicaciones-y-prensa/minutas-de-las-decisiones-de-politica-monetaria/{DF53BDC1-88EC-276E-718C-AEC8DE5282B4}.pdf</t>
  </si>
  <si>
    <t>Presencia confirmada por la lista de asistentes y/o el voto nominal. Comunicado: https://www.banxico.org.mx/publicaciones-y-prensa/anuncios-de-las-decisiones-de-politica-monetaria/{939FDDA6-702A-F315-37B0-4E422044D13E}.pdf | Minuta: https://www.banxico.org.mx/publicaciones-y-prensa/minutas-de-las-decisiones-de-politica-monetaria/{63101F6B-4E37-521E-45B3-3AB92AD757D2}.pdf</t>
  </si>
  <si>
    <t>Presencia confirmada por la lista de asistentes y/o el voto nominal. Comunicado: https://www.banxico.org.mx/publicaciones-y-prensa/anuncios-de-las-decisiones-de-politica-monetaria/{8F4D3113-637F-2920-42DE-6A5866416A4F}.pdf | Minuta: https://www.banxico.org.mx/publicaciones-y-prensa/minutas-de-las-decisiones-de-politica-monetaria/{DFAB243C-74BE-4DFE-CD46-302D844E68EA}.pdf</t>
  </si>
  <si>
    <t>P021</t>
  </si>
  <si>
    <t>Presencia confirmada por la lista de asistentes y/o el voto nominal. Comunicado: https://www.banxico.org.mx/publicaciones-y-prensa/anuncios-de-las-decisiones-de-politica-monetaria/{9842071D-B7B0-B46C-D052-117072FFFC84}.pdf | Minuta: https://www.banxico.org.mx/publicaciones-y-prensa/minutas-de-las-decisiones-de-politica-monetaria/{4AB9F868-2AB8-102D-ED38-1D40F1AD51DF}.pdf</t>
  </si>
  <si>
    <t>Presencia confirmada por la lista de asistentes y/o el voto nominal. Comunicado: https://www.banxico.org.mx/publicaciones-y-prensa/anuncios-de-las-decisiones-de-politica-monetaria/{FE43A06F-5ECA-8C1D-3E51-DCD1C8657282}.pdf | Minuta: https://www.banxico.org.mx/publicaciones-y-prensa/minutas-de-las-decisiones-de-politica-monetaria/{095C9D00-95A9-1AB7-2E95-61F66587B73B}.pdf</t>
  </si>
  <si>
    <t>Presencia confirmada por la lista de asistentes y/o el voto nominal. Comunicado: https://www.banxico.org.mx/publicaciones-y-prensa/anuncios-de-las-decisiones-de-politica-monetaria/{7774AEE4-AF2E-9A74-A34C-EDB53F483361}.pdf | Minuta: https://www.banxico.org.mx/publicaciones-y-prensa/minutas-de-las-decisiones-de-politica-monetaria/{A354B917-F0F6-E4BE-CA35-B1F77AC37840}.pdf</t>
  </si>
  <si>
    <t>Presencia confirmada por la lista de asistentes y/o el voto nominal. Comunicado: https://www.banxico.org.mx/publicaciones-y-prensa/anuncios-de-las-decisiones-de-politica-monetaria/{2C71C5A0-BAB3-8C65-D666-AB9B5D82557E}.pdf | Minuta: https://www.banxico.org.mx/publicaciones-y-prensa/minutas-de-las-decisiones-de-politica-monetaria/{93076C6E-4055-680E-9986-389D0B64F5E7}.pdf</t>
  </si>
  <si>
    <t>Presencia confirmada por la lista de asistentes y/o el voto nominal. Comunicado: https://www.banxico.org.mx/publicaciones-y-prensa/anuncios-de-las-decisiones-de-politica-monetaria/{013E2D79-2677-5E71-FA22-DD8825AA7C45}.pdf | Minuta: https://www.banxico.org.mx/publicaciones-y-prensa/minutas-de-las-decisiones-de-politica-monetaria/{51E24FD1-CEA3-EEDA-ECB3-B6BFDC8B6671}.pdf</t>
  </si>
  <si>
    <t>Presencia confirmada por la lista de asistentes y/o el voto nominal. Comunicado: https://www.banxico.org.mx/publicaciones-y-prensa/anuncios-de-las-decisiones-de-politica-monetaria/{EBE40A87-D410-9D84-25A1-935964853DED}.pdf | Minuta: https://www.banxico.org.mx/publicaciones-y-prensa/minutas-de-las-decisiones-de-politica-monetaria/{7EFA29F5-D827-0AA7-5D7A-55C06B82161A}.pdf</t>
  </si>
  <si>
    <t>Presencia confirmada por la lista de asistentes y/o el voto nominal. Comunicado: https://www.banxico.org.mx/publicaciones-y-prensa/anuncios-de-las-decisiones-de-politica-monetaria/{7EC38EB9-5F4D-5857-805D-2471209BFEBA}.pdf | Minuta: https://www.banxico.org.mx/publicaciones-y-prensa/minutas-de-las-decisiones-de-politica-monetaria/{8017E12E-03DE-78EB-C26E-680454144343}.pdf</t>
  </si>
  <si>
    <t>Presencia confirmada por la lista de asistentes y/o el voto nominal. Comunicado: https://www.banxico.org.mx/publicaciones-y-prensa/anuncios-de-las-decisiones-de-politica-monetaria/{318D71D0-F37D-869C-E8B4-8E58FD9D3648}.pdf | Minuta: https://www.banxico.org.mx/publicaciones-y-prensa/minutas-de-las-decisiones-de-politica-monetaria/{5701F165-479A-EF00-AFC5-8D2BA594692E}.pdf</t>
  </si>
  <si>
    <t>Presencia confirmada por la lista de asistentes y/o el voto nominal. Comunicado: https://www.banxico.org.mx/publicaciones-y-prensa/anuncios-de-las-decisiones-de-politica-monetaria/{44EB2DF8-E71A-1553-7322-F60A34382EBA}.pdf | Minuta: https://www.banxico.org.mx/publicaciones-y-prensa/minutas-de-las-decisiones-de-politica-monetaria/{FAC24258-9128-F1BD-D497-6225C392ED52}.pdf</t>
  </si>
  <si>
    <t>Presencia confirmada por la lista de asistentes y/o el voto nominal. Comunicado: https://www.banxico.org.mx/publicaciones-y-prensa/anuncios-de-las-decisiones-de-politica-monetaria/{8A05C722-0A97-4527-2166-0CE802CE6838}.pdf | Minuta: https://www.banxico.org.mx/publicaciones-y-prensa/minutas-de-las-decisiones-de-politica-monetaria/{3F15F7F1-3E5A-4FD4-E0C0-B4BEA1703FAF}.pdf</t>
  </si>
  <si>
    <t>Presencia confirmada por la lista de asistentes y/o el voto nominal. Comunicado: https://www.banxico.org.mx/publicaciones-y-prensa/anuncios-de-las-decisiones-de-politica-monetaria/{F6667DDE-E87D-68A3-0EBB-A4DF9048E403}.pdf | Minuta: https://www.banxico.org.mx/publicaciones-y-prensa/minutas-de-las-decisiones-de-politica-monetaria/{34C74125-16AD-2F94-0E20-DB9349E8AB97}.pdf</t>
  </si>
  <si>
    <t>Voto</t>
  </si>
  <si>
    <t>Tipo_Voto</t>
  </si>
  <si>
    <t>Nivel_Identificacion</t>
  </si>
  <si>
    <t>No identificable</t>
  </si>
  <si>
    <t>Anónimo</t>
  </si>
  <si>
    <t>El documento oficial declara mayoría/disenso sin identificación nominal suficiente.</t>
  </si>
  <si>
    <t>Mantener</t>
  </si>
  <si>
    <t>Consenso</t>
  </si>
  <si>
    <t>Público</t>
  </si>
  <si>
    <t>Voto nominal explícito en la sección 4. VOTACIÓN de la minuta oficial. Minuta oficial: https://www.banxico.org.mx/publicaciones-y-prensa/minutas-de-las-decisiones-de-politica-monetaria/{1FC983E2-2499-C296-FE71-85F7ABD67EC3}.pdf</t>
  </si>
  <si>
    <t>Subir</t>
  </si>
  <si>
    <t>Voto nominal explícito en la sección 4. VOTACIÓN de la minuta oficial. Minuta oficial: https://www.banxico.org.mx/publicaciones-y-prensa/minutas-de-las-decisiones-de-politica-monetaria/{9D52CB8A-4EA3-F381-42CC-B4A5E02E76E1}.pdf</t>
  </si>
  <si>
    <t>Voto nominal explícito en la sección 4. VOTACIÓN de la minuta oficial. Minuta oficial: https://www.banxico.org.mx/publicaciones-y-prensa/minutas-de-las-decisiones-de-politica-monetaria/{BC265005-129F-A5FD-309A-229CC8559229}.pdf</t>
  </si>
  <si>
    <t>Voto nominal explícito en la sección 4. VOTACIÓN de la minuta oficial. Minuta oficial: https://www.banxico.org.mx/publicaciones-y-prensa/minutas-de-las-decisiones-de-politica-monetaria/{50ED7644-47A9-934D-4C49-3CDF170A0FFC}.pdf</t>
  </si>
  <si>
    <t>Disenso restrictivo</t>
  </si>
  <si>
    <t>Voto nominal explícito en la sección 4. VOTACIÓN, página 11 de la minuta oficial. Minuta oficial: https://www.banxico.org.mx/publicaciones-y-prensa/minutas-de-las-decisiones-de-politica-monetaria/{E71098EA-AC1E-45CB-F1FC-1BCA43571239}.pdf</t>
  </si>
  <si>
    <t>Voto nominal explícito en la sección 4. VOTACIÓN de la minuta oficial. Minuta oficial: https://www.banxico.org.mx/publicaciones-y-prensa/minutas-de-las-decisiones-de-politica-monetaria/{5EC61A9B-E408-3DA8-C647-97B441EC6D76}.pdf</t>
  </si>
  <si>
    <t>Voto nominal explícito en la sección 4. VOTACIÓN de la minuta oficial. Minuta oficial: https://www.banxico.org.mx/publicaciones-y-prensa/minutas-de-las-decisiones-de-politica-monetaria/{A63CB66A-5AED-15AE-F534-2D99FB3FA7C9}.pdf</t>
  </si>
  <si>
    <t>Voto nominal explícito en la sección 4. VOTACIÓN de la minuta oficial. Minuta oficial: https://www.banxico.org.mx/publicaciones-y-prensa/minutas-de-las-decisiones-de-politica-monetaria/{FB16B517-D1BF-D281-60B9-C3552469117C}.pdf</t>
  </si>
  <si>
    <t>Voto nominal explícito en la sección 4. VOTACIÓN de la minuta oficial. Minuta oficial: https://www.banxico.org.mx/publicaciones-y-prensa/minutas-de-las-decisiones-de-politica-monetaria/{E543784E-F02B-7492-2776-B981AC479D9A}.pdf</t>
  </si>
  <si>
    <t>Voto nominal explícito en la sección 4. VOTACIÓN de la minuta oficial. Minuta oficial: https://www.banxico.org.mx/publicaciones-y-prensa/minutas-de-las-decisiones-de-politica-monetaria/{912CEB1F-464B-29BA-A44E-1BEA0938891D}.pdf</t>
  </si>
  <si>
    <t>Bajar</t>
  </si>
  <si>
    <t>Disenso acomodaticio</t>
  </si>
  <si>
    <t>Voto nominal explícito en la sección 4. VOTACIÓN de la minuta oficial. Minuta oficial: https://www.banxico.org.mx/publicaciones-y-prensa/minutas-de-las-decisiones-de-politica-monetaria/{4BD2C2C1-8EE6-3A11-68A2-AAC044D90E03}.pdf</t>
  </si>
  <si>
    <t>Voto nominal explícito en la sección 4. VOTACIÓN de la minuta oficial. Minuta oficial: https://www.banxico.org.mx/publicaciones-y-prensa/minutas-de-las-decisiones-de-politica-monetaria/{C4659F26-F0C4-33C0-8B63-D01B971A39C5}.pdf</t>
  </si>
  <si>
    <t>Voto nominal explícito en la sección 4. VOTACIÓN de la minuta oficial. Minuta oficial: https://www.banxico.org.mx/publicaciones-y-prensa/minutas-de-las-decisiones-de-politica-monetaria/{DA837B97-2456-1C39-BFBA-2B3C7513C14F}.pdf</t>
  </si>
  <si>
    <t>Voto nominal explícito en la sección 4. VOTACIÓN de la minuta oficial. Minuta oficial: https://www.banxico.org.mx/publicaciones-y-prensa/minutas-de-las-decisiones-de-politica-monetaria/{B272DF7F-5D8B-16A0-9C8E-ECD755C73721}.pdf</t>
  </si>
  <si>
    <t>Voto nominal explícito en la sección 4. VOTACIÓN de la minuta oficial. Minuta oficial: https://www.banxico.org.mx/publicaciones-y-prensa/minutas-de-las-decisiones-de-politica-monetaria/{241DD6DE-AA67-3DC2-1B9A-009A5815ECFB}.pdf</t>
  </si>
  <si>
    <t>Voto nominal explícito en la sección 4. VOTACIÓN de la minuta oficial. Minuta oficial: https://www.banxico.org.mx/publicaciones-y-prensa/minutas-de-las-decisiones-de-politica-monetaria/{2A182BDA-0A22-90DE-9F58-24928C084F74}.pdf</t>
  </si>
  <si>
    <t>Voto nominal explícito en la sección 4. VOTACIÓN de la minuta oficial. Minuta oficial: https://www.banxico.org.mx/publicaciones-y-prensa/minutas-de-las-decisiones-de-politica-monetaria/{665174C6-A934-C6C4-1796-96FCFA229CCD}.pdf</t>
  </si>
  <si>
    <t>Voto nominal explícito en la sección 4. VOTACIÓN de la minuta oficial. Minuta oficial: https://www.banxico.org.mx/publicaciones-y-prensa/minutas-de-las-decisiones-de-politica-monetaria/{1572CEB0-A2D5-D0AB-D09B-473165C56834}.pdf</t>
  </si>
  <si>
    <t>Voto nominal explícito en la sección 4. VOTACIÓN de la minuta oficial. Minuta oficial: https://www.banxico.org.mx/publicaciones-y-prensa/minutas-de-las-decisiones-de-politica-monetaria/{350A9952-EE00-D4BD-DB69-7624D891589D}.pdf</t>
  </si>
  <si>
    <t>Voto nominal explícito en la sección 4. VOTACIÓN de la minuta oficial. Minuta oficial: https://www.banxico.org.mx/publicaciones-y-prensa/minutas-de-las-decisiones-de-politica-monetaria/{97C9BB82-2331-1715-A58F-63C866B1A196}.pdf</t>
  </si>
  <si>
    <t>Voto nominal explícito en la sección 4. VOTACIÓN de la minuta oficial. Minuta oficial: https://www.banxico.org.mx/publicaciones-y-prensa/minutas-de-las-decisiones-de-politica-monetaria/{ADAE24CF-834B-5A2E-AE91-AADFE44AA5F2}.pdf</t>
  </si>
  <si>
    <t>Voto nominal explícito en la sección 4. VOTACIÓN de la minuta oficial. Minuta oficial: https://www.banxico.org.mx/publicaciones-y-prensa/minutas-de-las-decisiones-de-politica-monetaria/{9C238281-DD06-81CE-57B3-C5904A020C22}.pdf</t>
  </si>
  <si>
    <t>Voto nominal explícito en la sección 4. VOTACIÓN de la minuta oficial. Minuta oficial: https://www.banxico.org.mx/publicaciones-y-prensa/minutas-de-las-decisiones-de-politica-monetaria/{7BEFC36F-BA57-8084-F183-3EDBCEE27958}.pdf</t>
  </si>
  <si>
    <t>Voto nominal explícito en la sección 4. VOTACIÓN de la minuta oficial. Minuta oficial: https://www.banxico.org.mx/publicaciones-y-prensa/minutas-de-las-decisiones-de-politica-monetaria/{3D041441-5195-710D-6285-49DED93EDFD4}.pdf</t>
  </si>
  <si>
    <t>Voto nominal explícito en la sección 4. VOTACIÓN de la minuta oficial. Minuta oficial: https://www.banxico.org.mx/publicaciones-y-prensa/minutas-de-las-decisiones-de-politica-monetaria/{22CCE220-F109-B27C-B79F-9E51E62F95C7}.pdf</t>
  </si>
  <si>
    <t>Voto nominal explícito en la sección 4. VOTACIÓN de la minuta oficial. Minuta oficial: https://www.banxico.org.mx/publicaciones-y-prensa/minutas-de-las-decisiones-de-politica-monetaria/{8D415BB5-F46C-1303-2502-E8F3D51E12E1}.pdf</t>
  </si>
  <si>
    <t>Voto nominal explícito en la sección 4. VOTACIÓN de la minuta oficial. Minuta oficial: https://www.banxico.org.mx/publicaciones-y-prensa/minutas-de-las-decisiones-de-politica-monetaria/{CC691B89-EC10-6A6F-585B-306CAE99E6E1}.pdf</t>
  </si>
  <si>
    <t>Voto nominal explícito en la sección 4. VOTACIÓN de la minuta oficial. Minuta oficial: https://www.banxico.org.mx/publicaciones-y-prensa/minutas-de-las-decisiones-de-politica-monetaria/{A1BF3AF9-2E74-EB2D-5687-A52315DCF9CC}.pdf</t>
  </si>
  <si>
    <t>Voto nominal explícito en la sección 4. VOTACIÓN de la minuta oficial. Minuta oficial: https://www.banxico.org.mx/publicaciones-y-prensa/minutas-de-las-decisiones-de-politica-monetaria/{8472FA9E-8795-8CAA-EE4C-FF5CB60BB2AA}.pdf</t>
  </si>
  <si>
    <t>Voto nominal explícito en la sección 4. VOTACIÓN de la minuta oficial. Minuta oficial: https://www.banxico.org.mx/publicaciones-y-prensa/minutas-de-las-decisiones-de-politica-monetaria/{E63AB45F-CADE-0B8E-46B0-149666C3AA11}.pdf</t>
  </si>
  <si>
    <t>Voto nominal explícito en la sección 4. VOTACIÓN de la minuta oficial. Minuta oficial: https://www.banxico.org.mx/publicaciones-y-prensa/minutas-de-las-decisiones-de-politica-monetaria/{33CEDF79-47BE-B13D-7E8C-123097794BCF}.pdf</t>
  </si>
  <si>
    <t>Voto nominal explícito en la sección 4. VOTACIÓN de la minuta oficial. Minuta oficial: https://www.banxico.org.mx/publicaciones-y-prensa/minutas-de-las-decisiones-de-politica-monetaria/{0875B96D-37BA-B260-BD4D-DB4BAC601648}.pdf</t>
  </si>
  <si>
    <t>Voto nominal explícito en la sección 4. VOTACIÓN de la minuta oficial. Minuta oficial: https://www.banxico.org.mx/publicaciones-y-prensa/minutas-de-las-decisiones-de-politica-monetaria/{D4C1F630-4ECB-EE4C-1E24-7E2379F14FD6}.pdf</t>
  </si>
  <si>
    <t>Voto nominal explícito en la sección 4. VOTACIÓN de la minuta oficial. Minuta oficial: https://www.banxico.org.mx/publicaciones-y-prensa/minutas-de-las-decisiones-de-politica-monetaria/{87EDDF27-FB92-A9FE-9FA8-1FE031E8E599}.pdf</t>
  </si>
  <si>
    <t>Voto nominal explícito en la sección 4. VOTACIÓN de la minuta oficial. Minuta oficial: https://www.banxico.org.mx/publicaciones-y-prensa/minutas-de-las-decisiones-de-politica-monetaria/{1D2B28A3-84A7-F37B-062C-8B401C04376A}.pdf</t>
  </si>
  <si>
    <t>Voto nominal explícito en la sección 4. VOTACIÓN de la minuta oficial. Minuta oficial: https://www.banxico.org.mx/publicaciones-y-prensa/minutas-de-las-decisiones-de-politica-monetaria/{E49773D0-6A06-2697-567D-3A35EBA1AE9F}.pdf</t>
  </si>
  <si>
    <t>Voto nominal explícito en la sección 4. VOTACIÓN de la minuta oficial. Minuta oficial: https://www.banxico.org.mx/publicaciones-y-prensa/minutas-de-las-decisiones-de-politica-monetaria/{59D865CD-B1AA-2362-DD9C-FF9032785660}.pdf</t>
  </si>
  <si>
    <t>Voto nominal explícito en la sección 4. VOTACIÓN de la minuta oficial. Minuta oficial: https://www.banxico.org.mx/publicaciones-y-prensa/minutas-de-las-decisiones-de-politica-monetaria/{AA79300D-4009-E91D-125E-C0A6E52AE8AE}.pdf</t>
  </si>
  <si>
    <t>Voto nominal explícito en la sección 4. VOTACIÓN de la minuta oficial. Minuta oficial: https://www.banxico.org.mx/publicaciones-y-prensa/minutas-de-las-decisiones-de-politica-monetaria/{FB6D9934-D8CC-D695-0897-940FEA7821D7}.pdf</t>
  </si>
  <si>
    <t>Voto nominal explícito en la sección 4. VOTACIÓN de la minuta oficial. Minuta oficial: https://www.banxico.org.mx/publicaciones-y-prensa/minutas-de-las-decisiones-de-politica-monetaria/{6C23C599-227C-FE6F-CF3D-37325C858154}.pdf</t>
  </si>
  <si>
    <t>Voto nominal explícito en la sección 4. VOTACIÓN de la minuta oficial. Minuta oficial: https://www.banxico.org.mx/publicaciones-y-prensa/minutas-de-las-decisiones-de-politica-monetaria/{74DDC4B0-E669-BC27-745E-F453D86608D1}.pdf</t>
  </si>
  <si>
    <t>Voto nominal explícito en la sección 4. VOTACIÓN de la minuta oficial. Minuta oficial: https://www.banxico.org.mx/publicaciones-y-prensa/minutas-de-las-decisiones-de-politica-monetaria/{35319FC4-DD42-44F0-4E44-02D64FEE7E3B}.pdf</t>
  </si>
  <si>
    <t>Voto nominal explícito en la sección 4. VOTACIÓN de la minuta oficial. Minuta oficial: https://www.banxico.org.mx/publicaciones-y-prensa/minutas-de-las-decisiones-de-politica-monetaria/{049153FE-C659-2401-B4E7-5F9B58624E0F}.pdf</t>
  </si>
  <si>
    <t>Voto nominal explícito en la sección 4. VOTACIÓN de la minuta oficial. Minuta oficial: https://www.banxico.org.mx/publicaciones-y-prensa/minutas-de-las-decisiones-de-politica-monetaria/{7C9B1EB3-C147-14B5-6C5C-0D2E24A675BE}.pdf</t>
  </si>
  <si>
    <t>Voto nominal explícito en la sección 4. VOTACIÓN de la minuta oficial. Minuta oficial: https://www.banxico.org.mx/publicaciones-y-prensa/minutas-de-las-decisiones-de-politica-monetaria/{987C7F1F-C654-471E-1C8A-B18117B4D01D}.pdf</t>
  </si>
  <si>
    <t>Voto nominal explícito en la sección 4. VOTACIÓN de la minuta oficial. Minuta oficial: https://www.banxico.org.mx/publicaciones-y-prensa/minutas-de-las-decisiones-de-politica-monetaria/{B23AAD19-0964-73D4-B328-8CEB947BF591}.pdf</t>
  </si>
  <si>
    <t>Voto nominal explícito en la sección 4. VOTACIÓN de la minuta oficial. Minuta oficial: https://www.banxico.org.mx/publicaciones-y-prensa/minutas-de-las-decisiones-de-politica-monetaria/{323D332B-79E3-3925-8182-4E22C8B6BFF6}.pdf</t>
  </si>
  <si>
    <t>Voto nominal explícito en la sección 4. VOTACIÓN de la minuta oficial. Minuta oficial: https://www.banxico.org.mx/publicaciones-y-prensa/minutas-de-las-decisiones-de-politica-monetaria/{6758749B-0C92-6897-39C9-120D25343FD3}.pdf</t>
  </si>
  <si>
    <t>Voto nominal explícito en la sección 4. VOTACIÓN de la minuta oficial. Minuta oficial: https://www.banxico.org.mx/publicaciones-y-prensa/minutas-de-las-decisiones-de-politica-monetaria/{4023E0B7-02E0-F6F9-6613-842336ABBAC0}.pdf</t>
  </si>
  <si>
    <t>Voto nominal explícito en la sección 4. VOTACIÓN de la minuta oficial. Minuta oficial: https://www.banxico.org.mx/publicaciones-y-prensa/minutas-de-las-decisiones-de-politica-monetaria/{718151B0-83F7-7381-35E1-592A83D30E6E}.pdf</t>
  </si>
  <si>
    <t>Voto nominal explícito en la sección 4. VOTACIÓN de la minuta oficial. Minuta oficial: https://www.banxico.org.mx/publicaciones-y-prensa/minutas-de-las-decisiones-de-politica-monetaria/{F13FD839-189C-CF58-BF54-025B6FFE559F}.pdf</t>
  </si>
  <si>
    <t>Voto nominal explícito en la sección 4. VOTACIÓN de la minuta oficial. Minuta oficial: https://www.banxico.org.mx/publicaciones-y-prensa/minutas-de-las-decisiones-de-politica-monetaria/{C2F0671D-B457-A331-ADED-F498F00F0385}.pdf</t>
  </si>
  <si>
    <t>Voto nominal explícito en la sección 4. VOTACIÓN de la minuta oficial. Minuta oficial: https://www.banxico.org.mx/publicaciones-y-prensa/minutas-de-las-decisiones-de-politica-monetaria/{209F9F3A-D49B-51D1-0460-9B3EA1D9EBAB}.pdf</t>
  </si>
  <si>
    <t>Voto nominal explícito en la sección 4. VOTACIÓN de la minuta oficial. Minuta oficial: https://www.banxico.org.mx/publicaciones-y-prensa/minutas-de-las-decisiones-de-politica-monetaria/{DF53BDC1-88EC-276E-718C-AEC8DE5282B4}.pdf</t>
  </si>
  <si>
    <t>Voto nominal explícito en la sección 4. VOTACIÓN de la minuta oficial. Minuta oficial: https://www.banxico.org.mx/publicaciones-y-prensa/minutas-de-las-decisiones-de-politica-monetaria/{63101F6B-4E37-521E-45B3-3AB92AD757D2}.pdf</t>
  </si>
  <si>
    <t>Voto nominal explícito: reducir 25 pb a 9.75%.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</si>
  <si>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</si>
  <si>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https://www.banxico.org.mx/publicaciones-y-prensa/minutas-de-las-decisiones-de-politica-monetaria/{4AB9F868-2AB8-102D-ED38-1D40F1AD51DF}.pdf</t>
  </si>
  <si>
    <t>Voto nominal explícito en la sección 4. VOTACIÓN de la minuta oficial. Minuta oficial: https://www.banxico.org.mx/publicaciones-y-prensa/minutas-de-las-decisiones-de-politica-monetaria/{095C9D00-95A9-1AB7-2E95-61F66587B73B}.pdf</t>
  </si>
  <si>
    <t>Voto nominal explícito en la sección 4. VOTACIÓN de la minuta oficial. Minuta oficial: https://www.banxico.org.mx/publicaciones-y-prensa/minutas-de-las-decisiones-de-politica-monetaria/{A354B917-F0F6-E4BE-CA35-B1F77AC37840}.pdf</t>
  </si>
  <si>
    <t>Voto nominal explícito en la sección 4. VOTACIÓN de la minuta oficial. Minuta oficial: https://www.banxico.org.mx/publicaciones-y-prensa/minutas-de-las-decisiones-de-politica-monetaria/{93076C6E-4055-680E-9986-389D0B64F5E7}.pdf</t>
  </si>
  <si>
    <t>Voto nominal explícito en la sección 4. VOTACIÓN de la minuta oficial. Minuta oficial: https://www.banxico.org.mx/publicaciones-y-prensa/minutas-de-las-decisiones-de-politica-monetaria/{51E24FD1-CEA3-EEDA-ECB3-B6BFDC8B6671}.pdf</t>
  </si>
  <si>
    <t>Voto nominal explícito en la sección 4. VOTACIÓN de la minuta oficial. Minuta oficial: https://www.banxico.org.mx/publicaciones-y-prensa/minutas-de-las-decisiones-de-politica-monetaria/{7EFA29F5-D827-0AA7-5D7A-55C06B82161A}.pdf</t>
  </si>
  <si>
    <t>Voto nominal explícito en la sección 4. VOTACIÓN de la minuta oficial. Minuta oficial: https://www.banxico.org.mx/publicaciones-y-prensa/minutas-de-las-decisiones-de-politica-monetaria/{8017E12E-03DE-78EB-C26E-680454144343}.pdf</t>
  </si>
  <si>
    <t>Voto nominal explícito en la sección 4. VOTACIÓN de la minuta oficial. Minuta oficial: https://www.banxico.org.mx/publicaciones-y-prensa/minutas-de-las-decisiones-de-politica-monetaria/{5701F165-479A-EF00-AFC5-8D2BA594692E}.pdf</t>
  </si>
  <si>
    <t>Voto nominal explícito en la sección 4. VOTACIÓN de la minuta oficial. Minuta oficial: https://www.banxico.org.mx/publicaciones-y-prensa/minutas-de-las-decisiones-de-politica-monetaria/{FAC24258-9128-F1BD-D497-6225C392ED52}.pdf</t>
  </si>
  <si>
    <t>Voto nominal explícito en la sección 4. VOTACIÓN de la minuta oficial. Minuta oficial: https://www.banxico.org.mx/publicaciones-y-prensa/minutas-de-las-decisiones-de-politica-monetaria/{3F15F7F1-3E5A-4FD4-E0C0-B4BEA1703FAF}.pdf</t>
  </si>
  <si>
    <t>Voto nominal explícito en la sección 4. VOTACIÓN de la minuta oficial. Minuta oficial: https://www.banxico.org.mx/publicaciones-y-prensa/minutas-de-las-decisiones-de-politica-monetaria/{34C74125-16AD-2F94-0E20-DB9349E8AB97}.pdf</t>
  </si>
  <si>
    <t>Nombre</t>
  </si>
  <si>
    <t>P001</t>
  </si>
  <si>
    <t>Miguel Mancera Aguayo</t>
  </si>
  <si>
    <t>P002</t>
  </si>
  <si>
    <t>Ariel Buira Seira</t>
  </si>
  <si>
    <t>P003</t>
  </si>
  <si>
    <t>Francisco Gil Díaz</t>
  </si>
  <si>
    <t>P004</t>
  </si>
  <si>
    <t>Guillermo Güémez García</t>
  </si>
  <si>
    <t>P005</t>
  </si>
  <si>
    <t>Jesús Marcos Yacamán</t>
  </si>
  <si>
    <t>P006</t>
  </si>
  <si>
    <t>José Julián Sidaoui Dib</t>
  </si>
  <si>
    <t>P007</t>
  </si>
  <si>
    <t>Everardo Elizondo Almaguer</t>
  </si>
  <si>
    <t>P008</t>
  </si>
  <si>
    <t>Guillermo Ortiz Martínez</t>
  </si>
  <si>
    <t>Roberto del Cueto Legaspi</t>
  </si>
  <si>
    <t>P010</t>
  </si>
  <si>
    <t>Manuel Sánchez González</t>
  </si>
  <si>
    <t>P011</t>
  </si>
  <si>
    <t>Agustín Carstens Carstens</t>
  </si>
  <si>
    <t>Manuel Ramos Francia</t>
  </si>
  <si>
    <t>Javier Eduardo Guzmán Calafell</t>
  </si>
  <si>
    <t>Alejandro Díaz de León Carrillo</t>
  </si>
  <si>
    <t>Irene Espinosa Cantellano</t>
  </si>
  <si>
    <t>Gerardo Esquivel Hernández</t>
  </si>
  <si>
    <t>Jonathan Heath Constable</t>
  </si>
  <si>
    <t>Galia Borja Gómez</t>
  </si>
  <si>
    <t>Victoria Rodríguez Ceja</t>
  </si>
  <si>
    <t>Omar Mejía Castelazo</t>
  </si>
  <si>
    <t>José Gabriel Cuadra García</t>
  </si>
  <si>
    <t>P022</t>
  </si>
  <si>
    <t>Eduardo Fernández García</t>
  </si>
  <si>
    <t>P023</t>
  </si>
  <si>
    <t>Carlos Ruiz Sacristán</t>
  </si>
  <si>
    <t>P024</t>
  </si>
  <si>
    <t>Alonso García Tamés</t>
  </si>
  <si>
    <t>P025</t>
  </si>
  <si>
    <t>Gerardo Rodríguez Regordosa</t>
  </si>
  <si>
    <t>P026</t>
  </si>
  <si>
    <t>José Antonio Meade Kuribreña</t>
  </si>
  <si>
    <t>P027</t>
  </si>
  <si>
    <t>Lorenza Martínez Trigueros</t>
  </si>
  <si>
    <t>P028</t>
  </si>
  <si>
    <t>Miguel Messmacher Linartas</t>
  </si>
  <si>
    <t>P029</t>
  </si>
  <si>
    <t>Luis Videgaray Caso</t>
  </si>
  <si>
    <t>Tipo</t>
  </si>
  <si>
    <t>Detalle</t>
  </si>
  <si>
    <t>Severidad</t>
  </si>
  <si>
    <t>Control de nombramientos no ejecutable</t>
  </si>
  <si>
    <t>La tabla proporcionada contiene Persona_ID y nombres, pero no fechas de inicio/fin de nombramiento. No se infirieron periodos.</t>
  </si>
  <si>
    <t>Limitación</t>
  </si>
  <si>
    <t>Radar BM · Cobertura del Libro Maestro</t>
  </si>
  <si>
    <t>Indicador</t>
  </si>
  <si>
    <t>Valor</t>
  </si>
  <si>
    <t>Primera decisión</t>
  </si>
  <si>
    <t>Última decisión</t>
  </si>
  <si>
    <t>Total de decisiones</t>
  </si>
  <si>
    <t>Reuniones ordinarias</t>
  </si>
  <si>
    <t>Reuniones extraordinarias</t>
  </si>
  <si>
    <t>Decisiones unánimes</t>
  </si>
  <si>
    <t>Decisiones con disenso</t>
  </si>
  <si>
    <t>Resultado no disponible</t>
  </si>
  <si>
    <t>Votos públicos</t>
  </si>
  <si>
    <t>Votos parciales</t>
  </si>
  <si>
    <t>Votos anónimos</t>
  </si>
  <si>
    <t>Fuentes oficiales y criterio</t>
  </si>
  <si>
    <t>https://www.banxico.org.mx/publicaciones-y-prensa/anuncios-de-las-decisiones-de-politica-monetaria/anuncios-politica-monetaria-t.html</t>
  </si>
  <si>
    <t>https://www.banxico.org.mx/publicaciones-y-prensa/minutas-de-las-decisiones-de-politica-monetaria/minutas-politica-monetaria-ta.html</t>
  </si>
  <si>
    <t>No se almacenan copias documentales; se conservan únicamente URL oficiales. Los vacíos históricos permanecen como No disponible.</t>
  </si>
  <si>
    <t>Radar BM · Explorador analítico de decisiones</t>
  </si>
  <si>
    <t>Decision_ID interno</t>
  </si>
  <si>
    <t>Reserva</t>
  </si>
  <si>
    <t>Decision_ID lista</t>
  </si>
  <si>
    <t>Fecha selector</t>
  </si>
  <si>
    <t>Fecha seleccionada</t>
  </si>
  <si>
    <t>◀ Anterior</t>
  </si>
  <si>
    <t>Siguiente ▶</t>
  </si>
  <si>
    <t>Use el selector amarillo. Toda la interfaz muestra fechas; los identificadores técnicos se conservan únicamente como referencias internas.</t>
  </si>
  <si>
    <t>Resumen de la decisión seleccionada</t>
  </si>
  <si>
    <t>Fecha</t>
  </si>
  <si>
    <t>Tipo de reunión</t>
  </si>
  <si>
    <t>Tasa anterior</t>
  </si>
  <si>
    <t>Movimiento (pb)</t>
  </si>
  <si>
    <t>Nueva tasa</t>
  </si>
  <si>
    <t>Dirección</t>
  </si>
  <si>
    <t>¿Fue unánime?</t>
  </si>
  <si>
    <t>Número de disensos</t>
  </si>
  <si>
    <t>Contexto histórico · cinco decisiones anteriores y cinco posteriores</t>
  </si>
  <si>
    <t>Tasa</t>
  </si>
  <si>
    <t>Movimiento</t>
  </si>
  <si>
    <t>Integrante</t>
  </si>
  <si>
    <t>● consenso   ▲ disenso restrictivo   ▼ disenso acomodaticio   ○ presente sin voto identificable   — fuera de la Junta   ✕ ausencia documentada   ? no verificable</t>
  </si>
  <si>
    <t>Estadísticas de votación hasta la decisión seleccionada</t>
  </si>
  <si>
    <t>Votos válidos</t>
  </si>
  <si>
    <t>% Disenso</t>
  </si>
  <si>
    <t>% Disenso restrictivo</t>
  </si>
  <si>
    <t>% Disenso acomodaticio</t>
  </si>
  <si>
    <t>Votos válidos (12m)</t>
  </si>
  <si>
    <t>% Disenso (12m)</t>
  </si>
  <si>
    <t>% Disenso restrictivo (12m)</t>
  </si>
  <si>
    <t>% Disenso acomodaticio (12m)</t>
  </si>
  <si>
    <t>Disensos</t>
  </si>
  <si>
    <t>Persona_1</t>
  </si>
  <si>
    <t>Persona_2</t>
  </si>
  <si>
    <t>Persona_3</t>
  </si>
  <si>
    <t>Persona_4</t>
  </si>
  <si>
    <t>Persona_5</t>
  </si>
  <si>
    <t>Persona_6</t>
  </si>
  <si>
    <t>Persona_7</t>
  </si>
  <si>
    <t>Persona_8</t>
  </si>
  <si>
    <t>Persona_9</t>
  </si>
  <si>
    <t>Persona_10</t>
  </si>
  <si>
    <t>Radar BM · Explorador de integrantes</t>
  </si>
  <si>
    <t>Persona_ID interno</t>
  </si>
  <si>
    <t>Nombres</t>
  </si>
  <si>
    <t>Fechas</t>
  </si>
  <si>
    <t>Dato_1</t>
  </si>
  <si>
    <t>Dato_2</t>
  </si>
  <si>
    <t>Dato_3</t>
  </si>
  <si>
    <t>Dato_4</t>
  </si>
  <si>
    <t>Dato_5</t>
  </si>
  <si>
    <t>Dato_6</t>
  </si>
  <si>
    <t>Dato_7</t>
  </si>
  <si>
    <t>Dato_8</t>
  </si>
  <si>
    <t>Dato_9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</si>
  <si>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</si>
  <si>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</si>
  <si>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</si>
  <si>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</si>
  <si>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</si>
  <si>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</si>
  <si>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</si>
  <si>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</si>
  <si>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</si>
  <si>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</si>
  <si>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</si>
  <si>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</si>
  <si>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</si>
  <si>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</si>
  <si>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</si>
  <si>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</si>
  <si>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</si>
  <si>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</si>
  <si>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</si>
  <si>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</si>
  <si>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</si>
  <si>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</si>
  <si>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</si>
  <si>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Dato_33</t>
  </si>
  <si>
    <t>Dato_34</t>
  </si>
  <si>
    <t>Dato_35</t>
  </si>
  <si>
    <t>Dato_36</t>
  </si>
  <si>
    <t>Dato_37</t>
  </si>
  <si>
    <t>Dato_38</t>
  </si>
  <si>
    <t>Dato_39</t>
  </si>
  <si>
    <t>Dato_40</t>
  </si>
  <si>
    <t>Dato_41</t>
  </si>
  <si>
    <t>Dato_42</t>
  </si>
  <si>
    <t>Dato_43</t>
  </si>
  <si>
    <t>Dato_44</t>
  </si>
  <si>
    <t>Dato_45</t>
  </si>
  <si>
    <t>Dato_46</t>
  </si>
  <si>
    <t>Dato_47</t>
  </si>
  <si>
    <t>Dato_48</t>
  </si>
  <si>
    <t>Dato_49</t>
  </si>
  <si>
    <t>Dato_50</t>
  </si>
  <si>
    <t>Dato_51</t>
  </si>
  <si>
    <t>Dato_52</t>
  </si>
  <si>
    <t>Dato_53</t>
  </si>
  <si>
    <t>Dato_54</t>
  </si>
  <si>
    <t>Dato_55</t>
  </si>
  <si>
    <t>Dato_56</t>
  </si>
  <si>
    <t>Dato_57</t>
  </si>
  <si>
    <t>Dato_58</t>
  </si>
  <si>
    <t>Dato_59</t>
  </si>
  <si>
    <t>Dato_60</t>
  </si>
  <si>
    <t>Dato_61</t>
  </si>
  <si>
    <t>Dato_62</t>
  </si>
  <si>
    <t>Dato_63</t>
  </si>
  <si>
    <t>Dato_64</t>
  </si>
  <si>
    <t>Dato_65</t>
  </si>
  <si>
    <t>Dato_66</t>
  </si>
  <si>
    <t>Dato_67</t>
  </si>
  <si>
    <t>Dato_68</t>
  </si>
  <si>
    <t>Dato_69</t>
  </si>
  <si>
    <t>Dato_70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</si>
  <si>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</si>
  <si>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</si>
  <si>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</si>
  <si>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</si>
  <si>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</si>
  <si>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</si>
  <si>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</si>
  <si>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</si>
  <si>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</si>
  <si>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</si>
  <si>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</si>
  <si>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</si>
  <si>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</si>
  <si>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</si>
  <si>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</si>
  <si>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</si>
  <si>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</si>
  <si>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</si>
  <si>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</si>
  <si>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</si>
  <si>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</si>
  <si>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</si>
  <si>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</si>
  <si>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</si>
  <si>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</si>
  <si>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</si>
  <si>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</si>
  <si>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</si>
  <si>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</si>
  <si>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</si>
  <si>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</si>
  <si>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</si>
  <si>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</si>
  <si>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</si>
  <si>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</si>
  <si>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</si>
  <si>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</si>
  <si>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</si>
  <si>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</si>
  <si>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</si>
  <si>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</si>
  <si>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</si>
  <si>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</si>
  <si>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</si>
  <si>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</si>
  <si>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</si>
  <si>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</si>
  <si>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</si>
  <si>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</si>
  <si>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</si>
  <si>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</si>
  <si>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</si>
  <si>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</si>
  <si>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</si>
  <si>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</si>
  <si>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</si>
  <si>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</si>
  <si>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</si>
  <si>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</si>
  <si>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</si>
  <si>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</si>
  <si>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</si>
  <si>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</si>
  <si>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</si>
  <si>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</si>
  <si>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</si>
  <si>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</si>
  <si>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</si>
  <si>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</si>
  <si>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</si>
  <si>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Fecha_1</t>
  </si>
  <si>
    <t>Fecha_2</t>
  </si>
  <si>
    <t>Fecha_3</t>
  </si>
  <si>
    <t>Fecha_4</t>
  </si>
  <si>
    <t>Fecha_5</t>
  </si>
  <si>
    <t>Fecha_6</t>
  </si>
  <si>
    <t>Fecha_7</t>
  </si>
  <si>
    <t>Fecha_8</t>
  </si>
  <si>
    <t>Fecha_9</t>
  </si>
  <si>
    <t>Fecha_10</t>
  </si>
  <si>
    <t>Fecha_11</t>
  </si>
  <si>
    <t>Fecha_12</t>
  </si>
  <si>
    <t>Fecha_13</t>
  </si>
  <si>
    <t>Fecha_14</t>
  </si>
  <si>
    <t>Fecha_15</t>
  </si>
  <si>
    <t>Fecha_16</t>
  </si>
  <si>
    <t>Fecha_17</t>
  </si>
  <si>
    <t>Fecha_18</t>
  </si>
  <si>
    <t>Fecha_19</t>
  </si>
  <si>
    <t>Fecha_20</t>
  </si>
  <si>
    <t>Fecha_21</t>
  </si>
  <si>
    <t>Fecha_22</t>
  </si>
  <si>
    <t>Fecha_23</t>
  </si>
  <si>
    <t>Fecha_24</t>
  </si>
  <si>
    <t>Inicio</t>
  </si>
  <si>
    <t>Fin</t>
  </si>
  <si>
    <t>Fecha_28</t>
  </si>
  <si>
    <t>Fecha_29</t>
  </si>
  <si>
    <t>Fecha_30</t>
  </si>
  <si>
    <t>Fecha_31</t>
  </si>
  <si>
    <t>Fecha_32</t>
  </si>
  <si>
    <t>Fecha_33</t>
  </si>
  <si>
    <t>Fecha_34</t>
  </si>
  <si>
    <t>Fecha_35</t>
  </si>
  <si>
    <t>Fecha_36</t>
  </si>
  <si>
    <t>Fecha_37</t>
  </si>
  <si>
    <t>Fecha_38</t>
  </si>
  <si>
    <t>Fecha_39</t>
  </si>
  <si>
    <t>Fecha_40</t>
  </si>
  <si>
    <t>Fecha_41</t>
  </si>
  <si>
    <t>Fecha_42</t>
  </si>
  <si>
    <t>Fecha_43</t>
  </si>
  <si>
    <t>Fecha_44</t>
  </si>
  <si>
    <t>Fecha_45</t>
  </si>
  <si>
    <t>Fecha_46</t>
  </si>
  <si>
    <t>Fecha_47</t>
  </si>
  <si>
    <t>Fecha_48</t>
  </si>
  <si>
    <t>Fecha_49</t>
  </si>
  <si>
    <t>Fecha_50</t>
  </si>
  <si>
    <t>Fecha_51</t>
  </si>
  <si>
    <t>Fecha_52</t>
  </si>
  <si>
    <t>Fecha_53</t>
  </si>
  <si>
    <t>Fecha_54</t>
  </si>
  <si>
    <t>Fecha_55</t>
  </si>
  <si>
    <t>Fecha_56</t>
  </si>
  <si>
    <t>Fecha_57</t>
  </si>
  <si>
    <t>Fecha_58</t>
  </si>
  <si>
    <t>Fecha_59</t>
  </si>
  <si>
    <t>Fecha_60</t>
  </si>
  <si>
    <t>Fecha_61</t>
  </si>
  <si>
    <t>Fecha_62</t>
  </si>
  <si>
    <t>Fecha_63</t>
  </si>
  <si>
    <t>Fecha_64</t>
  </si>
  <si>
    <t>Fecha_65</t>
  </si>
  <si>
    <t>Fecha_66</t>
  </si>
  <si>
    <t>Fecha_67</t>
  </si>
  <si>
    <t>Fecha_68</t>
  </si>
  <si>
    <t>Fecha_69</t>
  </si>
  <si>
    <t>Fecha_70</t>
  </si>
  <si>
    <t>◀ decisión anterior</t>
  </si>
  <si>
    <t>Fecha activa</t>
  </si>
  <si>
    <t>decisión siguiente ▶</t>
  </si>
  <si>
    <t>Contexto temporal del integrante</t>
  </si>
  <si>
    <t>La fecha pertenece al historial del integrante seleccionado</t>
  </si>
  <si>
    <t>Los gráficos, la tabla y las estadísticas responden al integrante y a la fecha activa. Los identificadores técnicos permanecen ocultos.</t>
  </si>
  <si>
    <t>Periodo en la Junta</t>
  </si>
  <si>
    <t>Periodo analizado</t>
  </si>
  <si>
    <t>Disensos del integrante hasta la fecha activa</t>
  </si>
  <si>
    <t>Resumen estadístico</t>
  </si>
  <si>
    <t>Tipo de disenso</t>
  </si>
  <si>
    <t>Histórico hasta la fecha activa</t>
  </si>
  <si>
    <t>Últimos doce meses</t>
  </si>
  <si>
    <t>Disensos restrictivos</t>
  </si>
  <si>
    <t>Disensos acomodaticios</t>
  </si>
  <si>
    <t>▲ restrictivo 1</t>
  </si>
  <si>
    <t>▲ restrictivo 2</t>
  </si>
  <si>
    <t>▼ acomodaticio 1</t>
  </si>
  <si>
    <t>▼ acomodaticio 2</t>
  </si>
  <si>
    <t>Periodo del integrante</t>
  </si>
  <si>
    <t>▲ restrictivo</t>
  </si>
  <si>
    <t>▼ acomodaticio</t>
  </si>
  <si>
    <t>Tasa_Objetivo</t>
  </si>
  <si>
    <t>Disensos_Hawk</t>
  </si>
  <si>
    <t>Disensos_Dovish</t>
  </si>
  <si>
    <t>Movimiento_pb</t>
  </si>
  <si>
    <t>D20260806</t>
  </si>
  <si>
    <t>https://www.banxico.org.mx/publicaciones-y-prensa/anuncios-de-las-decisiones-de-politica-monetaria/{8DA3F519-341F-480E-1D4E-1AEE71DD08DA}.pdf</t>
  </si>
  <si>
    <t>Régimen: Tasa objetivo. Decisión unánime con presencia de todos los miembros.</t>
  </si>
  <si>
    <t>Comunicado oficial: https://www.banxico.org.mx/publicaciones-y-prensa/anuncios-de-las-decisiones-de-politica-monetaria/{8DA3F519-341F-480E-1D4E-1AEE71DD08DA}.pdf. El comunicado declara presencia de todos los miembros y decisión unánime.</t>
  </si>
  <si>
    <t>Mantenimiento de los dropdowns de los exploradores</t>
  </si>
  <si>
    <t>Selector</t>
  </si>
  <si>
    <t>Celda</t>
  </si>
  <si>
    <t>Lista auxiliar</t>
  </si>
  <si>
    <t>Rango actual</t>
  </si>
  <si>
    <t>Qué ampliar</t>
  </si>
  <si>
    <t>Fecha de decisión</t>
  </si>
  <si>
    <t>Explorador_Decisiones!B2</t>
  </si>
  <si>
    <t>Explorador_Decisiones!AA</t>
  </si>
  <si>
    <t>AA2:AA258</t>
  </si>
  <si>
    <t>20 filas</t>
  </si>
  <si>
    <t>Agregar filas al final de Z:AA y cambiar 258 en B2 y X2.</t>
  </si>
  <si>
    <t>Fecha por integrante</t>
  </si>
  <si>
    <t>Explorador_Integrantes!G3</t>
  </si>
  <si>
    <t>Explorador_Integrantes!FP:JA</t>
  </si>
  <si>
    <t>FP2:JA30</t>
  </si>
  <si>
    <t>20 columnas adicionales</t>
  </si>
  <si>
    <t>Agregar columnas a la derecha de JA y cambiar JA en la validación de G3.</t>
  </si>
  <si>
    <t>Procedimiento cuando se agote la reserva</t>
  </si>
  <si>
    <t>1</t>
  </si>
  <si>
    <t>Primero actualizar Decisiones y Votaciones en el Libro Maestro.</t>
  </si>
  <si>
    <t>2</t>
  </si>
  <si>
    <t>En Explorador_Decisiones, copiar Decision_ID y Fecha_Decision a la primera fila vacía de Z:AA.</t>
  </si>
  <si>
    <t>3</t>
  </si>
  <si>
    <t>En Explorador_Integrantes, agregar la fecha en la primera celda vacía de la fila FP:JA de cada integrante que participó.</t>
  </si>
  <si>
    <t>4</t>
  </si>
  <si>
    <t>Si quedan menos de cinco espacios, extender el rango otros 20 espacios y actualizar las referencias indicadas arriba.</t>
  </si>
  <si>
    <t>5</t>
  </si>
  <si>
    <t>No usar UNIQUE, FILTER, SORT ni referencias con # en estas validaciones; provocan errores de compatibilidad.</t>
  </si>
  <si>
    <t>D20260924</t>
  </si>
  <si>
    <t>https://www.banxico.org.mx/publicaciones-y-prensa/anuncios-de-las-decisiones-de-politica-monetaria/{7D0BDB6E-E519-9C69-04AA-ABD4D31E4850}.pdf</t>
  </si>
  <si>
    <t>Comunicado oficial: https://www.banxico.org.mx/publicaciones-y-prensa/anuncios-de-las-decisiones-de-politica-monetaria/{7D0BDB6E-E519-9C69-04AA-ABD4D31E4850}.pdf. El comunicado declara presencia de todos los miembros y decisión unánime.</t>
  </si>
  <si>
    <t>Última decisión incorporada en las listas: D20260924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</si>
</sst>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"/>
    <numFmt numFmtId="166" formatCode="0.0%"/>
    <numFmt numFmtId="167" formatCode="dd\-mmm\-yyyy"/>
    <numFmt numFmtId="168" formatCode="yyyy"/>
  </numFmts>
  <fonts count="29">
    <font>
      <sz val="11"/>
      <name val="Carlito"/>
    </font>
    <font>
      <b/>
      <sz val="11"/>
      <color rgb="FFFFFFFF"/>
      <name val="Carlito"/>
    </font>
    <font>
      <sz val="10"/>
      <color rgb="FF23313D"/>
      <name val="Aptos"/>
      <family val="2"/>
    </font>
    <font>
      <b/>
      <sz val="10"/>
      <color rgb="FFFFFFFF"/>
      <name val="Aptos Display"/>
      <family val="2"/>
    </font>
    <font>
      <b/>
      <sz val="16"/>
      <color rgb="FFFFFFFF"/>
      <name val="Aptos Display"/>
      <family val="2"/>
    </font>
    <font>
      <b/>
      <sz val="11"/>
      <color rgb="FF12304A"/>
      <name val="Carlito"/>
    </font>
    <font>
      <i/>
      <sz val="9"/>
      <color rgb="FF526979"/>
      <name val="Carlito"/>
    </font>
    <font>
      <b/>
      <sz val="11"/>
      <color rgb="FF23313D"/>
      <name val="Carlito"/>
    </font>
    <font>
      <sz val="8"/>
      <color rgb="FF526979"/>
      <name val="Carlito"/>
    </font>
    <font>
      <sz val="9"/>
      <color rgb="FF526979"/>
      <name val="Carlito"/>
    </font>
    <font>
      <sz val="8"/>
      <color rgb="FF8CA0AD"/>
      <name val="Carlito"/>
    </font>
    <font>
      <b/>
      <sz val="11"/>
      <color rgb="FFFFFFFF"/>
      <name val="Aptos Display"/>
      <family val="2"/>
    </font>
    <font>
      <b/>
      <sz val="9"/>
      <color rgb="FFFFFFFF"/>
      <name val="Aptos"/>
      <family val="2"/>
    </font>
    <font>
      <b/>
      <sz val="1"/>
      <color rgb="FFFFFFFF"/>
      <name val="Carlito"/>
    </font>
    <font>
      <sz val="1"/>
      <color rgb="FFFFFFFF"/>
      <name val="Carlito"/>
    </font>
    <font>
      <b/>
      <sz val="9"/>
      <color rgb="FFFFFFFF"/>
      <name val="Carlito"/>
    </font>
    <font>
      <sz val="9"/>
      <color rgb="FF23313D"/>
      <name val="Carlito"/>
    </font>
    <font>
      <b/>
      <sz val="10"/>
      <color rgb="FF12304A"/>
      <name val="Carlito"/>
    </font>
    <font>
      <b/>
      <i/>
      <sz val="10"/>
      <color rgb="FF12304A"/>
      <name val="Carlito"/>
    </font>
    <font>
      <b/>
      <i/>
      <sz val="9"/>
      <color rgb="FF526979"/>
      <name val="Carlito"/>
    </font>
    <font>
      <b/>
      <sz val="9"/>
      <color rgb="FF12304A"/>
      <name val="Carlito"/>
    </font>
    <font>
      <b/>
      <sz val="11"/>
      <color rgb="FFD6A84B"/>
      <name val="Carlito"/>
    </font>
    <font>
      <b/>
      <sz val="8"/>
      <color rgb="FF12304A"/>
      <name val="Carlito"/>
    </font>
    <font>
      <b/>
      <sz val="10"/>
      <color rgb="FFFFFFFF"/>
      <name val="Carlito"/>
    </font>
    <font>
      <sz val="10"/>
      <color rgb="FF23313D"/>
      <name val="Carlito"/>
    </font>
    <font>
      <b/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E6A8D"/>
      </patternFill>
    </fill>
    <fill>
      <patternFill patternType="solid">
        <fgColor rgb="FFF8FBFC"/>
      </patternFill>
    </fill>
    <fill>
      <patternFill patternType="solid">
        <fgColor rgb="FFEAF3F7"/>
      </patternFill>
    </fill>
    <fill>
      <patternFill patternType="solid">
        <fgColor rgb="FF12304A"/>
      </patternFill>
    </fill>
    <fill>
      <patternFill patternType="solid">
        <fgColor rgb="FFFFF2CC"/>
      </patternFill>
    </fill>
    <fill>
      <patternFill patternType="solid">
        <fgColor rgb="FFEAF3F7"/>
      </patternFill>
    </fill>
    <fill>
      <patternFill patternType="solid">
        <fgColor rgb="FF1E6A8D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12304A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FFF2CC"/>
      </patternFill>
    </fill>
    <fill>
      <patternFill patternType="solid">
        <fgColor rgb="FFEAF3F6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12304A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7E2E8"/>
      </bottom>
      <diagonal/>
    </border>
    <border>
      <left/>
      <right/>
      <top style="thin">
        <color rgb="FFD7E2E8"/>
      </top>
      <bottom style="thin">
        <color rgb="FFD7E2E8"/>
      </bottom>
      <diagonal/>
    </border>
    <border>
      <left/>
      <right/>
      <top style="thin">
        <color rgb="FFD7E2E8"/>
      </top>
      <bottom style="medium">
        <color rgb="FFD6A84B"/>
      </bottom>
      <diagonal/>
    </border>
    <border>
      <left/>
      <right/>
      <top style="thin">
        <color rgb="FFD7E2E8"/>
      </top>
      <bottom/>
      <diagonal/>
    </border>
    <border>
      <left style="medium">
        <color rgb="FFD6A84B"/>
      </left>
      <right/>
      <top style="medium">
        <color rgb="FFD6A84B"/>
      </top>
      <bottom style="medium">
        <color rgb="FFD6A84B"/>
      </bottom>
      <diagonal/>
    </border>
    <border>
      <left/>
      <right/>
      <top style="medium">
        <color rgb="FFD6A84B"/>
      </top>
      <bottom style="medium">
        <color rgb="FFD6A84B"/>
      </bottom>
      <diagonal/>
    </border>
    <border>
      <left/>
      <right style="medium">
        <color rgb="FFD6A84B"/>
      </right>
      <top style="medium">
        <color rgb="FFD6A84B"/>
      </top>
      <bottom style="medium">
        <color rgb="FFD6A84B"/>
      </bottom>
      <diagonal/>
    </border>
    <border>
      <left style="thin">
        <color rgb="FFD7E2E8"/>
      </left>
      <right/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/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/>
      <top style="thin">
        <color rgb="FFD7E2E8"/>
      </top>
      <bottom/>
      <diagonal/>
    </border>
    <border>
      <left style="thin">
        <color rgb="FFD6A84B"/>
      </left>
      <right/>
      <top style="thin">
        <color rgb="FFD6A84B"/>
      </top>
      <bottom style="medium">
        <color rgb="FFD6A84B"/>
      </bottom>
      <diagonal/>
    </border>
    <border>
      <left/>
      <right style="thin">
        <color rgb="FFD6A84B"/>
      </right>
      <top style="thin">
        <color rgb="FFD6A84B"/>
      </top>
      <bottom style="medium">
        <color rgb="FFD6A84B"/>
      </bottom>
      <diagonal/>
    </border>
    <border>
      <left style="thin">
        <color rgb="FFD6A84B"/>
      </left>
      <right/>
      <top/>
      <bottom style="thin">
        <color rgb="FFD6A84B"/>
      </bottom>
      <diagonal/>
    </border>
    <border>
      <left/>
      <right style="thin">
        <color rgb="FFD6A84B"/>
      </right>
      <top/>
      <bottom style="thin">
        <color rgb="FFD6A84B"/>
      </bottom>
      <diagonal/>
    </border>
    <border>
      <left style="thin">
        <color rgb="FFD7E2E8"/>
      </left>
      <right style="medium">
        <color rgb="FFD6A84B"/>
      </right>
      <top style="thin">
        <color rgb="FFD7E2E8"/>
      </top>
      <bottom style="medium">
        <color rgb="FFD6A84B"/>
      </bottom>
      <diagonal/>
    </border>
    <border>
      <left/>
      <right/>
      <top/>
      <bottom style="medium">
        <color rgb="FF24728E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3" fontId="0" fillId="4" borderId="3" xfId="0" applyNumberFormat="1" applyFill="1" applyBorder="1"/>
    <xf numFmtId="3" fontId="0" fillId="4" borderId="5" xfId="0" applyNumberFormat="1" applyFill="1" applyBorder="1"/>
    <xf numFmtId="0" fontId="5" fillId="0" borderId="0" xfId="0" applyFont="1"/>
    <xf numFmtId="0" fontId="0" fillId="7" borderId="0" xfId="0" applyFill="1"/>
    <xf numFmtId="0" fontId="5" fillId="8" borderId="0" xfId="0" applyFont="1" applyFill="1"/>
    <xf numFmtId="0" fontId="5" fillId="8" borderId="9" xfId="0" applyFont="1" applyFill="1" applyBorder="1" applyAlignment="1">
      <alignment horizontal="center"/>
    </xf>
    <xf numFmtId="0" fontId="7" fillId="0" borderId="0" xfId="0" applyFont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2" fontId="0" fillId="7" borderId="14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0" fillId="0" borderId="0" xfId="0" applyFont="1"/>
    <xf numFmtId="165" fontId="10" fillId="0" borderId="0" xfId="0" applyNumberFormat="1" applyFont="1"/>
    <xf numFmtId="2" fontId="10" fillId="0" borderId="0" xfId="0" applyNumberFormat="1" applyFont="1"/>
    <xf numFmtId="1" fontId="10" fillId="0" borderId="0" xfId="0" applyNumberFormat="1" applyFont="1"/>
    <xf numFmtId="0" fontId="2" fillId="0" borderId="2" xfId="0" applyFont="1" applyBorder="1"/>
    <xf numFmtId="0" fontId="2" fillId="0" borderId="5" xfId="0" applyFont="1" applyBorder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10" borderId="1" xfId="0" applyFont="1" applyFill="1" applyBorder="1" applyAlignment="1">
      <alignment vertical="center" wrapText="1"/>
    </xf>
    <xf numFmtId="0" fontId="12" fillId="12" borderId="2" xfId="0" applyFont="1" applyFill="1" applyBorder="1" applyAlignment="1">
      <alignment horizontal="center" vertical="center" wrapText="1"/>
    </xf>
    <xf numFmtId="167" fontId="5" fillId="5" borderId="3" xfId="0" applyNumberFormat="1" applyFont="1" applyFill="1" applyBorder="1" applyAlignment="1">
      <alignment horizontal="center"/>
    </xf>
    <xf numFmtId="0" fontId="13" fillId="5" borderId="0" xfId="0" applyFont="1" applyFill="1"/>
    <xf numFmtId="0" fontId="14" fillId="0" borderId="0" xfId="0" applyFont="1"/>
    <xf numFmtId="0" fontId="15" fillId="13" borderId="0" xfId="0" applyFont="1" applyFill="1" applyAlignment="1">
      <alignment horizontal="center" wrapText="1"/>
    </xf>
    <xf numFmtId="167" fontId="16" fillId="0" borderId="2" xfId="0" applyNumberFormat="1" applyFont="1" applyBorder="1"/>
    <xf numFmtId="2" fontId="16" fillId="0" borderId="2" xfId="0" applyNumberFormat="1" applyFont="1" applyBorder="1"/>
    <xf numFmtId="1" fontId="16" fillId="0" borderId="2" xfId="0" applyNumberFormat="1" applyFont="1" applyBorder="1"/>
    <xf numFmtId="0" fontId="16" fillId="0" borderId="2" xfId="0" applyFont="1" applyBorder="1"/>
    <xf numFmtId="167" fontId="16" fillId="0" borderId="3" xfId="0" applyNumberFormat="1" applyFont="1" applyBorder="1"/>
    <xf numFmtId="2" fontId="16" fillId="0" borderId="3" xfId="0" applyNumberFormat="1" applyFont="1" applyBorder="1"/>
    <xf numFmtId="1" fontId="16" fillId="0" borderId="3" xfId="0" applyNumberFormat="1" applyFont="1" applyBorder="1"/>
    <xf numFmtId="0" fontId="16" fillId="0" borderId="3" xfId="0" applyFont="1" applyBorder="1"/>
    <xf numFmtId="167" fontId="16" fillId="0" borderId="5" xfId="0" applyNumberFormat="1" applyFont="1" applyBorder="1"/>
    <xf numFmtId="2" fontId="16" fillId="0" borderId="5" xfId="0" applyNumberFormat="1" applyFont="1" applyBorder="1"/>
    <xf numFmtId="1" fontId="16" fillId="0" borderId="5" xfId="0" applyNumberFormat="1" applyFont="1" applyBorder="1"/>
    <xf numFmtId="0" fontId="16" fillId="0" borderId="5" xfId="0" applyFont="1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168" fontId="14" fillId="0" borderId="0" xfId="0" applyNumberFormat="1" applyFont="1"/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1" fillId="18" borderId="1" xfId="0" applyFont="1" applyFill="1" applyBorder="1" applyAlignment="1">
      <alignment horizontal="center"/>
    </xf>
    <xf numFmtId="0" fontId="23" fillId="19" borderId="23" xfId="0" applyFont="1" applyFill="1" applyBorder="1" applyAlignment="1">
      <alignment horizontal="center" vertical="center"/>
    </xf>
    <xf numFmtId="167" fontId="24" fillId="0" borderId="2" xfId="0" applyNumberFormat="1" applyFont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167" fontId="24" fillId="0" borderId="5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2" fontId="24" fillId="0" borderId="2" xfId="0" applyNumberFormat="1" applyFont="1" applyBorder="1" applyAlignment="1">
      <alignment horizontal="right" vertical="center"/>
    </xf>
    <xf numFmtId="1" fontId="24" fillId="0" borderId="2" xfId="0" applyNumberFormat="1" applyFont="1" applyBorder="1" applyAlignment="1">
      <alignment horizontal="right" vertical="center"/>
    </xf>
    <xf numFmtId="2" fontId="24" fillId="0" borderId="3" xfId="0" applyNumberFormat="1" applyFont="1" applyBorder="1" applyAlignment="1">
      <alignment horizontal="right" vertical="center"/>
    </xf>
    <xf numFmtId="1" fontId="24" fillId="0" borderId="3" xfId="0" applyNumberFormat="1" applyFont="1" applyBorder="1" applyAlignment="1">
      <alignment horizontal="right" vertical="center"/>
    </xf>
    <xf numFmtId="2" fontId="24" fillId="0" borderId="5" xfId="0" applyNumberFormat="1" applyFont="1" applyBorder="1" applyAlignment="1">
      <alignment horizontal="right" vertical="center"/>
    </xf>
    <xf numFmtId="1" fontId="24" fillId="0" borderId="5" xfId="0" applyNumberFormat="1" applyFont="1" applyBorder="1" applyAlignment="1">
      <alignment horizontal="right" vertical="center"/>
    </xf>
    <xf numFmtId="15" fontId="0" fillId="0" borderId="0" xfId="0" applyNumberFormat="1"/>
    <xf numFmtId="0" fontId="25" fillId="0" borderId="0" xfId="0" applyFont="1"/>
    <xf numFmtId="164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0" fontId="27" fillId="21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14" fillId="0" borderId="0" xfId="0" applyNumberFormat="1" applyFont="1"/>
    <xf numFmtId="14" fontId="0" fillId="0" borderId="0" xfId="0" applyNumberFormat="1"/>
    <xf numFmtId="0" fontId="4" fillId="2" borderId="0" xfId="0" applyFont="1" applyFill="1" applyAlignment="1">
      <alignment vertical="center"/>
    </xf>
    <xf numFmtId="0" fontId="1" fillId="3" borderId="0" xfId="0" applyFont="1" applyFill="1"/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1" fillId="9" borderId="0" xfId="0" applyFont="1" applyFill="1"/>
    <xf numFmtId="0" fontId="9" fillId="0" borderId="0" xfId="0" applyFont="1" applyAlignment="1">
      <alignment horizontal="center" wrapText="1"/>
    </xf>
    <xf numFmtId="0" fontId="11" fillId="11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4" fillId="6" borderId="0" xfId="0" applyFont="1" applyFill="1" applyAlignment="1">
      <alignment vertical="center"/>
    </xf>
    <xf numFmtId="167" fontId="5" fillId="7" borderId="6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166" fontId="16" fillId="0" borderId="5" xfId="0" applyNumberFormat="1" applyFont="1" applyBorder="1"/>
    <xf numFmtId="0" fontId="16" fillId="0" borderId="5" xfId="0" applyFont="1" applyBorder="1"/>
    <xf numFmtId="0" fontId="17" fillId="16" borderId="17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6" fillId="0" borderId="0" xfId="0" applyFont="1"/>
    <xf numFmtId="0" fontId="17" fillId="15" borderId="6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/>
    </xf>
    <xf numFmtId="167" fontId="17" fillId="17" borderId="18" xfId="0" applyNumberFormat="1" applyFont="1" applyFill="1" applyBorder="1" applyAlignment="1">
      <alignment horizontal="center" vertical="center"/>
    </xf>
    <xf numFmtId="0" fontId="17" fillId="17" borderId="19" xfId="0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 wrapText="1"/>
    </xf>
    <xf numFmtId="167" fontId="18" fillId="17" borderId="20" xfId="0" applyNumberFormat="1" applyFont="1" applyFill="1" applyBorder="1" applyAlignment="1">
      <alignment horizontal="center" vertical="center" wrapText="1"/>
    </xf>
    <xf numFmtId="0" fontId="18" fillId="17" borderId="21" xfId="0" applyFont="1" applyFill="1" applyBorder="1" applyAlignment="1">
      <alignment horizontal="center" vertical="center" wrapText="1"/>
    </xf>
    <xf numFmtId="0" fontId="19" fillId="18" borderId="0" xfId="0" applyFont="1" applyFill="1" applyAlignment="1">
      <alignment horizontal="center" vertical="center" wrapText="1"/>
    </xf>
    <xf numFmtId="0" fontId="16" fillId="0" borderId="3" xfId="0" applyFont="1" applyBorder="1"/>
    <xf numFmtId="166" fontId="16" fillId="0" borderId="3" xfId="0" applyNumberFormat="1" applyFont="1" applyBorder="1"/>
    <xf numFmtId="0" fontId="16" fillId="0" borderId="2" xfId="0" applyFont="1" applyBorder="1"/>
    <xf numFmtId="0" fontId="4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5" fillId="13" borderId="0" xfId="0" applyFont="1" applyFill="1" applyAlignment="1">
      <alignment horizontal="center"/>
    </xf>
    <xf numFmtId="0" fontId="26" fillId="20" borderId="0" xfId="0" applyFont="1" applyFill="1" applyAlignment="1">
      <alignment vertical="center"/>
    </xf>
    <xf numFmtId="0" fontId="27" fillId="21" borderId="0" xfId="0" applyFont="1" applyFill="1" applyAlignment="1">
      <alignment vertical="center"/>
    </xf>
    <xf numFmtId="0" fontId="28" fillId="22" borderId="0" xfId="0" applyFont="1" applyFill="1" applyAlignment="1">
      <alignment vertical="center"/>
    </xf>
    <xf numFmtId="0" fontId="0" fillId="0" borderId="16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167" fontId="0" fillId="5" borderId="3" xfId="0" applyNumberFormat="1" applyFont="1" applyFill="1" applyBorder="1" applyAlignment="1">
      <alignment horizontal="center"/>
    </xf>
    <xf numFmtId="0" fontId="0" fillId="7" borderId="16" xfId="0" applyFont="1" applyFill="1" applyBorder="1" applyAlignment="1">
      <alignment horizontal="center"/>
    </xf>
    <xf numFmtId="0" fontId="0" fillId="0" borderId="0" xfId="0" applyFont="1"/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7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14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7" borderId="1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1" fontId="0" fillId="0" borderId="3" xfId="0" applyNumberFormat="1" applyFont="1" applyBorder="1"/>
    <xf numFmtId="168" fontId="0" fillId="0" borderId="0" xfId="0" applyNumberFormat="1" applyFont="1"/>
    <xf numFmtId="1" fontId="0" fillId="0" borderId="2" xfId="0" applyNumberFormat="1" applyFont="1" applyBorder="1"/>
    <xf numFmtId="0" fontId="0" fillId="16" borderId="13" xfId="0" applyFont="1" applyFill="1" applyBorder="1" applyAlignment="1">
      <alignment horizontal="center" vertical="center" wrapText="1"/>
    </xf>
    <xf numFmtId="1" fontId="0" fillId="0" borderId="14" xfId="0" applyNumberFormat="1" applyFont="1" applyBorder="1" applyAlignment="1">
      <alignment horizontal="center" vertical="center"/>
    </xf>
    <xf numFmtId="166" fontId="0" fillId="0" borderId="14" xfId="0" applyNumberFormat="1" applyFont="1" applyBorder="1" applyAlignment="1">
      <alignment horizontal="center" vertical="center"/>
    </xf>
    <xf numFmtId="1" fontId="0" fillId="0" borderId="16" xfId="0" applyNumberFormat="1" applyFont="1" applyBorder="1" applyAlignment="1">
      <alignment horizontal="center" vertical="center"/>
    </xf>
    <xf numFmtId="166" fontId="0" fillId="0" borderId="9" xfId="0" applyNumberFormat="1" applyFont="1" applyBorder="1" applyAlignment="1">
      <alignment horizontal="center" vertical="center"/>
    </xf>
    <xf numFmtId="166" fontId="0" fillId="0" borderId="16" xfId="0" applyNumberFormat="1" applyFont="1" applyBorder="1" applyAlignment="1">
      <alignment horizontal="center" vertical="center"/>
    </xf>
    <xf numFmtId="166" fontId="0" fillId="0" borderId="17" xfId="0" applyNumberFormat="1" applyFont="1" applyBorder="1" applyAlignment="1">
      <alignment horizontal="center" vertical="center"/>
    </xf>
    <xf numFmtId="1" fontId="0" fillId="0" borderId="12" xfId="0" applyNumberFormat="1" applyFont="1" applyBorder="1" applyAlignment="1">
      <alignment horizontal="center" vertical="center"/>
    </xf>
    <xf numFmtId="166" fontId="0" fillId="0" borderId="12" xfId="0" applyNumberFormat="1" applyFont="1" applyBorder="1" applyAlignment="1">
      <alignment horizontal="center" vertical="center"/>
    </xf>
    <xf numFmtId="166" fontId="0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AF3F6"/>
        </patternFill>
      </fill>
    </dxf>
    <dxf>
      <fill>
        <patternFill>
          <bgColor rgb="FFEAF3F6"/>
        </patternFill>
      </fill>
    </dxf>
    <dxf>
      <fill>
        <patternFill>
          <bgColor rgb="FFEAF3F6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735588103300558E-2"/>
          <c:y val="0.26991646897915977"/>
          <c:w val="0.96297868664009201"/>
          <c:h val="0.58065650282429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F55-BACA-E764B6E5BAF7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F-4F55-BACA-E764B6E5B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296F-4F55-BACA-E764B6E5BAF7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6F-4F55-BACA-E764B6E5B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D-4973-807C-78EADEAB94E0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D-4973-807C-78EADEAB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12AD-4973-807C-78EADEAB94E0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AD-4973-807C-78EADEAB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 del integrante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GRAPH_DATA_INTEGRANTE!$D$2:$D$237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A-4196-A634-901A56199E60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GRAPH_DATA_INTEGRANTE!$E$2:$E$237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A-4196-A634-901A5619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GRAPH_DATA_INTEGRANTE!$C$1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D1BA-4196-A634-901A56199E60}"/>
              </c:ext>
            </c:extLst>
          </c:dPt>
          <c:cat>
            <c:strRef>
              <c:f>GRAPH_DATA_INTEGRANTE!$A$2:$A$237</c:f>
              <c:strCache>
                <c:ptCount val="61"/>
                <c:pt idx="0">
                  <c:v>7-Feb-19</c:v>
                </c:pt>
                <c:pt idx="1">
                  <c:v>28-Mar-19</c:v>
                </c:pt>
                <c:pt idx="2">
                  <c:v>16-May-19</c:v>
                </c:pt>
                <c:pt idx="3">
                  <c:v>27-Jun-19</c:v>
                </c:pt>
                <c:pt idx="4">
                  <c:v>15-Aug-19</c:v>
                </c:pt>
                <c:pt idx="5">
                  <c:v>26-Sep-19</c:v>
                </c:pt>
                <c:pt idx="6">
                  <c:v>14-Nov-19</c:v>
                </c:pt>
                <c:pt idx="7">
                  <c:v>19-Dec-19</c:v>
                </c:pt>
                <c:pt idx="8">
                  <c:v>13-Feb-20</c:v>
                </c:pt>
                <c:pt idx="9">
                  <c:v>20-Mar-20</c:v>
                </c:pt>
                <c:pt idx="10">
                  <c:v>21-Apr-20</c:v>
                </c:pt>
                <c:pt idx="11">
                  <c:v>14-May-20</c:v>
                </c:pt>
                <c:pt idx="12">
                  <c:v>25-Jun-20</c:v>
                </c:pt>
                <c:pt idx="13">
                  <c:v>13-Aug-20</c:v>
                </c:pt>
                <c:pt idx="14">
                  <c:v>24-Sep-20</c:v>
                </c:pt>
                <c:pt idx="15">
                  <c:v>12-Nov-20</c:v>
                </c:pt>
                <c:pt idx="16">
                  <c:v>17-Dec-20</c:v>
                </c:pt>
                <c:pt idx="17">
                  <c:v>11-Feb-21</c:v>
                </c:pt>
                <c:pt idx="18">
                  <c:v>25-Mar-21</c:v>
                </c:pt>
                <c:pt idx="19">
                  <c:v>13-May-21</c:v>
                </c:pt>
                <c:pt idx="20">
                  <c:v>24-Jun-21</c:v>
                </c:pt>
                <c:pt idx="21">
                  <c:v>12-Aug-21</c:v>
                </c:pt>
                <c:pt idx="22">
                  <c:v>30-Sep-21</c:v>
                </c:pt>
                <c:pt idx="23">
                  <c:v>11-Nov-21</c:v>
                </c:pt>
                <c:pt idx="24">
                  <c:v>16-Dec-21</c:v>
                </c:pt>
                <c:pt idx="25">
                  <c:v>10-Feb-22</c:v>
                </c:pt>
                <c:pt idx="26">
                  <c:v>24-Mar-22</c:v>
                </c:pt>
                <c:pt idx="27">
                  <c:v>12-May-22</c:v>
                </c:pt>
                <c:pt idx="28">
                  <c:v>23-Jun-22</c:v>
                </c:pt>
                <c:pt idx="29">
                  <c:v>11-Aug-22</c:v>
                </c:pt>
                <c:pt idx="30">
                  <c:v>29-Sep-22</c:v>
                </c:pt>
                <c:pt idx="31">
                  <c:v>10-Nov-22</c:v>
                </c:pt>
                <c:pt idx="32">
                  <c:v>15-Dec-22</c:v>
                </c:pt>
                <c:pt idx="33">
                  <c:v>9-Feb-23</c:v>
                </c:pt>
                <c:pt idx="34">
                  <c:v>30-Mar-23</c:v>
                </c:pt>
                <c:pt idx="35">
                  <c:v>18-May-23</c:v>
                </c:pt>
                <c:pt idx="36">
                  <c:v>22-Jun-23</c:v>
                </c:pt>
                <c:pt idx="37">
                  <c:v>10-Aug-23</c:v>
                </c:pt>
                <c:pt idx="38">
                  <c:v>28-Sep-23</c:v>
                </c:pt>
                <c:pt idx="39">
                  <c:v>9-Nov-23</c:v>
                </c:pt>
                <c:pt idx="40">
                  <c:v>14-Dec-23</c:v>
                </c:pt>
                <c:pt idx="41">
                  <c:v>8-Feb-24</c:v>
                </c:pt>
                <c:pt idx="42">
                  <c:v>21-Mar-24</c:v>
                </c:pt>
                <c:pt idx="43">
                  <c:v>9-May-24</c:v>
                </c:pt>
                <c:pt idx="44">
                  <c:v>27-Jun-24</c:v>
                </c:pt>
                <c:pt idx="45">
                  <c:v>8-Aug-24</c:v>
                </c:pt>
                <c:pt idx="46">
                  <c:v>26-Sep-24</c:v>
                </c:pt>
                <c:pt idx="47">
                  <c:v>14-Nov-24</c:v>
                </c:pt>
                <c:pt idx="48">
                  <c:v>19-Dec-24</c:v>
                </c:pt>
                <c:pt idx="49">
                  <c:v>6-Feb-25</c:v>
                </c:pt>
                <c:pt idx="50">
                  <c:v>27-Mar-25</c:v>
                </c:pt>
                <c:pt idx="51">
                  <c:v>15-May-25</c:v>
                </c:pt>
                <c:pt idx="52">
                  <c:v>26-Jun-25</c:v>
                </c:pt>
                <c:pt idx="53">
                  <c:v>7-Aug-25</c:v>
                </c:pt>
                <c:pt idx="54">
                  <c:v>25-Sep-25</c:v>
                </c:pt>
                <c:pt idx="55">
                  <c:v>6-Nov-25</c:v>
                </c:pt>
                <c:pt idx="56">
                  <c:v>18-Dec-25</c:v>
                </c:pt>
                <c:pt idx="57">
                  <c:v>5-Feb-26</c:v>
                </c:pt>
                <c:pt idx="58">
                  <c:v>26-Mar-26</c:v>
                </c:pt>
                <c:pt idx="59">
                  <c:v>7-May-26</c:v>
                </c:pt>
                <c:pt idx="60">
                  <c:v>25-Jun-26</c:v>
                </c:pt>
              </c:strCache>
            </c:strRef>
          </c:cat>
          <c:val>
            <c:numRef>
              <c:f>GRAPH_DATA_INTEGRANTE!$C$2:$C$237</c:f>
              <c:numCache>
                <c:formatCode>General</c:formatCode>
                <c:ptCount val="236"/>
                <c:pt idx="0">
                  <c:v>8.25</c:v>
                </c:pt>
                <c:pt idx="1">
                  <c:v>8.25</c:v>
                </c:pt>
                <c:pt idx="2">
                  <c:v>8.25</c:v>
                </c:pt>
                <c:pt idx="3">
                  <c:v>8.25</c:v>
                </c:pt>
                <c:pt idx="4">
                  <c:v>8</c:v>
                </c:pt>
                <c:pt idx="5">
                  <c:v>7.75</c:v>
                </c:pt>
                <c:pt idx="6">
                  <c:v>7.5</c:v>
                </c:pt>
                <c:pt idx="7">
                  <c:v>7.25</c:v>
                </c:pt>
                <c:pt idx="8">
                  <c:v>7</c:v>
                </c:pt>
                <c:pt idx="9">
                  <c:v>6.5</c:v>
                </c:pt>
                <c:pt idx="10">
                  <c:v>6</c:v>
                </c:pt>
                <c:pt idx="11">
                  <c:v>5.5</c:v>
                </c:pt>
                <c:pt idx="12">
                  <c:v>5</c:v>
                </c:pt>
                <c:pt idx="13">
                  <c:v>4.5</c:v>
                </c:pt>
                <c:pt idx="14">
                  <c:v>4.25</c:v>
                </c:pt>
                <c:pt idx="15">
                  <c:v>4.25</c:v>
                </c:pt>
                <c:pt idx="16">
                  <c:v>4.25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  <c:pt idx="24">
                  <c:v>5.5</c:v>
                </c:pt>
                <c:pt idx="25">
                  <c:v>6</c:v>
                </c:pt>
                <c:pt idx="26">
                  <c:v>6.5</c:v>
                </c:pt>
                <c:pt idx="27">
                  <c:v>7</c:v>
                </c:pt>
                <c:pt idx="28">
                  <c:v>7.75</c:v>
                </c:pt>
                <c:pt idx="29">
                  <c:v>8.5</c:v>
                </c:pt>
                <c:pt idx="30">
                  <c:v>9.25</c:v>
                </c:pt>
                <c:pt idx="31">
                  <c:v>10</c:v>
                </c:pt>
                <c:pt idx="32">
                  <c:v>10.5</c:v>
                </c:pt>
                <c:pt idx="33">
                  <c:v>11</c:v>
                </c:pt>
                <c:pt idx="34">
                  <c:v>11.25</c:v>
                </c:pt>
                <c:pt idx="35">
                  <c:v>11.25</c:v>
                </c:pt>
                <c:pt idx="36">
                  <c:v>11.25</c:v>
                </c:pt>
                <c:pt idx="37">
                  <c:v>11.25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10.75</c:v>
                </c:pt>
                <c:pt idx="46">
                  <c:v>10.5</c:v>
                </c:pt>
                <c:pt idx="47">
                  <c:v>10.25</c:v>
                </c:pt>
                <c:pt idx="48">
                  <c:v>10</c:v>
                </c:pt>
                <c:pt idx="49">
                  <c:v>9.5</c:v>
                </c:pt>
                <c:pt idx="50">
                  <c:v>9</c:v>
                </c:pt>
                <c:pt idx="51">
                  <c:v>8.5</c:v>
                </c:pt>
                <c:pt idx="52">
                  <c:v>8</c:v>
                </c:pt>
                <c:pt idx="53">
                  <c:v>7.75</c:v>
                </c:pt>
                <c:pt idx="54">
                  <c:v>7.5</c:v>
                </c:pt>
                <c:pt idx="55">
                  <c:v>7.25</c:v>
                </c:pt>
                <c:pt idx="56">
                  <c:v>7</c:v>
                </c:pt>
                <c:pt idx="57">
                  <c:v>7</c:v>
                </c:pt>
                <c:pt idx="58">
                  <c:v>6.75</c:v>
                </c:pt>
                <c:pt idx="59">
                  <c:v>6.5</c:v>
                </c:pt>
                <c:pt idx="60">
                  <c:v>6.5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A-4196-A634-901A5619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ax val="46583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22860</xdr:rowOff>
    </xdr:from>
    <xdr:to>
      <xdr:col>11</xdr:col>
      <xdr:colOff>892629</xdr:colOff>
      <xdr:row>17</xdr:row>
      <xdr:rowOff>157480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</xdr:row>
      <xdr:rowOff>99060</xdr:rowOff>
    </xdr:from>
    <xdr:to>
      <xdr:col>13</xdr:col>
      <xdr:colOff>1092200</xdr:colOff>
      <xdr:row>19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1046480</xdr:colOff>
      <xdr:row>33</xdr:row>
      <xdr:rowOff>167640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isionesTable" displayName="DecisionesTable" ref="A1:N239" totalsRowShown="0">
  <tableColumns count="14">
    <tableColumn id="1" xr3:uid="{00000000-0010-0000-0000-000001000000}" name="Decision_ID"/>
    <tableColumn id="2" xr3:uid="{00000000-0010-0000-0000-000002000000}" name="Fecha_Decision"/>
    <tableColumn id="3" xr3:uid="{00000000-0010-0000-0000-000003000000}" name="Hora_Publicacion"/>
    <tableColumn id="4" xr3:uid="{00000000-0010-0000-0000-000004000000}" name="Tipo_Reunion"/>
    <tableColumn id="5" xr3:uid="{00000000-0010-0000-0000-000005000000}" name="Regimen_Operativo"/>
    <tableColumn id="6" xr3:uid="{00000000-0010-0000-0000-000006000000}" name="Tasa_Anterior"/>
    <tableColumn id="7" xr3:uid="{00000000-0010-0000-0000-000007000000}" name="Cambio_pb"/>
    <tableColumn id="8" xr3:uid="{00000000-0010-0000-0000-000008000000}" name="Tasa_Nueva"/>
    <tableColumn id="9" xr3:uid="{00000000-0010-0000-0000-000009000000}" name="Direccion_Decision"/>
    <tableColumn id="10" xr3:uid="{00000000-0010-0000-0000-00000A000000}" name="Decision_Unanime"/>
    <tableColumn id="11" xr3:uid="{00000000-0010-0000-0000-00000B000000}" name="Numero_Disensos"/>
    <tableColumn id="12" xr3:uid="{00000000-0010-0000-0000-00000C000000}" name="Comunicado_URL"/>
    <tableColumn id="13" xr3:uid="{00000000-0010-0000-0000-00000D000000}" name="Minuta_URL"/>
    <tableColumn id="14" xr3:uid="{00000000-0010-0000-0000-00000E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articipacionTable" displayName="ParticipacionTable" ref="A1:E346" totalsRowShown="0">
  <tableColumns count="5">
    <tableColumn id="1" xr3:uid="{00000000-0010-0000-0100-000001000000}" name="Decision_ID"/>
    <tableColumn id="2" xr3:uid="{00000000-0010-0000-0100-000002000000}" name="Persona_ID"/>
    <tableColumn id="3" xr3:uid="{00000000-0010-0000-0100-000003000000}" name="Cargo"/>
    <tableColumn id="4" xr3:uid="{00000000-0010-0000-0100-000004000000}" name="Participacion_Confirmada"/>
    <tableColumn id="5" xr3:uid="{00000000-0010-0000-0100-000005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VotacionesTable" displayName="VotacionesTable" ref="A1:F346" totalsRowShown="0">
  <tableColumns count="6">
    <tableColumn id="1" xr3:uid="{00000000-0010-0000-0200-000001000000}" name="Decision_ID"/>
    <tableColumn id="2" xr3:uid="{00000000-0010-0000-0200-000002000000}" name="Persona_ID"/>
    <tableColumn id="3" xr3:uid="{00000000-0010-0000-0200-000003000000}" name="Voto"/>
    <tableColumn id="4" xr3:uid="{00000000-0010-0000-0200-000004000000}" name="Tipo_Voto"/>
    <tableColumn id="5" xr3:uid="{00000000-0010-0000-0200-000005000000}" name="Nivel_Identificacion"/>
    <tableColumn id="6" xr3:uid="{00000000-0010-0000-0200-000006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sonasTable" displayName="PersonasTable" ref="A1:B30" totalsRowShown="0">
  <tableColumns count="2">
    <tableColumn id="1" xr3:uid="{00000000-0010-0000-0300-000001000000}" name="Persona_ID"/>
    <tableColumn id="2" xr3:uid="{00000000-0010-0000-0300-000002000000}" name="Nomb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cionesTable" displayName="ValidacionesTable" ref="A1:D2" totalsRowShown="0">
  <tableColumns count="4">
    <tableColumn id="1" xr3:uid="{00000000-0010-0000-0400-000001000000}" name="Tipo"/>
    <tableColumn id="2" xr3:uid="{00000000-0010-0000-0400-000002000000}" name="Decision_ID"/>
    <tableColumn id="3" xr3:uid="{00000000-0010-0000-0400-000003000000}" name="Detalle"/>
    <tableColumn id="4" xr3:uid="{00000000-0010-0000-0400-000004000000}" name="Sever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GraphDataTable" displayName="GraphDataTable" ref="A1:F239" totalsRowShown="0">
  <tableColumns count="6">
    <tableColumn id="1" xr3:uid="{00000000-0010-0000-0500-000001000000}" name="Fecha"/>
    <tableColumn id="2" xr3:uid="{00000000-0010-0000-0500-000002000000}" name="Decision_ID"/>
    <tableColumn id="3" xr3:uid="{00000000-0010-0000-0500-000003000000}" name="Tasa_Objetivo"/>
    <tableColumn id="4" xr3:uid="{00000000-0010-0000-0500-000004000000}" name="Movimiento_pb"/>
    <tableColumn id="5" xr3:uid="{00000000-0010-0000-0500-000005000000}" name="Disensos_Hawk"/>
    <tableColumn id="6" xr3:uid="{00000000-0010-0000-0500-000006000000}" name="Disensos_Dov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9"/>
  <sheetViews>
    <sheetView showGridLines="0" tabSelected="1" topLeftCell="A229" workbookViewId="0">
      <selection activeCell="E235" sqref="E235"/>
    </sheetView>
  </sheetViews>
  <sheetFormatPr defaultRowHeight="13.8"/>
  <cols>
    <col min="1" max="1" width="15" customWidth="1"/>
    <col min="2" max="3" width="13" customWidth="1"/>
    <col min="4" max="4" width="15" customWidth="1"/>
    <col min="5" max="5" width="29" customWidth="1"/>
    <col min="6" max="6" width="14" customWidth="1"/>
    <col min="7" max="7" width="12" customWidth="1"/>
    <col min="8" max="8" width="13" customWidth="1"/>
    <col min="9" max="10" width="18" customWidth="1"/>
    <col min="11" max="11" width="15" customWidth="1"/>
    <col min="12" max="13" width="48" customWidth="1"/>
    <col min="14" max="14" width="42" customWidth="1"/>
  </cols>
  <sheetData>
    <row r="1" spans="1:14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1.4">
      <c r="A2" s="2" t="s">
        <v>14</v>
      </c>
      <c r="B2" s="4">
        <v>36543</v>
      </c>
      <c r="C2" s="2"/>
      <c r="D2" s="2" t="s">
        <v>15</v>
      </c>
      <c r="E2" s="2" t="s">
        <v>16</v>
      </c>
      <c r="F2" s="6"/>
      <c r="G2" s="8"/>
      <c r="H2" s="6"/>
      <c r="I2" s="2" t="s">
        <v>17</v>
      </c>
      <c r="J2" s="2" t="s">
        <v>17</v>
      </c>
      <c r="K2" s="2"/>
      <c r="L2" s="10" t="s">
        <v>18</v>
      </c>
      <c r="M2" s="10"/>
      <c r="N2" s="10" t="s">
        <v>19</v>
      </c>
    </row>
    <row r="3" spans="1:14" ht="41.4">
      <c r="A3" s="2" t="s">
        <v>20</v>
      </c>
      <c r="B3" s="4">
        <v>36662</v>
      </c>
      <c r="C3" s="2"/>
      <c r="D3" s="2" t="s">
        <v>15</v>
      </c>
      <c r="E3" s="2" t="s">
        <v>16</v>
      </c>
      <c r="F3" s="6"/>
      <c r="G3" s="8"/>
      <c r="H3" s="6"/>
      <c r="I3" s="2" t="s">
        <v>17</v>
      </c>
      <c r="J3" s="2" t="s">
        <v>17</v>
      </c>
      <c r="K3" s="2"/>
      <c r="L3" s="10" t="s">
        <v>21</v>
      </c>
      <c r="M3" s="10"/>
      <c r="N3" s="10" t="s">
        <v>19</v>
      </c>
    </row>
    <row r="4" spans="1:14" ht="41.4">
      <c r="A4" s="2" t="s">
        <v>22</v>
      </c>
      <c r="B4" s="4">
        <v>36703</v>
      </c>
      <c r="C4" s="2"/>
      <c r="D4" s="2" t="s">
        <v>15</v>
      </c>
      <c r="E4" s="2" t="s">
        <v>16</v>
      </c>
      <c r="F4" s="6"/>
      <c r="G4" s="8"/>
      <c r="H4" s="6"/>
      <c r="I4" s="2" t="s">
        <v>17</v>
      </c>
      <c r="J4" s="2" t="s">
        <v>17</v>
      </c>
      <c r="K4" s="2"/>
      <c r="L4" s="10" t="s">
        <v>23</v>
      </c>
      <c r="M4" s="10"/>
      <c r="N4" s="10" t="s">
        <v>19</v>
      </c>
    </row>
    <row r="5" spans="1:14" ht="41.4">
      <c r="A5" s="2" t="s">
        <v>24</v>
      </c>
      <c r="B5" s="4">
        <v>36738</v>
      </c>
      <c r="C5" s="2"/>
      <c r="D5" s="2" t="s">
        <v>15</v>
      </c>
      <c r="E5" s="2" t="s">
        <v>16</v>
      </c>
      <c r="F5" s="6"/>
      <c r="G5" s="8"/>
      <c r="H5" s="6"/>
      <c r="I5" s="2" t="s">
        <v>17</v>
      </c>
      <c r="J5" s="2" t="s">
        <v>17</v>
      </c>
      <c r="K5" s="2"/>
      <c r="L5" s="10" t="s">
        <v>25</v>
      </c>
      <c r="M5" s="10"/>
      <c r="N5" s="10" t="s">
        <v>19</v>
      </c>
    </row>
    <row r="6" spans="1:14" ht="41.4">
      <c r="A6" s="2" t="s">
        <v>26</v>
      </c>
      <c r="B6" s="4">
        <v>36816</v>
      </c>
      <c r="C6" s="2"/>
      <c r="D6" s="2" t="s">
        <v>15</v>
      </c>
      <c r="E6" s="2" t="s">
        <v>16</v>
      </c>
      <c r="F6" s="6"/>
      <c r="G6" s="8"/>
      <c r="H6" s="6"/>
      <c r="I6" s="2" t="s">
        <v>17</v>
      </c>
      <c r="J6" s="2" t="s">
        <v>17</v>
      </c>
      <c r="K6" s="2"/>
      <c r="L6" s="10" t="s">
        <v>27</v>
      </c>
      <c r="M6" s="10"/>
      <c r="N6" s="10" t="s">
        <v>19</v>
      </c>
    </row>
    <row r="7" spans="1:14" ht="41.4">
      <c r="A7" s="2" t="s">
        <v>28</v>
      </c>
      <c r="B7" s="4">
        <v>36840</v>
      </c>
      <c r="C7" s="2"/>
      <c r="D7" s="2" t="s">
        <v>15</v>
      </c>
      <c r="E7" s="2" t="s">
        <v>16</v>
      </c>
      <c r="F7" s="6"/>
      <c r="G7" s="8"/>
      <c r="H7" s="6"/>
      <c r="I7" s="2" t="s">
        <v>17</v>
      </c>
      <c r="J7" s="2" t="s">
        <v>17</v>
      </c>
      <c r="K7" s="2"/>
      <c r="L7" s="10" t="s">
        <v>29</v>
      </c>
      <c r="M7" s="10"/>
      <c r="N7" s="10" t="s">
        <v>19</v>
      </c>
    </row>
    <row r="8" spans="1:14" ht="41.4">
      <c r="A8" s="2" t="s">
        <v>30</v>
      </c>
      <c r="B8" s="4">
        <v>36903</v>
      </c>
      <c r="C8" s="2"/>
      <c r="D8" s="2" t="s">
        <v>15</v>
      </c>
      <c r="E8" s="2" t="s">
        <v>16</v>
      </c>
      <c r="F8" s="6"/>
      <c r="G8" s="8"/>
      <c r="H8" s="6"/>
      <c r="I8" s="2" t="s">
        <v>17</v>
      </c>
      <c r="J8" s="2" t="s">
        <v>17</v>
      </c>
      <c r="K8" s="2"/>
      <c r="L8" s="10" t="s">
        <v>31</v>
      </c>
      <c r="M8" s="10"/>
      <c r="N8" s="10" t="s">
        <v>19</v>
      </c>
    </row>
    <row r="9" spans="1:14" ht="41.4">
      <c r="A9" s="2" t="s">
        <v>32</v>
      </c>
      <c r="B9" s="4">
        <v>37029</v>
      </c>
      <c r="C9" s="2"/>
      <c r="D9" s="2" t="s">
        <v>15</v>
      </c>
      <c r="E9" s="2" t="s">
        <v>16</v>
      </c>
      <c r="F9" s="6"/>
      <c r="G9" s="8"/>
      <c r="H9" s="6"/>
      <c r="I9" s="2" t="s">
        <v>17</v>
      </c>
      <c r="J9" s="2" t="s">
        <v>17</v>
      </c>
      <c r="K9" s="2"/>
      <c r="L9" s="10" t="s">
        <v>33</v>
      </c>
      <c r="M9" s="10"/>
      <c r="N9" s="10" t="s">
        <v>19</v>
      </c>
    </row>
    <row r="10" spans="1:14" ht="41.4">
      <c r="A10" s="2" t="s">
        <v>34</v>
      </c>
      <c r="B10" s="4">
        <v>37103</v>
      </c>
      <c r="C10" s="2"/>
      <c r="D10" s="2" t="s">
        <v>15</v>
      </c>
      <c r="E10" s="2" t="s">
        <v>16</v>
      </c>
      <c r="F10" s="6"/>
      <c r="G10" s="8"/>
      <c r="H10" s="6"/>
      <c r="I10" s="2" t="s">
        <v>17</v>
      </c>
      <c r="J10" s="2" t="s">
        <v>17</v>
      </c>
      <c r="K10" s="2"/>
      <c r="L10" s="10" t="s">
        <v>35</v>
      </c>
      <c r="M10" s="10"/>
      <c r="N10" s="10" t="s">
        <v>19</v>
      </c>
    </row>
    <row r="11" spans="1:14" ht="41.4">
      <c r="A11" s="2" t="s">
        <v>36</v>
      </c>
      <c r="B11" s="4">
        <v>37295</v>
      </c>
      <c r="C11" s="2"/>
      <c r="D11" s="2" t="s">
        <v>15</v>
      </c>
      <c r="E11" s="2" t="s">
        <v>16</v>
      </c>
      <c r="F11" s="6"/>
      <c r="G11" s="8"/>
      <c r="H11" s="6"/>
      <c r="I11" s="2" t="s">
        <v>17</v>
      </c>
      <c r="J11" s="2" t="s">
        <v>17</v>
      </c>
      <c r="K11" s="2"/>
      <c r="L11" s="10" t="s">
        <v>37</v>
      </c>
      <c r="M11" s="10"/>
      <c r="N11" s="10" t="s">
        <v>19</v>
      </c>
    </row>
    <row r="12" spans="1:14" ht="41.4">
      <c r="A12" s="2" t="s">
        <v>38</v>
      </c>
      <c r="B12" s="4">
        <v>37358</v>
      </c>
      <c r="C12" s="2"/>
      <c r="D12" s="2" t="s">
        <v>15</v>
      </c>
      <c r="E12" s="2" t="s">
        <v>16</v>
      </c>
      <c r="F12" s="6"/>
      <c r="G12" s="8"/>
      <c r="H12" s="6"/>
      <c r="I12" s="2" t="s">
        <v>17</v>
      </c>
      <c r="J12" s="2" t="s">
        <v>17</v>
      </c>
      <c r="K12" s="2"/>
      <c r="L12" s="10" t="s">
        <v>39</v>
      </c>
      <c r="M12" s="10"/>
      <c r="N12" s="10" t="s">
        <v>19</v>
      </c>
    </row>
    <row r="13" spans="1:14" ht="41.4">
      <c r="A13" s="2" t="s">
        <v>40</v>
      </c>
      <c r="B13" s="4">
        <v>37522</v>
      </c>
      <c r="C13" s="2"/>
      <c r="D13" s="2" t="s">
        <v>15</v>
      </c>
      <c r="E13" s="2" t="s">
        <v>16</v>
      </c>
      <c r="F13" s="6"/>
      <c r="G13" s="8"/>
      <c r="H13" s="6"/>
      <c r="I13" s="2" t="s">
        <v>17</v>
      </c>
      <c r="J13" s="2" t="s">
        <v>17</v>
      </c>
      <c r="K13" s="2"/>
      <c r="L13" s="10" t="s">
        <v>41</v>
      </c>
      <c r="M13" s="10"/>
      <c r="N13" s="10" t="s">
        <v>19</v>
      </c>
    </row>
    <row r="14" spans="1:14" ht="41.4">
      <c r="A14" s="2" t="s">
        <v>42</v>
      </c>
      <c r="B14" s="4">
        <v>37596</v>
      </c>
      <c r="C14" s="2"/>
      <c r="D14" s="2" t="s">
        <v>15</v>
      </c>
      <c r="E14" s="2" t="s">
        <v>16</v>
      </c>
      <c r="F14" s="6"/>
      <c r="G14" s="8"/>
      <c r="H14" s="6"/>
      <c r="I14" s="2" t="s">
        <v>17</v>
      </c>
      <c r="J14" s="2" t="s">
        <v>17</v>
      </c>
      <c r="K14" s="2"/>
      <c r="L14" s="10" t="s">
        <v>43</v>
      </c>
      <c r="M14" s="10"/>
      <c r="N14" s="10" t="s">
        <v>19</v>
      </c>
    </row>
    <row r="15" spans="1:14" ht="41.4">
      <c r="A15" s="2" t="s">
        <v>44</v>
      </c>
      <c r="B15" s="4">
        <v>37631</v>
      </c>
      <c r="C15" s="2"/>
      <c r="D15" s="2" t="s">
        <v>15</v>
      </c>
      <c r="E15" s="2" t="s">
        <v>16</v>
      </c>
      <c r="F15" s="6"/>
      <c r="G15" s="8"/>
      <c r="H15" s="6"/>
      <c r="I15" s="2" t="s">
        <v>17</v>
      </c>
      <c r="J15" s="2" t="s">
        <v>17</v>
      </c>
      <c r="K15" s="2"/>
      <c r="L15" s="10" t="s">
        <v>45</v>
      </c>
      <c r="M15" s="10"/>
      <c r="N15" s="10" t="s">
        <v>19</v>
      </c>
    </row>
    <row r="16" spans="1:14" ht="41.4">
      <c r="A16" s="2" t="s">
        <v>46</v>
      </c>
      <c r="B16" s="4">
        <v>37645</v>
      </c>
      <c r="C16" s="2"/>
      <c r="D16" s="2" t="s">
        <v>15</v>
      </c>
      <c r="E16" s="2" t="s">
        <v>16</v>
      </c>
      <c r="F16" s="6"/>
      <c r="G16" s="8">
        <v>0</v>
      </c>
      <c r="H16" s="6"/>
      <c r="I16" s="2" t="s">
        <v>47</v>
      </c>
      <c r="J16" s="2" t="s">
        <v>17</v>
      </c>
      <c r="K16" s="2"/>
      <c r="L16" s="10" t="s">
        <v>48</v>
      </c>
      <c r="M16" s="10"/>
      <c r="N16" s="10" t="s">
        <v>19</v>
      </c>
    </row>
    <row r="17" spans="1:14" ht="41.4">
      <c r="A17" s="2" t="s">
        <v>49</v>
      </c>
      <c r="B17" s="4">
        <v>37659</v>
      </c>
      <c r="C17" s="2"/>
      <c r="D17" s="2" t="s">
        <v>15</v>
      </c>
      <c r="E17" s="2" t="s">
        <v>16</v>
      </c>
      <c r="F17" s="6"/>
      <c r="G17" s="8"/>
      <c r="H17" s="6"/>
      <c r="I17" s="2" t="s">
        <v>17</v>
      </c>
      <c r="J17" s="2" t="s">
        <v>17</v>
      </c>
      <c r="K17" s="2"/>
      <c r="L17" s="10" t="s">
        <v>50</v>
      </c>
      <c r="M17" s="10"/>
      <c r="N17" s="10" t="s">
        <v>19</v>
      </c>
    </row>
    <row r="18" spans="1:14" ht="41.4">
      <c r="A18" s="2" t="s">
        <v>51</v>
      </c>
      <c r="B18" s="4">
        <v>37673</v>
      </c>
      <c r="C18" s="2"/>
      <c r="D18" s="2" t="s">
        <v>15</v>
      </c>
      <c r="E18" s="2" t="s">
        <v>16</v>
      </c>
      <c r="F18" s="6"/>
      <c r="G18" s="8">
        <v>0</v>
      </c>
      <c r="H18" s="6"/>
      <c r="I18" s="2" t="s">
        <v>47</v>
      </c>
      <c r="J18" s="2" t="s">
        <v>17</v>
      </c>
      <c r="K18" s="2"/>
      <c r="L18" s="10" t="s">
        <v>52</v>
      </c>
      <c r="M18" s="10"/>
      <c r="N18" s="10" t="s">
        <v>19</v>
      </c>
    </row>
    <row r="19" spans="1:14" ht="41.4">
      <c r="A19" s="2" t="s">
        <v>53</v>
      </c>
      <c r="B19" s="4">
        <v>37708</v>
      </c>
      <c r="C19" s="2"/>
      <c r="D19" s="2" t="s">
        <v>15</v>
      </c>
      <c r="E19" s="2" t="s">
        <v>16</v>
      </c>
      <c r="F19" s="6"/>
      <c r="G19" s="8"/>
      <c r="H19" s="6"/>
      <c r="I19" s="2" t="s">
        <v>17</v>
      </c>
      <c r="J19" s="2" t="s">
        <v>17</v>
      </c>
      <c r="K19" s="2"/>
      <c r="L19" s="10" t="s">
        <v>54</v>
      </c>
      <c r="M19" s="10"/>
      <c r="N19" s="10" t="s">
        <v>19</v>
      </c>
    </row>
    <row r="20" spans="1:14" ht="41.4">
      <c r="A20" s="2" t="s">
        <v>55</v>
      </c>
      <c r="B20" s="4">
        <v>37736</v>
      </c>
      <c r="C20" s="2"/>
      <c r="D20" s="2" t="s">
        <v>15</v>
      </c>
      <c r="E20" s="2" t="s">
        <v>16</v>
      </c>
      <c r="F20" s="6"/>
      <c r="G20" s="8">
        <v>0</v>
      </c>
      <c r="H20" s="6"/>
      <c r="I20" s="2" t="s">
        <v>47</v>
      </c>
      <c r="J20" s="2" t="s">
        <v>17</v>
      </c>
      <c r="K20" s="2"/>
      <c r="L20" s="10" t="s">
        <v>56</v>
      </c>
      <c r="M20" s="10"/>
      <c r="N20" s="10" t="s">
        <v>19</v>
      </c>
    </row>
    <row r="21" spans="1:14" ht="41.4">
      <c r="A21" s="2" t="s">
        <v>57</v>
      </c>
      <c r="B21" s="4">
        <v>37764</v>
      </c>
      <c r="C21" s="2"/>
      <c r="D21" s="2" t="s">
        <v>15</v>
      </c>
      <c r="E21" s="2" t="s">
        <v>16</v>
      </c>
      <c r="F21" s="6"/>
      <c r="G21" s="8">
        <v>0</v>
      </c>
      <c r="H21" s="6"/>
      <c r="I21" s="2" t="s">
        <v>47</v>
      </c>
      <c r="J21" s="2" t="s">
        <v>17</v>
      </c>
      <c r="K21" s="2"/>
      <c r="L21" s="10" t="s">
        <v>58</v>
      </c>
      <c r="M21" s="10"/>
      <c r="N21" s="10" t="s">
        <v>19</v>
      </c>
    </row>
    <row r="22" spans="1:14" ht="41.4">
      <c r="A22" s="2" t="s">
        <v>59</v>
      </c>
      <c r="B22" s="4">
        <v>37799</v>
      </c>
      <c r="C22" s="2"/>
      <c r="D22" s="2" t="s">
        <v>15</v>
      </c>
      <c r="E22" s="2" t="s">
        <v>16</v>
      </c>
      <c r="F22" s="6"/>
      <c r="G22" s="8">
        <v>0</v>
      </c>
      <c r="H22" s="6"/>
      <c r="I22" s="2" t="s">
        <v>47</v>
      </c>
      <c r="J22" s="2" t="s">
        <v>17</v>
      </c>
      <c r="K22" s="2"/>
      <c r="L22" s="10" t="s">
        <v>60</v>
      </c>
      <c r="M22" s="10"/>
      <c r="N22" s="10" t="s">
        <v>19</v>
      </c>
    </row>
    <row r="23" spans="1:14" ht="41.4">
      <c r="A23" s="2" t="s">
        <v>61</v>
      </c>
      <c r="B23" s="4">
        <v>37827</v>
      </c>
      <c r="C23" s="2"/>
      <c r="D23" s="2" t="s">
        <v>15</v>
      </c>
      <c r="E23" s="2" t="s">
        <v>16</v>
      </c>
      <c r="F23" s="6"/>
      <c r="G23" s="8">
        <v>0</v>
      </c>
      <c r="H23" s="6"/>
      <c r="I23" s="2" t="s">
        <v>47</v>
      </c>
      <c r="J23" s="2" t="s">
        <v>17</v>
      </c>
      <c r="K23" s="2"/>
      <c r="L23" s="10" t="s">
        <v>62</v>
      </c>
      <c r="M23" s="10"/>
      <c r="N23" s="10" t="s">
        <v>19</v>
      </c>
    </row>
    <row r="24" spans="1:14" ht="41.4">
      <c r="A24" s="2" t="s">
        <v>63</v>
      </c>
      <c r="B24" s="4">
        <v>37855</v>
      </c>
      <c r="C24" s="2"/>
      <c r="D24" s="2" t="s">
        <v>15</v>
      </c>
      <c r="E24" s="2" t="s">
        <v>16</v>
      </c>
      <c r="F24" s="6"/>
      <c r="G24" s="8">
        <v>0</v>
      </c>
      <c r="H24" s="6"/>
      <c r="I24" s="2" t="s">
        <v>47</v>
      </c>
      <c r="J24" s="2" t="s">
        <v>17</v>
      </c>
      <c r="K24" s="2"/>
      <c r="L24" s="10" t="s">
        <v>64</v>
      </c>
      <c r="M24" s="10"/>
      <c r="N24" s="10" t="s">
        <v>19</v>
      </c>
    </row>
    <row r="25" spans="1:14" ht="41.4">
      <c r="A25" s="2" t="s">
        <v>65</v>
      </c>
      <c r="B25" s="4">
        <v>37890</v>
      </c>
      <c r="C25" s="2"/>
      <c r="D25" s="2" t="s">
        <v>15</v>
      </c>
      <c r="E25" s="2" t="s">
        <v>16</v>
      </c>
      <c r="F25" s="6"/>
      <c r="G25" s="8">
        <v>0</v>
      </c>
      <c r="H25" s="6"/>
      <c r="I25" s="2" t="s">
        <v>47</v>
      </c>
      <c r="J25" s="2" t="s">
        <v>17</v>
      </c>
      <c r="K25" s="2"/>
      <c r="L25" s="10" t="s">
        <v>66</v>
      </c>
      <c r="M25" s="10"/>
      <c r="N25" s="10" t="s">
        <v>19</v>
      </c>
    </row>
    <row r="26" spans="1:14" ht="41.4">
      <c r="A26" s="2" t="s">
        <v>67</v>
      </c>
      <c r="B26" s="4">
        <v>37918</v>
      </c>
      <c r="C26" s="2"/>
      <c r="D26" s="2" t="s">
        <v>15</v>
      </c>
      <c r="E26" s="2" t="s">
        <v>16</v>
      </c>
      <c r="F26" s="6"/>
      <c r="G26" s="8">
        <v>0</v>
      </c>
      <c r="H26" s="6"/>
      <c r="I26" s="2" t="s">
        <v>47</v>
      </c>
      <c r="J26" s="2" t="s">
        <v>17</v>
      </c>
      <c r="K26" s="2"/>
      <c r="L26" s="10" t="s">
        <v>68</v>
      </c>
      <c r="M26" s="10"/>
      <c r="N26" s="10" t="s">
        <v>19</v>
      </c>
    </row>
    <row r="27" spans="1:14" ht="41.4">
      <c r="A27" s="2" t="s">
        <v>69</v>
      </c>
      <c r="B27" s="4">
        <v>37946</v>
      </c>
      <c r="C27" s="2"/>
      <c r="D27" s="2" t="s">
        <v>15</v>
      </c>
      <c r="E27" s="2" t="s">
        <v>16</v>
      </c>
      <c r="F27" s="6"/>
      <c r="G27" s="8">
        <v>0</v>
      </c>
      <c r="H27" s="6"/>
      <c r="I27" s="2" t="s">
        <v>47</v>
      </c>
      <c r="J27" s="2" t="s">
        <v>17</v>
      </c>
      <c r="K27" s="2"/>
      <c r="L27" s="10" t="s">
        <v>70</v>
      </c>
      <c r="M27" s="10"/>
      <c r="N27" s="10" t="s">
        <v>19</v>
      </c>
    </row>
    <row r="28" spans="1:14" ht="41.4">
      <c r="A28" s="2" t="s">
        <v>71</v>
      </c>
      <c r="B28" s="4">
        <v>37966</v>
      </c>
      <c r="C28" s="2"/>
      <c r="D28" s="2" t="s">
        <v>15</v>
      </c>
      <c r="E28" s="2" t="s">
        <v>16</v>
      </c>
      <c r="F28" s="6"/>
      <c r="G28" s="8">
        <v>0</v>
      </c>
      <c r="H28" s="6"/>
      <c r="I28" s="2" t="s">
        <v>47</v>
      </c>
      <c r="J28" s="2" t="s">
        <v>17</v>
      </c>
      <c r="K28" s="2"/>
      <c r="L28" s="10" t="s">
        <v>72</v>
      </c>
      <c r="M28" s="10"/>
      <c r="N28" s="10" t="s">
        <v>19</v>
      </c>
    </row>
    <row r="29" spans="1:14" ht="41.4">
      <c r="A29" s="2" t="s">
        <v>73</v>
      </c>
      <c r="B29" s="4">
        <v>38009</v>
      </c>
      <c r="C29" s="2"/>
      <c r="D29" s="2" t="s">
        <v>15</v>
      </c>
      <c r="E29" s="2" t="s">
        <v>16</v>
      </c>
      <c r="F29" s="6"/>
      <c r="G29" s="8">
        <v>0</v>
      </c>
      <c r="H29" s="6"/>
      <c r="I29" s="2" t="s">
        <v>47</v>
      </c>
      <c r="J29" s="2" t="s">
        <v>17</v>
      </c>
      <c r="K29" s="2"/>
      <c r="L29" s="10" t="s">
        <v>74</v>
      </c>
      <c r="M29" s="10"/>
      <c r="N29" s="10" t="s">
        <v>19</v>
      </c>
    </row>
    <row r="30" spans="1:14" ht="41.4">
      <c r="A30" s="2" t="s">
        <v>75</v>
      </c>
      <c r="B30" s="4">
        <v>38037</v>
      </c>
      <c r="C30" s="2"/>
      <c r="D30" s="2" t="s">
        <v>15</v>
      </c>
      <c r="E30" s="2" t="s">
        <v>16</v>
      </c>
      <c r="F30" s="6"/>
      <c r="G30" s="8"/>
      <c r="H30" s="6"/>
      <c r="I30" s="2" t="s">
        <v>17</v>
      </c>
      <c r="J30" s="2" t="s">
        <v>17</v>
      </c>
      <c r="K30" s="2"/>
      <c r="L30" s="10" t="s">
        <v>76</v>
      </c>
      <c r="M30" s="10"/>
      <c r="N30" s="10" t="s">
        <v>19</v>
      </c>
    </row>
    <row r="31" spans="1:14" ht="41.4">
      <c r="A31" s="2" t="s">
        <v>77</v>
      </c>
      <c r="B31" s="4">
        <v>38058</v>
      </c>
      <c r="C31" s="2"/>
      <c r="D31" s="2" t="s">
        <v>15</v>
      </c>
      <c r="E31" s="2" t="s">
        <v>16</v>
      </c>
      <c r="F31" s="6"/>
      <c r="G31" s="8"/>
      <c r="H31" s="6"/>
      <c r="I31" s="2" t="s">
        <v>17</v>
      </c>
      <c r="J31" s="2" t="s">
        <v>17</v>
      </c>
      <c r="K31" s="2"/>
      <c r="L31" s="10" t="s">
        <v>78</v>
      </c>
      <c r="M31" s="10"/>
      <c r="N31" s="10" t="s">
        <v>19</v>
      </c>
    </row>
    <row r="32" spans="1:14" ht="41.4">
      <c r="A32" s="2" t="s">
        <v>79</v>
      </c>
      <c r="B32" s="4">
        <v>38072</v>
      </c>
      <c r="C32" s="2"/>
      <c r="D32" s="2" t="s">
        <v>15</v>
      </c>
      <c r="E32" s="2" t="s">
        <v>16</v>
      </c>
      <c r="F32" s="6"/>
      <c r="G32" s="8">
        <v>0</v>
      </c>
      <c r="H32" s="6"/>
      <c r="I32" s="2" t="s">
        <v>47</v>
      </c>
      <c r="J32" s="2" t="s">
        <v>17</v>
      </c>
      <c r="K32" s="2"/>
      <c r="L32" s="10" t="s">
        <v>80</v>
      </c>
      <c r="M32" s="10"/>
      <c r="N32" s="10" t="s">
        <v>19</v>
      </c>
    </row>
    <row r="33" spans="1:14" ht="41.4">
      <c r="A33" s="2" t="s">
        <v>81</v>
      </c>
      <c r="B33" s="4">
        <v>38100</v>
      </c>
      <c r="C33" s="2"/>
      <c r="D33" s="2" t="s">
        <v>15</v>
      </c>
      <c r="E33" s="2" t="s">
        <v>16</v>
      </c>
      <c r="F33" s="6"/>
      <c r="G33" s="8">
        <v>0</v>
      </c>
      <c r="H33" s="6"/>
      <c r="I33" s="2" t="s">
        <v>47</v>
      </c>
      <c r="J33" s="2" t="s">
        <v>17</v>
      </c>
      <c r="K33" s="2"/>
      <c r="L33" s="10" t="s">
        <v>82</v>
      </c>
      <c r="M33" s="10"/>
      <c r="N33" s="10" t="s">
        <v>19</v>
      </c>
    </row>
    <row r="34" spans="1:14" ht="41.4">
      <c r="A34" s="2" t="s">
        <v>83</v>
      </c>
      <c r="B34" s="4">
        <v>38104</v>
      </c>
      <c r="C34" s="2"/>
      <c r="D34" s="2" t="s">
        <v>15</v>
      </c>
      <c r="E34" s="2" t="s">
        <v>16</v>
      </c>
      <c r="F34" s="6"/>
      <c r="G34" s="8"/>
      <c r="H34" s="6"/>
      <c r="I34" s="2" t="s">
        <v>17</v>
      </c>
      <c r="J34" s="2" t="s">
        <v>17</v>
      </c>
      <c r="K34" s="2"/>
      <c r="L34" s="10" t="s">
        <v>84</v>
      </c>
      <c r="M34" s="10"/>
      <c r="N34" s="10" t="s">
        <v>19</v>
      </c>
    </row>
    <row r="35" spans="1:14" ht="41.4">
      <c r="A35" s="2" t="s">
        <v>85</v>
      </c>
      <c r="B35" s="4">
        <v>38135</v>
      </c>
      <c r="C35" s="2"/>
      <c r="D35" s="2" t="s">
        <v>15</v>
      </c>
      <c r="E35" s="2" t="s">
        <v>16</v>
      </c>
      <c r="F35" s="6"/>
      <c r="G35" s="8">
        <v>0</v>
      </c>
      <c r="H35" s="6"/>
      <c r="I35" s="2" t="s">
        <v>47</v>
      </c>
      <c r="J35" s="2" t="s">
        <v>17</v>
      </c>
      <c r="K35" s="2"/>
      <c r="L35" s="10" t="s">
        <v>86</v>
      </c>
      <c r="M35" s="10"/>
      <c r="N35" s="10" t="s">
        <v>19</v>
      </c>
    </row>
    <row r="36" spans="1:14" ht="41.4">
      <c r="A36" s="2" t="s">
        <v>87</v>
      </c>
      <c r="B36" s="4">
        <v>38163</v>
      </c>
      <c r="C36" s="2"/>
      <c r="D36" s="2" t="s">
        <v>15</v>
      </c>
      <c r="E36" s="2" t="s">
        <v>16</v>
      </c>
      <c r="F36" s="6"/>
      <c r="G36" s="8">
        <v>0</v>
      </c>
      <c r="H36" s="6"/>
      <c r="I36" s="2" t="s">
        <v>47</v>
      </c>
      <c r="J36" s="2" t="s">
        <v>17</v>
      </c>
      <c r="K36" s="2"/>
      <c r="L36" s="10" t="s">
        <v>88</v>
      </c>
      <c r="M36" s="10"/>
      <c r="N36" s="10" t="s">
        <v>19</v>
      </c>
    </row>
    <row r="37" spans="1:14" ht="41.4">
      <c r="A37" s="2" t="s">
        <v>89</v>
      </c>
      <c r="B37" s="4">
        <v>38191</v>
      </c>
      <c r="C37" s="2"/>
      <c r="D37" s="2" t="s">
        <v>15</v>
      </c>
      <c r="E37" s="2" t="s">
        <v>16</v>
      </c>
      <c r="F37" s="6"/>
      <c r="G37" s="8"/>
      <c r="H37" s="6"/>
      <c r="I37" s="2" t="s">
        <v>17</v>
      </c>
      <c r="J37" s="2" t="s">
        <v>17</v>
      </c>
      <c r="K37" s="2"/>
      <c r="L37" s="10" t="s">
        <v>90</v>
      </c>
      <c r="M37" s="10"/>
      <c r="N37" s="10" t="s">
        <v>19</v>
      </c>
    </row>
    <row r="38" spans="1:14" ht="41.4">
      <c r="A38" s="2" t="s">
        <v>91</v>
      </c>
      <c r="B38" s="4">
        <v>38226</v>
      </c>
      <c r="C38" s="2"/>
      <c r="D38" s="2" t="s">
        <v>15</v>
      </c>
      <c r="E38" s="2" t="s">
        <v>16</v>
      </c>
      <c r="F38" s="6"/>
      <c r="G38" s="8"/>
      <c r="H38" s="6"/>
      <c r="I38" s="2" t="s">
        <v>17</v>
      </c>
      <c r="J38" s="2" t="s">
        <v>17</v>
      </c>
      <c r="K38" s="2"/>
      <c r="L38" s="10" t="s">
        <v>92</v>
      </c>
      <c r="M38" s="10"/>
      <c r="N38" s="10" t="s">
        <v>19</v>
      </c>
    </row>
    <row r="39" spans="1:14" ht="41.4">
      <c r="A39" s="2" t="s">
        <v>93</v>
      </c>
      <c r="B39" s="4">
        <v>38254</v>
      </c>
      <c r="C39" s="2"/>
      <c r="D39" s="2" t="s">
        <v>15</v>
      </c>
      <c r="E39" s="2" t="s">
        <v>16</v>
      </c>
      <c r="F39" s="6"/>
      <c r="G39" s="8"/>
      <c r="H39" s="6"/>
      <c r="I39" s="2" t="s">
        <v>17</v>
      </c>
      <c r="J39" s="2" t="s">
        <v>17</v>
      </c>
      <c r="K39" s="2"/>
      <c r="L39" s="10" t="s">
        <v>94</v>
      </c>
      <c r="M39" s="10"/>
      <c r="N39" s="10" t="s">
        <v>19</v>
      </c>
    </row>
    <row r="40" spans="1:14" ht="41.4">
      <c r="A40" s="2" t="s">
        <v>95</v>
      </c>
      <c r="B40" s="4">
        <v>38282</v>
      </c>
      <c r="C40" s="2"/>
      <c r="D40" s="2" t="s">
        <v>15</v>
      </c>
      <c r="E40" s="2" t="s">
        <v>16</v>
      </c>
      <c r="F40" s="6"/>
      <c r="G40" s="8"/>
      <c r="H40" s="6"/>
      <c r="I40" s="2" t="s">
        <v>17</v>
      </c>
      <c r="J40" s="2" t="s">
        <v>17</v>
      </c>
      <c r="K40" s="2"/>
      <c r="L40" s="10" t="s">
        <v>96</v>
      </c>
      <c r="M40" s="10"/>
      <c r="N40" s="10" t="s">
        <v>19</v>
      </c>
    </row>
    <row r="41" spans="1:14" ht="41.4">
      <c r="A41" s="2" t="s">
        <v>97</v>
      </c>
      <c r="B41" s="4">
        <v>38317</v>
      </c>
      <c r="C41" s="2"/>
      <c r="D41" s="2" t="s">
        <v>15</v>
      </c>
      <c r="E41" s="2" t="s">
        <v>16</v>
      </c>
      <c r="F41" s="6"/>
      <c r="G41" s="8"/>
      <c r="H41" s="6"/>
      <c r="I41" s="2" t="s">
        <v>17</v>
      </c>
      <c r="J41" s="2" t="s">
        <v>17</v>
      </c>
      <c r="K41" s="2"/>
      <c r="L41" s="10" t="s">
        <v>98</v>
      </c>
      <c r="M41" s="10"/>
      <c r="N41" s="10" t="s">
        <v>19</v>
      </c>
    </row>
    <row r="42" spans="1:14" ht="41.4">
      <c r="A42" s="2" t="s">
        <v>99</v>
      </c>
      <c r="B42" s="4">
        <v>38331</v>
      </c>
      <c r="C42" s="2"/>
      <c r="D42" s="2" t="s">
        <v>15</v>
      </c>
      <c r="E42" s="2" t="s">
        <v>16</v>
      </c>
      <c r="F42" s="6"/>
      <c r="G42" s="8"/>
      <c r="H42" s="6"/>
      <c r="I42" s="2" t="s">
        <v>17</v>
      </c>
      <c r="J42" s="2" t="s">
        <v>17</v>
      </c>
      <c r="K42" s="2"/>
      <c r="L42" s="10" t="s">
        <v>100</v>
      </c>
      <c r="M42" s="10"/>
      <c r="N42" s="10" t="s">
        <v>19</v>
      </c>
    </row>
    <row r="43" spans="1:14" ht="41.4">
      <c r="A43" s="2" t="s">
        <v>101</v>
      </c>
      <c r="B43" s="4">
        <v>38380</v>
      </c>
      <c r="C43" s="2"/>
      <c r="D43" s="2" t="s">
        <v>15</v>
      </c>
      <c r="E43" s="2" t="s">
        <v>16</v>
      </c>
      <c r="F43" s="6"/>
      <c r="G43" s="8"/>
      <c r="H43" s="6"/>
      <c r="I43" s="2" t="s">
        <v>17</v>
      </c>
      <c r="J43" s="2" t="s">
        <v>17</v>
      </c>
      <c r="K43" s="2"/>
      <c r="L43" s="10" t="s">
        <v>102</v>
      </c>
      <c r="M43" s="10"/>
      <c r="N43" s="10" t="s">
        <v>19</v>
      </c>
    </row>
    <row r="44" spans="1:14" ht="41.4">
      <c r="A44" s="2" t="s">
        <v>103</v>
      </c>
      <c r="B44" s="4">
        <v>38408</v>
      </c>
      <c r="C44" s="2"/>
      <c r="D44" s="2" t="s">
        <v>15</v>
      </c>
      <c r="E44" s="2" t="s">
        <v>16</v>
      </c>
      <c r="F44" s="6"/>
      <c r="G44" s="8"/>
      <c r="H44" s="6"/>
      <c r="I44" s="2" t="s">
        <v>17</v>
      </c>
      <c r="J44" s="2" t="s">
        <v>17</v>
      </c>
      <c r="K44" s="2"/>
      <c r="L44" s="10" t="s">
        <v>104</v>
      </c>
      <c r="M44" s="10"/>
      <c r="N44" s="10" t="s">
        <v>19</v>
      </c>
    </row>
    <row r="45" spans="1:14" ht="41.4">
      <c r="A45" s="2" t="s">
        <v>105</v>
      </c>
      <c r="B45" s="4">
        <v>38434</v>
      </c>
      <c r="C45" s="2"/>
      <c r="D45" s="2" t="s">
        <v>15</v>
      </c>
      <c r="E45" s="2" t="s">
        <v>16</v>
      </c>
      <c r="F45" s="6"/>
      <c r="G45" s="8"/>
      <c r="H45" s="6"/>
      <c r="I45" s="2" t="s">
        <v>17</v>
      </c>
      <c r="J45" s="2" t="s">
        <v>17</v>
      </c>
      <c r="K45" s="2"/>
      <c r="L45" s="10" t="s">
        <v>106</v>
      </c>
      <c r="M45" s="10"/>
      <c r="N45" s="10" t="s">
        <v>19</v>
      </c>
    </row>
    <row r="46" spans="1:14" ht="41.4">
      <c r="A46" s="2" t="s">
        <v>107</v>
      </c>
      <c r="B46" s="4">
        <v>38464</v>
      </c>
      <c r="C46" s="2"/>
      <c r="D46" s="2" t="s">
        <v>15</v>
      </c>
      <c r="E46" s="2" t="s">
        <v>16</v>
      </c>
      <c r="F46" s="6"/>
      <c r="G46" s="8">
        <v>0</v>
      </c>
      <c r="H46" s="6"/>
      <c r="I46" s="2" t="s">
        <v>47</v>
      </c>
      <c r="J46" s="2" t="s">
        <v>17</v>
      </c>
      <c r="K46" s="2"/>
      <c r="L46" s="10" t="s">
        <v>108</v>
      </c>
      <c r="M46" s="10"/>
      <c r="N46" s="10" t="s">
        <v>19</v>
      </c>
    </row>
    <row r="47" spans="1:14" ht="41.4">
      <c r="A47" s="2" t="s">
        <v>109</v>
      </c>
      <c r="B47" s="4">
        <v>38499</v>
      </c>
      <c r="C47" s="2"/>
      <c r="D47" s="2" t="s">
        <v>15</v>
      </c>
      <c r="E47" s="2" t="s">
        <v>16</v>
      </c>
      <c r="F47" s="6"/>
      <c r="G47" s="8">
        <v>0</v>
      </c>
      <c r="H47" s="6"/>
      <c r="I47" s="2" t="s">
        <v>47</v>
      </c>
      <c r="J47" s="2" t="s">
        <v>17</v>
      </c>
      <c r="K47" s="2"/>
      <c r="L47" s="10" t="s">
        <v>110</v>
      </c>
      <c r="M47" s="10"/>
      <c r="N47" s="10" t="s">
        <v>19</v>
      </c>
    </row>
    <row r="48" spans="1:14" ht="41.4">
      <c r="A48" s="2" t="s">
        <v>111</v>
      </c>
      <c r="B48" s="4">
        <v>38527</v>
      </c>
      <c r="C48" s="2"/>
      <c r="D48" s="2" t="s">
        <v>15</v>
      </c>
      <c r="E48" s="2" t="s">
        <v>16</v>
      </c>
      <c r="F48" s="6"/>
      <c r="G48" s="8">
        <v>0</v>
      </c>
      <c r="H48" s="6"/>
      <c r="I48" s="2" t="s">
        <v>47</v>
      </c>
      <c r="J48" s="2" t="s">
        <v>17</v>
      </c>
      <c r="K48" s="2"/>
      <c r="L48" s="10" t="s">
        <v>112</v>
      </c>
      <c r="M48" s="10"/>
      <c r="N48" s="10" t="s">
        <v>19</v>
      </c>
    </row>
    <row r="49" spans="1:14" ht="41.4">
      <c r="A49" s="2" t="s">
        <v>113</v>
      </c>
      <c r="B49" s="4">
        <v>38555</v>
      </c>
      <c r="C49" s="2"/>
      <c r="D49" s="2" t="s">
        <v>15</v>
      </c>
      <c r="E49" s="2" t="s">
        <v>16</v>
      </c>
      <c r="F49" s="6"/>
      <c r="G49" s="8">
        <v>0</v>
      </c>
      <c r="H49" s="6"/>
      <c r="I49" s="2" t="s">
        <v>47</v>
      </c>
      <c r="J49" s="2" t="s">
        <v>17</v>
      </c>
      <c r="K49" s="2"/>
      <c r="L49" s="10" t="s">
        <v>114</v>
      </c>
      <c r="M49" s="10"/>
      <c r="N49" s="10" t="s">
        <v>19</v>
      </c>
    </row>
    <row r="50" spans="1:14" ht="41.4">
      <c r="A50" s="2" t="s">
        <v>115</v>
      </c>
      <c r="B50" s="4">
        <v>38590</v>
      </c>
      <c r="C50" s="2"/>
      <c r="D50" s="2" t="s">
        <v>15</v>
      </c>
      <c r="E50" s="2" t="s">
        <v>16</v>
      </c>
      <c r="F50" s="6"/>
      <c r="G50" s="8">
        <v>0</v>
      </c>
      <c r="H50" s="6"/>
      <c r="I50" s="2" t="s">
        <v>47</v>
      </c>
      <c r="J50" s="2" t="s">
        <v>17</v>
      </c>
      <c r="K50" s="2"/>
      <c r="L50" s="10" t="s">
        <v>116</v>
      </c>
      <c r="M50" s="10"/>
      <c r="N50" s="10" t="s">
        <v>19</v>
      </c>
    </row>
    <row r="51" spans="1:14" ht="41.4">
      <c r="A51" s="2" t="s">
        <v>117</v>
      </c>
      <c r="B51" s="4">
        <v>38618</v>
      </c>
      <c r="C51" s="2"/>
      <c r="D51" s="2" t="s">
        <v>15</v>
      </c>
      <c r="E51" s="2" t="s">
        <v>16</v>
      </c>
      <c r="F51" s="6"/>
      <c r="G51" s="8">
        <v>0</v>
      </c>
      <c r="H51" s="6"/>
      <c r="I51" s="2" t="s">
        <v>47</v>
      </c>
      <c r="J51" s="2" t="s">
        <v>17</v>
      </c>
      <c r="K51" s="2"/>
      <c r="L51" s="10" t="s">
        <v>118</v>
      </c>
      <c r="M51" s="10"/>
      <c r="N51" s="10" t="s">
        <v>19</v>
      </c>
    </row>
    <row r="52" spans="1:14" ht="41.4">
      <c r="A52" s="2" t="s">
        <v>119</v>
      </c>
      <c r="B52" s="4">
        <v>38653</v>
      </c>
      <c r="C52" s="2"/>
      <c r="D52" s="2" t="s">
        <v>15</v>
      </c>
      <c r="E52" s="2" t="s">
        <v>16</v>
      </c>
      <c r="F52" s="6"/>
      <c r="G52" s="8">
        <v>0</v>
      </c>
      <c r="H52" s="6"/>
      <c r="I52" s="2" t="s">
        <v>47</v>
      </c>
      <c r="J52" s="2" t="s">
        <v>17</v>
      </c>
      <c r="K52" s="2"/>
      <c r="L52" s="10" t="s">
        <v>120</v>
      </c>
      <c r="M52" s="10"/>
      <c r="N52" s="10" t="s">
        <v>19</v>
      </c>
    </row>
    <row r="53" spans="1:14" ht="41.4">
      <c r="A53" s="2" t="s">
        <v>121</v>
      </c>
      <c r="B53" s="4">
        <v>38681</v>
      </c>
      <c r="C53" s="2"/>
      <c r="D53" s="2" t="s">
        <v>15</v>
      </c>
      <c r="E53" s="2" t="s">
        <v>16</v>
      </c>
      <c r="F53" s="6"/>
      <c r="G53" s="8">
        <v>0</v>
      </c>
      <c r="H53" s="6"/>
      <c r="I53" s="2" t="s">
        <v>47</v>
      </c>
      <c r="J53" s="2" t="s">
        <v>17</v>
      </c>
      <c r="K53" s="2"/>
      <c r="L53" s="10" t="s">
        <v>122</v>
      </c>
      <c r="M53" s="10"/>
      <c r="N53" s="10" t="s">
        <v>19</v>
      </c>
    </row>
    <row r="54" spans="1:14" ht="41.4">
      <c r="A54" s="2" t="s">
        <v>123</v>
      </c>
      <c r="B54" s="4">
        <v>38695</v>
      </c>
      <c r="C54" s="2"/>
      <c r="D54" s="2" t="s">
        <v>15</v>
      </c>
      <c r="E54" s="2" t="s">
        <v>16</v>
      </c>
      <c r="F54" s="6"/>
      <c r="G54" s="8">
        <v>0</v>
      </c>
      <c r="H54" s="6"/>
      <c r="I54" s="2" t="s">
        <v>47</v>
      </c>
      <c r="J54" s="2" t="s">
        <v>17</v>
      </c>
      <c r="K54" s="2"/>
      <c r="L54" s="10" t="s">
        <v>124</v>
      </c>
      <c r="M54" s="10"/>
      <c r="N54" s="10" t="s">
        <v>19</v>
      </c>
    </row>
    <row r="55" spans="1:14" ht="41.4">
      <c r="A55" s="2" t="s">
        <v>125</v>
      </c>
      <c r="B55" s="4">
        <v>38744</v>
      </c>
      <c r="C55" s="2"/>
      <c r="D55" s="2" t="s">
        <v>15</v>
      </c>
      <c r="E55" s="2" t="s">
        <v>16</v>
      </c>
      <c r="F55" s="6"/>
      <c r="G55" s="8">
        <v>0</v>
      </c>
      <c r="H55" s="6"/>
      <c r="I55" s="2" t="s">
        <v>47</v>
      </c>
      <c r="J55" s="2" t="s">
        <v>17</v>
      </c>
      <c r="K55" s="2"/>
      <c r="L55" s="10" t="s">
        <v>126</v>
      </c>
      <c r="M55" s="10"/>
      <c r="N55" s="10" t="s">
        <v>19</v>
      </c>
    </row>
    <row r="56" spans="1:14" ht="41.4">
      <c r="A56" s="2" t="s">
        <v>127</v>
      </c>
      <c r="B56" s="4">
        <v>38772</v>
      </c>
      <c r="C56" s="2"/>
      <c r="D56" s="2" t="s">
        <v>15</v>
      </c>
      <c r="E56" s="2" t="s">
        <v>16</v>
      </c>
      <c r="F56" s="6"/>
      <c r="G56" s="8">
        <v>0</v>
      </c>
      <c r="H56" s="6"/>
      <c r="I56" s="2" t="s">
        <v>47</v>
      </c>
      <c r="J56" s="2" t="s">
        <v>17</v>
      </c>
      <c r="K56" s="2"/>
      <c r="L56" s="10" t="s">
        <v>128</v>
      </c>
      <c r="M56" s="10"/>
      <c r="N56" s="10" t="s">
        <v>19</v>
      </c>
    </row>
    <row r="57" spans="1:14" ht="41.4">
      <c r="A57" s="2" t="s">
        <v>129</v>
      </c>
      <c r="B57" s="4">
        <v>38800</v>
      </c>
      <c r="C57" s="2"/>
      <c r="D57" s="2" t="s">
        <v>15</v>
      </c>
      <c r="E57" s="2" t="s">
        <v>16</v>
      </c>
      <c r="F57" s="6"/>
      <c r="G57" s="8">
        <v>0</v>
      </c>
      <c r="H57" s="6"/>
      <c r="I57" s="2" t="s">
        <v>47</v>
      </c>
      <c r="J57" s="2" t="s">
        <v>17</v>
      </c>
      <c r="K57" s="2"/>
      <c r="L57" s="10" t="s">
        <v>130</v>
      </c>
      <c r="M57" s="10"/>
      <c r="N57" s="10" t="s">
        <v>19</v>
      </c>
    </row>
    <row r="58" spans="1:14" ht="41.4">
      <c r="A58" s="2" t="s">
        <v>131</v>
      </c>
      <c r="B58" s="4">
        <v>38828</v>
      </c>
      <c r="C58" s="2"/>
      <c r="D58" s="2" t="s">
        <v>15</v>
      </c>
      <c r="E58" s="2" t="s">
        <v>16</v>
      </c>
      <c r="F58" s="6"/>
      <c r="G58" s="8">
        <v>0</v>
      </c>
      <c r="H58" s="6"/>
      <c r="I58" s="2" t="s">
        <v>47</v>
      </c>
      <c r="J58" s="2" t="s">
        <v>17</v>
      </c>
      <c r="K58" s="2"/>
      <c r="L58" s="10" t="s">
        <v>132</v>
      </c>
      <c r="M58" s="10"/>
      <c r="N58" s="10" t="s">
        <v>19</v>
      </c>
    </row>
    <row r="59" spans="1:14" ht="41.4">
      <c r="A59" s="2" t="s">
        <v>133</v>
      </c>
      <c r="B59" s="4">
        <v>38863</v>
      </c>
      <c r="C59" s="2"/>
      <c r="D59" s="2" t="s">
        <v>15</v>
      </c>
      <c r="E59" s="2" t="s">
        <v>16</v>
      </c>
      <c r="F59" s="6"/>
      <c r="G59" s="8">
        <v>0</v>
      </c>
      <c r="H59" s="6"/>
      <c r="I59" s="2" t="s">
        <v>47</v>
      </c>
      <c r="J59" s="2" t="s">
        <v>17</v>
      </c>
      <c r="K59" s="2"/>
      <c r="L59" s="10" t="s">
        <v>134</v>
      </c>
      <c r="M59" s="10"/>
      <c r="N59" s="10" t="s">
        <v>19</v>
      </c>
    </row>
    <row r="60" spans="1:14" ht="41.4">
      <c r="A60" s="2" t="s">
        <v>135</v>
      </c>
      <c r="B60" s="4">
        <v>38891</v>
      </c>
      <c r="C60" s="2"/>
      <c r="D60" s="2" t="s">
        <v>15</v>
      </c>
      <c r="E60" s="2" t="s">
        <v>16</v>
      </c>
      <c r="F60" s="6"/>
      <c r="G60" s="8">
        <v>0</v>
      </c>
      <c r="H60" s="6"/>
      <c r="I60" s="2" t="s">
        <v>47</v>
      </c>
      <c r="J60" s="2" t="s">
        <v>17</v>
      </c>
      <c r="K60" s="2"/>
      <c r="L60" s="10" t="s">
        <v>136</v>
      </c>
      <c r="M60" s="10"/>
      <c r="N60" s="10" t="s">
        <v>19</v>
      </c>
    </row>
    <row r="61" spans="1:14" ht="41.4">
      <c r="A61" s="2" t="s">
        <v>137</v>
      </c>
      <c r="B61" s="4">
        <v>38926</v>
      </c>
      <c r="C61" s="2"/>
      <c r="D61" s="2" t="s">
        <v>15</v>
      </c>
      <c r="E61" s="2" t="s">
        <v>16</v>
      </c>
      <c r="F61" s="6"/>
      <c r="G61" s="8">
        <v>0</v>
      </c>
      <c r="H61" s="6"/>
      <c r="I61" s="2" t="s">
        <v>47</v>
      </c>
      <c r="J61" s="2" t="s">
        <v>17</v>
      </c>
      <c r="K61" s="2"/>
      <c r="L61" s="10" t="s">
        <v>138</v>
      </c>
      <c r="M61" s="10"/>
      <c r="N61" s="10" t="s">
        <v>19</v>
      </c>
    </row>
    <row r="62" spans="1:14" ht="41.4">
      <c r="A62" s="2" t="s">
        <v>139</v>
      </c>
      <c r="B62" s="4">
        <v>38954</v>
      </c>
      <c r="C62" s="2"/>
      <c r="D62" s="2" t="s">
        <v>15</v>
      </c>
      <c r="E62" s="2" t="s">
        <v>16</v>
      </c>
      <c r="F62" s="6"/>
      <c r="G62" s="8">
        <v>0</v>
      </c>
      <c r="H62" s="6"/>
      <c r="I62" s="2" t="s">
        <v>47</v>
      </c>
      <c r="J62" s="2" t="s">
        <v>17</v>
      </c>
      <c r="K62" s="2"/>
      <c r="L62" s="10" t="s">
        <v>140</v>
      </c>
      <c r="M62" s="10"/>
      <c r="N62" s="10" t="s">
        <v>19</v>
      </c>
    </row>
    <row r="63" spans="1:14" ht="41.4">
      <c r="A63" s="2" t="s">
        <v>141</v>
      </c>
      <c r="B63" s="4">
        <v>38982</v>
      </c>
      <c r="C63" s="2"/>
      <c r="D63" s="2" t="s">
        <v>15</v>
      </c>
      <c r="E63" s="2" t="s">
        <v>16</v>
      </c>
      <c r="F63" s="6"/>
      <c r="G63" s="8">
        <v>0</v>
      </c>
      <c r="H63" s="6"/>
      <c r="I63" s="2" t="s">
        <v>47</v>
      </c>
      <c r="J63" s="2" t="s">
        <v>17</v>
      </c>
      <c r="K63" s="2"/>
      <c r="L63" s="10" t="s">
        <v>142</v>
      </c>
      <c r="M63" s="10"/>
      <c r="N63" s="10" t="s">
        <v>19</v>
      </c>
    </row>
    <row r="64" spans="1:14" ht="41.4">
      <c r="A64" s="2" t="s">
        <v>143</v>
      </c>
      <c r="B64" s="4">
        <v>39017</v>
      </c>
      <c r="C64" s="2"/>
      <c r="D64" s="2" t="s">
        <v>15</v>
      </c>
      <c r="E64" s="2" t="s">
        <v>16</v>
      </c>
      <c r="F64" s="6"/>
      <c r="G64" s="8">
        <v>0</v>
      </c>
      <c r="H64" s="6"/>
      <c r="I64" s="2" t="s">
        <v>47</v>
      </c>
      <c r="J64" s="2" t="s">
        <v>17</v>
      </c>
      <c r="K64" s="2"/>
      <c r="L64" s="10" t="s">
        <v>144</v>
      </c>
      <c r="M64" s="10"/>
      <c r="N64" s="10" t="s">
        <v>19</v>
      </c>
    </row>
    <row r="65" spans="1:14" ht="41.4">
      <c r="A65" s="2" t="s">
        <v>145</v>
      </c>
      <c r="B65" s="4">
        <v>39045</v>
      </c>
      <c r="C65" s="2"/>
      <c r="D65" s="2" t="s">
        <v>15</v>
      </c>
      <c r="E65" s="2" t="s">
        <v>16</v>
      </c>
      <c r="F65" s="6"/>
      <c r="G65" s="8">
        <v>0</v>
      </c>
      <c r="H65" s="6"/>
      <c r="I65" s="2" t="s">
        <v>47</v>
      </c>
      <c r="J65" s="2" t="s">
        <v>17</v>
      </c>
      <c r="K65" s="2"/>
      <c r="L65" s="10" t="s">
        <v>146</v>
      </c>
      <c r="M65" s="10"/>
      <c r="N65" s="10" t="s">
        <v>19</v>
      </c>
    </row>
    <row r="66" spans="1:14" ht="41.4">
      <c r="A66" s="2" t="s">
        <v>147</v>
      </c>
      <c r="B66" s="4">
        <v>39059</v>
      </c>
      <c r="C66" s="2"/>
      <c r="D66" s="2" t="s">
        <v>15</v>
      </c>
      <c r="E66" s="2" t="s">
        <v>16</v>
      </c>
      <c r="F66" s="6"/>
      <c r="G66" s="8">
        <v>0</v>
      </c>
      <c r="H66" s="6"/>
      <c r="I66" s="2" t="s">
        <v>47</v>
      </c>
      <c r="J66" s="2" t="s">
        <v>17</v>
      </c>
      <c r="K66" s="2"/>
      <c r="L66" s="10" t="s">
        <v>148</v>
      </c>
      <c r="M66" s="10"/>
      <c r="N66" s="10" t="s">
        <v>19</v>
      </c>
    </row>
    <row r="67" spans="1:14" ht="41.4">
      <c r="A67" s="2" t="s">
        <v>149</v>
      </c>
      <c r="B67" s="4">
        <v>39108</v>
      </c>
      <c r="C67" s="2"/>
      <c r="D67" s="2" t="s">
        <v>15</v>
      </c>
      <c r="E67" s="2" t="s">
        <v>16</v>
      </c>
      <c r="F67" s="6"/>
      <c r="G67" s="8">
        <v>0</v>
      </c>
      <c r="H67" s="6"/>
      <c r="I67" s="2" t="s">
        <v>47</v>
      </c>
      <c r="J67" s="2" t="s">
        <v>17</v>
      </c>
      <c r="K67" s="2"/>
      <c r="L67" s="10" t="s">
        <v>150</v>
      </c>
      <c r="M67" s="10"/>
      <c r="N67" s="10" t="s">
        <v>19</v>
      </c>
    </row>
    <row r="68" spans="1:14" ht="41.4">
      <c r="A68" s="2" t="s">
        <v>151</v>
      </c>
      <c r="B68" s="4">
        <v>39136</v>
      </c>
      <c r="C68" s="2"/>
      <c r="D68" s="2" t="s">
        <v>15</v>
      </c>
      <c r="E68" s="2" t="s">
        <v>16</v>
      </c>
      <c r="F68" s="6"/>
      <c r="G68" s="8">
        <v>0</v>
      </c>
      <c r="H68" s="6"/>
      <c r="I68" s="2" t="s">
        <v>47</v>
      </c>
      <c r="J68" s="2" t="s">
        <v>17</v>
      </c>
      <c r="K68" s="2"/>
      <c r="L68" s="10" t="s">
        <v>152</v>
      </c>
      <c r="M68" s="10"/>
      <c r="N68" s="10" t="s">
        <v>19</v>
      </c>
    </row>
    <row r="69" spans="1:14" ht="41.4">
      <c r="A69" s="2" t="s">
        <v>153</v>
      </c>
      <c r="B69" s="4">
        <v>39164</v>
      </c>
      <c r="C69" s="2"/>
      <c r="D69" s="2" t="s">
        <v>15</v>
      </c>
      <c r="E69" s="2" t="s">
        <v>16</v>
      </c>
      <c r="F69" s="6"/>
      <c r="G69" s="8">
        <v>0</v>
      </c>
      <c r="H69" s="6"/>
      <c r="I69" s="2" t="s">
        <v>47</v>
      </c>
      <c r="J69" s="2" t="s">
        <v>17</v>
      </c>
      <c r="K69" s="2"/>
      <c r="L69" s="10" t="s">
        <v>154</v>
      </c>
      <c r="M69" s="10"/>
      <c r="N69" s="10" t="s">
        <v>19</v>
      </c>
    </row>
    <row r="70" spans="1:14" ht="41.4">
      <c r="A70" s="2" t="s">
        <v>155</v>
      </c>
      <c r="B70" s="4">
        <v>39199</v>
      </c>
      <c r="C70" s="2"/>
      <c r="D70" s="2" t="s">
        <v>15</v>
      </c>
      <c r="E70" s="2" t="s">
        <v>16</v>
      </c>
      <c r="F70" s="6"/>
      <c r="G70" s="8">
        <v>25</v>
      </c>
      <c r="H70" s="6"/>
      <c r="I70" s="2" t="s">
        <v>156</v>
      </c>
      <c r="J70" s="2" t="s">
        <v>17</v>
      </c>
      <c r="K70" s="2"/>
      <c r="L70" s="10" t="s">
        <v>157</v>
      </c>
      <c r="M70" s="10"/>
      <c r="N70" s="10" t="s">
        <v>19</v>
      </c>
    </row>
    <row r="71" spans="1:14" ht="41.4">
      <c r="A71" s="2" t="s">
        <v>158</v>
      </c>
      <c r="B71" s="4">
        <v>39227</v>
      </c>
      <c r="C71" s="2"/>
      <c r="D71" s="2" t="s">
        <v>15</v>
      </c>
      <c r="E71" s="2" t="s">
        <v>16</v>
      </c>
      <c r="F71" s="6"/>
      <c r="G71" s="8">
        <v>0</v>
      </c>
      <c r="H71" s="6"/>
      <c r="I71" s="2" t="s">
        <v>47</v>
      </c>
      <c r="J71" s="2" t="s">
        <v>17</v>
      </c>
      <c r="K71" s="2"/>
      <c r="L71" s="10" t="s">
        <v>159</v>
      </c>
      <c r="M71" s="10"/>
      <c r="N71" s="10" t="s">
        <v>19</v>
      </c>
    </row>
    <row r="72" spans="1:14" ht="41.4">
      <c r="A72" s="2" t="s">
        <v>160</v>
      </c>
      <c r="B72" s="4">
        <v>39255</v>
      </c>
      <c r="C72" s="2"/>
      <c r="D72" s="2" t="s">
        <v>15</v>
      </c>
      <c r="E72" s="2" t="s">
        <v>16</v>
      </c>
      <c r="F72" s="6"/>
      <c r="G72" s="8">
        <v>0</v>
      </c>
      <c r="H72" s="6"/>
      <c r="I72" s="2" t="s">
        <v>47</v>
      </c>
      <c r="J72" s="2" t="s">
        <v>17</v>
      </c>
      <c r="K72" s="2"/>
      <c r="L72" s="10" t="s">
        <v>161</v>
      </c>
      <c r="M72" s="10"/>
      <c r="N72" s="10" t="s">
        <v>19</v>
      </c>
    </row>
    <row r="73" spans="1:14" ht="41.4">
      <c r="A73" s="2" t="s">
        <v>162</v>
      </c>
      <c r="B73" s="4">
        <v>39290</v>
      </c>
      <c r="C73" s="2"/>
      <c r="D73" s="2" t="s">
        <v>15</v>
      </c>
      <c r="E73" s="2" t="s">
        <v>16</v>
      </c>
      <c r="F73" s="6"/>
      <c r="G73" s="8">
        <v>0</v>
      </c>
      <c r="H73" s="6"/>
      <c r="I73" s="2" t="s">
        <v>47</v>
      </c>
      <c r="J73" s="2" t="s">
        <v>17</v>
      </c>
      <c r="K73" s="2"/>
      <c r="L73" s="10" t="s">
        <v>163</v>
      </c>
      <c r="M73" s="10"/>
      <c r="N73" s="10" t="s">
        <v>19</v>
      </c>
    </row>
    <row r="74" spans="1:14" ht="41.4">
      <c r="A74" s="2" t="s">
        <v>164</v>
      </c>
      <c r="B74" s="4">
        <v>39318</v>
      </c>
      <c r="C74" s="2"/>
      <c r="D74" s="2" t="s">
        <v>15</v>
      </c>
      <c r="E74" s="2" t="s">
        <v>16</v>
      </c>
      <c r="F74" s="6"/>
      <c r="G74" s="8">
        <v>0</v>
      </c>
      <c r="H74" s="6"/>
      <c r="I74" s="2" t="s">
        <v>47</v>
      </c>
      <c r="J74" s="2" t="s">
        <v>17</v>
      </c>
      <c r="K74" s="2"/>
      <c r="L74" s="10" t="s">
        <v>165</v>
      </c>
      <c r="M74" s="10"/>
      <c r="N74" s="10" t="s">
        <v>19</v>
      </c>
    </row>
    <row r="75" spans="1:14" ht="41.4">
      <c r="A75" s="2" t="s">
        <v>166</v>
      </c>
      <c r="B75" s="4">
        <v>39346</v>
      </c>
      <c r="C75" s="2"/>
      <c r="D75" s="2" t="s">
        <v>15</v>
      </c>
      <c r="E75" s="2" t="s">
        <v>16</v>
      </c>
      <c r="F75" s="6"/>
      <c r="G75" s="8">
        <v>0</v>
      </c>
      <c r="H75" s="6"/>
      <c r="I75" s="2" t="s">
        <v>47</v>
      </c>
      <c r="J75" s="2" t="s">
        <v>17</v>
      </c>
      <c r="K75" s="2"/>
      <c r="L75" s="10" t="s">
        <v>167</v>
      </c>
      <c r="M75" s="10"/>
      <c r="N75" s="10" t="s">
        <v>19</v>
      </c>
    </row>
    <row r="76" spans="1:14" ht="41.4">
      <c r="A76" s="2" t="s">
        <v>168</v>
      </c>
      <c r="B76" s="4">
        <v>39381</v>
      </c>
      <c r="C76" s="2"/>
      <c r="D76" s="2" t="s">
        <v>15</v>
      </c>
      <c r="E76" s="2" t="s">
        <v>16</v>
      </c>
      <c r="F76" s="6"/>
      <c r="G76" s="8">
        <v>25</v>
      </c>
      <c r="H76" s="6"/>
      <c r="I76" s="2" t="s">
        <v>156</v>
      </c>
      <c r="J76" s="2" t="s">
        <v>17</v>
      </c>
      <c r="K76" s="2"/>
      <c r="L76" s="10" t="s">
        <v>169</v>
      </c>
      <c r="M76" s="10"/>
      <c r="N76" s="10" t="s">
        <v>19</v>
      </c>
    </row>
    <row r="77" spans="1:14" ht="41.4">
      <c r="A77" s="2" t="s">
        <v>170</v>
      </c>
      <c r="B77" s="4">
        <v>39409</v>
      </c>
      <c r="C77" s="2"/>
      <c r="D77" s="2" t="s">
        <v>15</v>
      </c>
      <c r="E77" s="2" t="s">
        <v>16</v>
      </c>
      <c r="F77" s="6"/>
      <c r="G77" s="8">
        <v>0</v>
      </c>
      <c r="H77" s="6"/>
      <c r="I77" s="2" t="s">
        <v>47</v>
      </c>
      <c r="J77" s="2" t="s">
        <v>17</v>
      </c>
      <c r="K77" s="2"/>
      <c r="L77" s="10" t="s">
        <v>171</v>
      </c>
      <c r="M77" s="10"/>
      <c r="N77" s="10" t="s">
        <v>19</v>
      </c>
    </row>
    <row r="78" spans="1:14" ht="41.4">
      <c r="A78" s="2" t="s">
        <v>172</v>
      </c>
      <c r="B78" s="4">
        <v>39423</v>
      </c>
      <c r="C78" s="2"/>
      <c r="D78" s="2" t="s">
        <v>15</v>
      </c>
      <c r="E78" s="2" t="s">
        <v>16</v>
      </c>
      <c r="F78" s="6"/>
      <c r="G78" s="8">
        <v>0</v>
      </c>
      <c r="H78" s="6"/>
      <c r="I78" s="2" t="s">
        <v>47</v>
      </c>
      <c r="J78" s="2" t="s">
        <v>17</v>
      </c>
      <c r="K78" s="2"/>
      <c r="L78" s="10" t="s">
        <v>173</v>
      </c>
      <c r="M78" s="10"/>
      <c r="N78" s="10" t="s">
        <v>19</v>
      </c>
    </row>
    <row r="79" spans="1:14" ht="41.4">
      <c r="A79" s="2" t="s">
        <v>174</v>
      </c>
      <c r="B79" s="4">
        <v>39465</v>
      </c>
      <c r="C79" s="2"/>
      <c r="D79" s="2" t="s">
        <v>15</v>
      </c>
      <c r="E79" s="2" t="s">
        <v>16</v>
      </c>
      <c r="F79" s="6"/>
      <c r="G79" s="8">
        <v>0</v>
      </c>
      <c r="H79" s="6"/>
      <c r="I79" s="2" t="s">
        <v>47</v>
      </c>
      <c r="J79" s="2" t="s">
        <v>17</v>
      </c>
      <c r="K79" s="2"/>
      <c r="L79" s="10" t="s">
        <v>175</v>
      </c>
      <c r="M79" s="10"/>
      <c r="N79" s="10" t="s">
        <v>19</v>
      </c>
    </row>
    <row r="80" spans="1:14" ht="41.4">
      <c r="A80" s="2" t="s">
        <v>176</v>
      </c>
      <c r="B80" s="4">
        <v>39493</v>
      </c>
      <c r="C80" s="2"/>
      <c r="D80" s="2" t="s">
        <v>15</v>
      </c>
      <c r="E80" s="2" t="s">
        <v>177</v>
      </c>
      <c r="F80" s="6">
        <v>7.5</v>
      </c>
      <c r="G80" s="8">
        <v>0</v>
      </c>
      <c r="H80" s="6">
        <v>7.5</v>
      </c>
      <c r="I80" s="2" t="s">
        <v>47</v>
      </c>
      <c r="J80" s="2" t="s">
        <v>17</v>
      </c>
      <c r="K80" s="2"/>
      <c r="L80" s="10" t="s">
        <v>178</v>
      </c>
      <c r="M80" s="10"/>
      <c r="N80" s="10" t="s">
        <v>179</v>
      </c>
    </row>
    <row r="81" spans="1:14" ht="41.4">
      <c r="A81" s="2" t="s">
        <v>180</v>
      </c>
      <c r="B81" s="4">
        <v>39521</v>
      </c>
      <c r="C81" s="2"/>
      <c r="D81" s="2" t="s">
        <v>15</v>
      </c>
      <c r="E81" s="2" t="s">
        <v>177</v>
      </c>
      <c r="F81" s="6">
        <v>7.5</v>
      </c>
      <c r="G81" s="8">
        <v>0</v>
      </c>
      <c r="H81" s="6">
        <v>7.5</v>
      </c>
      <c r="I81" s="2" t="s">
        <v>47</v>
      </c>
      <c r="J81" s="2" t="s">
        <v>17</v>
      </c>
      <c r="K81" s="2"/>
      <c r="L81" s="10" t="s">
        <v>181</v>
      </c>
      <c r="M81" s="10"/>
      <c r="N81" s="10" t="s">
        <v>179</v>
      </c>
    </row>
    <row r="82" spans="1:14" ht="41.4">
      <c r="A82" s="2" t="s">
        <v>182</v>
      </c>
      <c r="B82" s="4">
        <v>39556</v>
      </c>
      <c r="C82" s="2"/>
      <c r="D82" s="2" t="s">
        <v>15</v>
      </c>
      <c r="E82" s="2" t="s">
        <v>177</v>
      </c>
      <c r="F82" s="6">
        <v>7.5</v>
      </c>
      <c r="G82" s="8">
        <v>0</v>
      </c>
      <c r="H82" s="6">
        <v>7.5</v>
      </c>
      <c r="I82" s="2" t="s">
        <v>47</v>
      </c>
      <c r="J82" s="2" t="s">
        <v>17</v>
      </c>
      <c r="K82" s="2"/>
      <c r="L82" s="10" t="s">
        <v>183</v>
      </c>
      <c r="M82" s="10"/>
      <c r="N82" s="10" t="s">
        <v>179</v>
      </c>
    </row>
    <row r="83" spans="1:14" ht="41.4">
      <c r="A83" s="2" t="s">
        <v>184</v>
      </c>
      <c r="B83" s="4">
        <v>39584</v>
      </c>
      <c r="C83" s="2"/>
      <c r="D83" s="2" t="s">
        <v>15</v>
      </c>
      <c r="E83" s="2" t="s">
        <v>177</v>
      </c>
      <c r="F83" s="6">
        <v>7.5</v>
      </c>
      <c r="G83" s="8">
        <v>0</v>
      </c>
      <c r="H83" s="6">
        <v>7.5</v>
      </c>
      <c r="I83" s="2" t="s">
        <v>47</v>
      </c>
      <c r="J83" s="2" t="s">
        <v>17</v>
      </c>
      <c r="K83" s="2"/>
      <c r="L83" s="10" t="s">
        <v>185</v>
      </c>
      <c r="M83" s="10"/>
      <c r="N83" s="10" t="s">
        <v>179</v>
      </c>
    </row>
    <row r="84" spans="1:14" ht="41.4">
      <c r="A84" s="2" t="s">
        <v>186</v>
      </c>
      <c r="B84" s="4">
        <v>39619</v>
      </c>
      <c r="C84" s="2"/>
      <c r="D84" s="2" t="s">
        <v>15</v>
      </c>
      <c r="E84" s="2" t="s">
        <v>177</v>
      </c>
      <c r="F84" s="6">
        <v>7.5</v>
      </c>
      <c r="G84" s="8">
        <v>25</v>
      </c>
      <c r="H84" s="6">
        <v>7.75</v>
      </c>
      <c r="I84" s="2" t="s">
        <v>156</v>
      </c>
      <c r="J84" s="2" t="s">
        <v>17</v>
      </c>
      <c r="K84" s="2"/>
      <c r="L84" s="10" t="s">
        <v>187</v>
      </c>
      <c r="M84" s="10"/>
      <c r="N84" s="10" t="s">
        <v>179</v>
      </c>
    </row>
    <row r="85" spans="1:14" ht="41.4">
      <c r="A85" s="2" t="s">
        <v>188</v>
      </c>
      <c r="B85" s="4">
        <v>39647</v>
      </c>
      <c r="C85" s="2"/>
      <c r="D85" s="2" t="s">
        <v>15</v>
      </c>
      <c r="E85" s="2" t="s">
        <v>177</v>
      </c>
      <c r="F85" s="6">
        <v>7.75</v>
      </c>
      <c r="G85" s="8">
        <v>25</v>
      </c>
      <c r="H85" s="6">
        <v>8</v>
      </c>
      <c r="I85" s="2" t="s">
        <v>156</v>
      </c>
      <c r="J85" s="2" t="s">
        <v>17</v>
      </c>
      <c r="K85" s="2"/>
      <c r="L85" s="10" t="s">
        <v>189</v>
      </c>
      <c r="M85" s="10"/>
      <c r="N85" s="10" t="s">
        <v>179</v>
      </c>
    </row>
    <row r="86" spans="1:14" ht="41.4">
      <c r="A86" s="2" t="s">
        <v>190</v>
      </c>
      <c r="B86" s="4">
        <v>39675</v>
      </c>
      <c r="C86" s="2"/>
      <c r="D86" s="2" t="s">
        <v>15</v>
      </c>
      <c r="E86" s="2" t="s">
        <v>177</v>
      </c>
      <c r="F86" s="6">
        <v>8</v>
      </c>
      <c r="G86" s="8">
        <v>25</v>
      </c>
      <c r="H86" s="6">
        <v>8.25</v>
      </c>
      <c r="I86" s="2" t="s">
        <v>156</v>
      </c>
      <c r="J86" s="2" t="s">
        <v>17</v>
      </c>
      <c r="K86" s="2"/>
      <c r="L86" s="10" t="s">
        <v>191</v>
      </c>
      <c r="M86" s="10"/>
      <c r="N86" s="10" t="s">
        <v>179</v>
      </c>
    </row>
    <row r="87" spans="1:14" ht="41.4">
      <c r="A87" s="2" t="s">
        <v>192</v>
      </c>
      <c r="B87" s="4">
        <v>39710</v>
      </c>
      <c r="C87" s="2"/>
      <c r="D87" s="2" t="s">
        <v>15</v>
      </c>
      <c r="E87" s="2" t="s">
        <v>177</v>
      </c>
      <c r="F87" s="6">
        <v>8.25</v>
      </c>
      <c r="G87" s="8">
        <v>0</v>
      </c>
      <c r="H87" s="6">
        <v>8.25</v>
      </c>
      <c r="I87" s="2" t="s">
        <v>47</v>
      </c>
      <c r="J87" s="2" t="s">
        <v>17</v>
      </c>
      <c r="K87" s="2"/>
      <c r="L87" s="10" t="s">
        <v>193</v>
      </c>
      <c r="M87" s="10"/>
      <c r="N87" s="10" t="s">
        <v>179</v>
      </c>
    </row>
    <row r="88" spans="1:14" ht="41.4">
      <c r="A88" s="2" t="s">
        <v>194</v>
      </c>
      <c r="B88" s="4">
        <v>39738</v>
      </c>
      <c r="C88" s="2"/>
      <c r="D88" s="2" t="s">
        <v>15</v>
      </c>
      <c r="E88" s="2" t="s">
        <v>177</v>
      </c>
      <c r="F88" s="6">
        <v>8.25</v>
      </c>
      <c r="G88" s="8">
        <v>0</v>
      </c>
      <c r="H88" s="6">
        <v>8.25</v>
      </c>
      <c r="I88" s="2" t="s">
        <v>47</v>
      </c>
      <c r="J88" s="2" t="s">
        <v>17</v>
      </c>
      <c r="K88" s="2"/>
      <c r="L88" s="10" t="s">
        <v>195</v>
      </c>
      <c r="M88" s="10"/>
      <c r="N88" s="10" t="s">
        <v>179</v>
      </c>
    </row>
    <row r="89" spans="1:14" ht="41.4">
      <c r="A89" s="2" t="s">
        <v>196</v>
      </c>
      <c r="B89" s="4">
        <v>39780</v>
      </c>
      <c r="C89" s="2"/>
      <c r="D89" s="2" t="s">
        <v>15</v>
      </c>
      <c r="E89" s="2" t="s">
        <v>177</v>
      </c>
      <c r="F89" s="6">
        <v>8.25</v>
      </c>
      <c r="G89" s="8">
        <v>0</v>
      </c>
      <c r="H89" s="6">
        <v>8.25</v>
      </c>
      <c r="I89" s="2" t="s">
        <v>47</v>
      </c>
      <c r="J89" s="2" t="s">
        <v>17</v>
      </c>
      <c r="K89" s="2"/>
      <c r="L89" s="10" t="s">
        <v>197</v>
      </c>
      <c r="M89" s="10"/>
      <c r="N89" s="10" t="s">
        <v>179</v>
      </c>
    </row>
    <row r="90" spans="1:14" ht="41.4">
      <c r="A90" s="2" t="s">
        <v>198</v>
      </c>
      <c r="B90" s="4">
        <v>39829</v>
      </c>
      <c r="C90" s="2"/>
      <c r="D90" s="2" t="s">
        <v>15</v>
      </c>
      <c r="E90" s="2" t="s">
        <v>177</v>
      </c>
      <c r="F90" s="6">
        <v>8.25</v>
      </c>
      <c r="G90" s="8">
        <v>-50</v>
      </c>
      <c r="H90" s="6">
        <v>7.75</v>
      </c>
      <c r="I90" s="2" t="s">
        <v>199</v>
      </c>
      <c r="J90" s="2" t="s">
        <v>17</v>
      </c>
      <c r="K90" s="2"/>
      <c r="L90" s="10" t="s">
        <v>200</v>
      </c>
      <c r="M90" s="10"/>
      <c r="N90" s="10" t="s">
        <v>179</v>
      </c>
    </row>
    <row r="91" spans="1:14" ht="41.4">
      <c r="A91" s="2" t="s">
        <v>201</v>
      </c>
      <c r="B91" s="4">
        <v>39864</v>
      </c>
      <c r="C91" s="2"/>
      <c r="D91" s="2" t="s">
        <v>15</v>
      </c>
      <c r="E91" s="2" t="s">
        <v>177</v>
      </c>
      <c r="F91" s="6">
        <v>7.75</v>
      </c>
      <c r="G91" s="8">
        <v>-25</v>
      </c>
      <c r="H91" s="6">
        <v>7.5</v>
      </c>
      <c r="I91" s="2" t="s">
        <v>199</v>
      </c>
      <c r="J91" s="2" t="s">
        <v>17</v>
      </c>
      <c r="K91" s="2"/>
      <c r="L91" s="10" t="s">
        <v>202</v>
      </c>
      <c r="M91" s="10"/>
      <c r="N91" s="10" t="s">
        <v>179</v>
      </c>
    </row>
    <row r="92" spans="1:14" ht="41.4">
      <c r="A92" s="2" t="s">
        <v>203</v>
      </c>
      <c r="B92" s="4">
        <v>39892</v>
      </c>
      <c r="C92" s="2"/>
      <c r="D92" s="2" t="s">
        <v>15</v>
      </c>
      <c r="E92" s="2" t="s">
        <v>177</v>
      </c>
      <c r="F92" s="6">
        <v>7.5</v>
      </c>
      <c r="G92" s="8">
        <v>-75</v>
      </c>
      <c r="H92" s="6">
        <v>6.75</v>
      </c>
      <c r="I92" s="2" t="s">
        <v>199</v>
      </c>
      <c r="J92" s="2" t="s">
        <v>17</v>
      </c>
      <c r="K92" s="2"/>
      <c r="L92" s="10" t="s">
        <v>204</v>
      </c>
      <c r="M92" s="10"/>
      <c r="N92" s="10" t="s">
        <v>179</v>
      </c>
    </row>
    <row r="93" spans="1:14" ht="41.4">
      <c r="A93" s="2" t="s">
        <v>205</v>
      </c>
      <c r="B93" s="4">
        <v>39920</v>
      </c>
      <c r="C93" s="2"/>
      <c r="D93" s="2" t="s">
        <v>15</v>
      </c>
      <c r="E93" s="2" t="s">
        <v>177</v>
      </c>
      <c r="F93" s="6">
        <v>6.75</v>
      </c>
      <c r="G93" s="8">
        <v>-75</v>
      </c>
      <c r="H93" s="6">
        <v>6</v>
      </c>
      <c r="I93" s="2" t="s">
        <v>199</v>
      </c>
      <c r="J93" s="2" t="s">
        <v>17</v>
      </c>
      <c r="K93" s="2"/>
      <c r="L93" s="10" t="s">
        <v>206</v>
      </c>
      <c r="M93" s="10"/>
      <c r="N93" s="10" t="s">
        <v>179</v>
      </c>
    </row>
    <row r="94" spans="1:14" ht="41.4">
      <c r="A94" s="2" t="s">
        <v>207</v>
      </c>
      <c r="B94" s="4">
        <v>39948</v>
      </c>
      <c r="C94" s="2"/>
      <c r="D94" s="2" t="s">
        <v>15</v>
      </c>
      <c r="E94" s="2" t="s">
        <v>177</v>
      </c>
      <c r="F94" s="6">
        <v>6</v>
      </c>
      <c r="G94" s="8">
        <v>-75</v>
      </c>
      <c r="H94" s="6">
        <v>5.25</v>
      </c>
      <c r="I94" s="2" t="s">
        <v>199</v>
      </c>
      <c r="J94" s="2" t="s">
        <v>17</v>
      </c>
      <c r="K94" s="2"/>
      <c r="L94" s="10" t="s">
        <v>208</v>
      </c>
      <c r="M94" s="10"/>
      <c r="N94" s="10" t="s">
        <v>179</v>
      </c>
    </row>
    <row r="95" spans="1:14" ht="41.4">
      <c r="A95" s="2" t="s">
        <v>209</v>
      </c>
      <c r="B95" s="4">
        <v>39983</v>
      </c>
      <c r="C95" s="2"/>
      <c r="D95" s="2" t="s">
        <v>15</v>
      </c>
      <c r="E95" s="2" t="s">
        <v>177</v>
      </c>
      <c r="F95" s="6">
        <v>5.25</v>
      </c>
      <c r="G95" s="8">
        <v>-50</v>
      </c>
      <c r="H95" s="6">
        <v>4.75</v>
      </c>
      <c r="I95" s="2" t="s">
        <v>199</v>
      </c>
      <c r="J95" s="2" t="s">
        <v>17</v>
      </c>
      <c r="K95" s="2"/>
      <c r="L95" s="10" t="s">
        <v>210</v>
      </c>
      <c r="M95" s="10"/>
      <c r="N95" s="10" t="s">
        <v>179</v>
      </c>
    </row>
    <row r="96" spans="1:14" ht="41.4">
      <c r="A96" s="2" t="s">
        <v>211</v>
      </c>
      <c r="B96" s="4">
        <v>40011</v>
      </c>
      <c r="C96" s="2"/>
      <c r="D96" s="2" t="s">
        <v>15</v>
      </c>
      <c r="E96" s="2" t="s">
        <v>177</v>
      </c>
      <c r="F96" s="6">
        <v>4.75</v>
      </c>
      <c r="G96" s="8">
        <v>-25</v>
      </c>
      <c r="H96" s="6">
        <v>4.5</v>
      </c>
      <c r="I96" s="2" t="s">
        <v>199</v>
      </c>
      <c r="J96" s="2" t="s">
        <v>17</v>
      </c>
      <c r="K96" s="2"/>
      <c r="L96" s="10" t="s">
        <v>212</v>
      </c>
      <c r="M96" s="10"/>
      <c r="N96" s="10" t="s">
        <v>179</v>
      </c>
    </row>
    <row r="97" spans="1:14" ht="41.4">
      <c r="A97" s="2" t="s">
        <v>213</v>
      </c>
      <c r="B97" s="4">
        <v>40046</v>
      </c>
      <c r="C97" s="2"/>
      <c r="D97" s="2" t="s">
        <v>15</v>
      </c>
      <c r="E97" s="2" t="s">
        <v>177</v>
      </c>
      <c r="F97" s="6">
        <v>4.5</v>
      </c>
      <c r="G97" s="8">
        <v>0</v>
      </c>
      <c r="H97" s="6">
        <v>4.5</v>
      </c>
      <c r="I97" s="2" t="s">
        <v>47</v>
      </c>
      <c r="J97" s="2" t="s">
        <v>17</v>
      </c>
      <c r="K97" s="2"/>
      <c r="L97" s="10" t="s">
        <v>214</v>
      </c>
      <c r="M97" s="10"/>
      <c r="N97" s="10" t="s">
        <v>179</v>
      </c>
    </row>
    <row r="98" spans="1:14" ht="41.4">
      <c r="A98" s="2" t="s">
        <v>215</v>
      </c>
      <c r="B98" s="4">
        <v>40074</v>
      </c>
      <c r="C98" s="2"/>
      <c r="D98" s="2" t="s">
        <v>15</v>
      </c>
      <c r="E98" s="2" t="s">
        <v>177</v>
      </c>
      <c r="F98" s="6">
        <v>4.5</v>
      </c>
      <c r="G98" s="8">
        <v>0</v>
      </c>
      <c r="H98" s="6">
        <v>4.5</v>
      </c>
      <c r="I98" s="2" t="s">
        <v>47</v>
      </c>
      <c r="J98" s="2" t="s">
        <v>17</v>
      </c>
      <c r="K98" s="2"/>
      <c r="L98" s="10" t="s">
        <v>216</v>
      </c>
      <c r="M98" s="10"/>
      <c r="N98" s="10" t="s">
        <v>179</v>
      </c>
    </row>
    <row r="99" spans="1:14" ht="41.4">
      <c r="A99" s="2" t="s">
        <v>217</v>
      </c>
      <c r="B99" s="4">
        <v>40102</v>
      </c>
      <c r="C99" s="2"/>
      <c r="D99" s="2" t="s">
        <v>15</v>
      </c>
      <c r="E99" s="2" t="s">
        <v>177</v>
      </c>
      <c r="F99" s="6">
        <v>4.5</v>
      </c>
      <c r="G99" s="8">
        <v>0</v>
      </c>
      <c r="H99" s="6">
        <v>4.5</v>
      </c>
      <c r="I99" s="2" t="s">
        <v>47</v>
      </c>
      <c r="J99" s="2" t="s">
        <v>17</v>
      </c>
      <c r="K99" s="2"/>
      <c r="L99" s="10" t="s">
        <v>218</v>
      </c>
      <c r="M99" s="10"/>
      <c r="N99" s="10" t="s">
        <v>179</v>
      </c>
    </row>
    <row r="100" spans="1:14" ht="41.4">
      <c r="A100" s="2" t="s">
        <v>219</v>
      </c>
      <c r="B100" s="4">
        <v>40144</v>
      </c>
      <c r="C100" s="2"/>
      <c r="D100" s="2" t="s">
        <v>15</v>
      </c>
      <c r="E100" s="2" t="s">
        <v>177</v>
      </c>
      <c r="F100" s="6">
        <v>4.5</v>
      </c>
      <c r="G100" s="8">
        <v>0</v>
      </c>
      <c r="H100" s="6">
        <v>4.5</v>
      </c>
      <c r="I100" s="2" t="s">
        <v>47</v>
      </c>
      <c r="J100" s="2" t="s">
        <v>17</v>
      </c>
      <c r="K100" s="2"/>
      <c r="L100" s="10" t="s">
        <v>220</v>
      </c>
      <c r="M100" s="10"/>
      <c r="N100" s="10" t="s">
        <v>179</v>
      </c>
    </row>
    <row r="101" spans="1:14" ht="41.4">
      <c r="A101" s="2" t="s">
        <v>221</v>
      </c>
      <c r="B101" s="4">
        <v>40193</v>
      </c>
      <c r="C101" s="2"/>
      <c r="D101" s="2" t="s">
        <v>15</v>
      </c>
      <c r="E101" s="2" t="s">
        <v>177</v>
      </c>
      <c r="F101" s="6">
        <v>4.5</v>
      </c>
      <c r="G101" s="8">
        <v>0</v>
      </c>
      <c r="H101" s="6">
        <v>4.5</v>
      </c>
      <c r="I101" s="2" t="s">
        <v>47</v>
      </c>
      <c r="J101" s="2" t="s">
        <v>17</v>
      </c>
      <c r="K101" s="2"/>
      <c r="L101" s="10" t="s">
        <v>222</v>
      </c>
      <c r="M101" s="10"/>
      <c r="N101" s="10" t="s">
        <v>179</v>
      </c>
    </row>
    <row r="102" spans="1:14" ht="41.4">
      <c r="A102" s="2" t="s">
        <v>223</v>
      </c>
      <c r="B102" s="4">
        <v>40228</v>
      </c>
      <c r="C102" s="2"/>
      <c r="D102" s="2" t="s">
        <v>15</v>
      </c>
      <c r="E102" s="2" t="s">
        <v>177</v>
      </c>
      <c r="F102" s="6">
        <v>4.5</v>
      </c>
      <c r="G102" s="8">
        <v>0</v>
      </c>
      <c r="H102" s="6">
        <v>4.5</v>
      </c>
      <c r="I102" s="2" t="s">
        <v>47</v>
      </c>
      <c r="J102" s="2" t="s">
        <v>17</v>
      </c>
      <c r="K102" s="2"/>
      <c r="L102" s="10" t="s">
        <v>224</v>
      </c>
      <c r="M102" s="10"/>
      <c r="N102" s="10" t="s">
        <v>179</v>
      </c>
    </row>
    <row r="103" spans="1:14" ht="41.4">
      <c r="A103" s="2" t="s">
        <v>225</v>
      </c>
      <c r="B103" s="4">
        <v>40256</v>
      </c>
      <c r="C103" s="2"/>
      <c r="D103" s="2" t="s">
        <v>15</v>
      </c>
      <c r="E103" s="2" t="s">
        <v>177</v>
      </c>
      <c r="F103" s="6">
        <v>4.5</v>
      </c>
      <c r="G103" s="8">
        <v>0</v>
      </c>
      <c r="H103" s="6">
        <v>4.5</v>
      </c>
      <c r="I103" s="2" t="s">
        <v>47</v>
      </c>
      <c r="J103" s="2" t="s">
        <v>17</v>
      </c>
      <c r="K103" s="2"/>
      <c r="L103" s="10" t="s">
        <v>226</v>
      </c>
      <c r="M103" s="10"/>
      <c r="N103" s="10" t="s">
        <v>179</v>
      </c>
    </row>
    <row r="104" spans="1:14" ht="41.4">
      <c r="A104" s="2" t="s">
        <v>227</v>
      </c>
      <c r="B104" s="4">
        <v>40284</v>
      </c>
      <c r="C104" s="2"/>
      <c r="D104" s="2" t="s">
        <v>15</v>
      </c>
      <c r="E104" s="2" t="s">
        <v>177</v>
      </c>
      <c r="F104" s="6">
        <v>4.5</v>
      </c>
      <c r="G104" s="8">
        <v>0</v>
      </c>
      <c r="H104" s="6">
        <v>4.5</v>
      </c>
      <c r="I104" s="2" t="s">
        <v>47</v>
      </c>
      <c r="J104" s="2" t="s">
        <v>17</v>
      </c>
      <c r="K104" s="2"/>
      <c r="L104" s="10" t="s">
        <v>228</v>
      </c>
      <c r="M104" s="10"/>
      <c r="N104" s="10" t="s">
        <v>179</v>
      </c>
    </row>
    <row r="105" spans="1:14" ht="41.4">
      <c r="A105" s="2" t="s">
        <v>229</v>
      </c>
      <c r="B105" s="4">
        <v>40319</v>
      </c>
      <c r="C105" s="2"/>
      <c r="D105" s="2" t="s">
        <v>15</v>
      </c>
      <c r="E105" s="2" t="s">
        <v>177</v>
      </c>
      <c r="F105" s="6">
        <v>4.5</v>
      </c>
      <c r="G105" s="8">
        <v>0</v>
      </c>
      <c r="H105" s="6">
        <v>4.5</v>
      </c>
      <c r="I105" s="2" t="s">
        <v>47</v>
      </c>
      <c r="J105" s="2" t="s">
        <v>17</v>
      </c>
      <c r="K105" s="2"/>
      <c r="L105" s="10" t="s">
        <v>230</v>
      </c>
      <c r="M105" s="10"/>
      <c r="N105" s="10" t="s">
        <v>179</v>
      </c>
    </row>
    <row r="106" spans="1:14" ht="41.4">
      <c r="A106" s="2" t="s">
        <v>231</v>
      </c>
      <c r="B106" s="4">
        <v>40347</v>
      </c>
      <c r="C106" s="2"/>
      <c r="D106" s="2" t="s">
        <v>15</v>
      </c>
      <c r="E106" s="2" t="s">
        <v>177</v>
      </c>
      <c r="F106" s="6">
        <v>4.5</v>
      </c>
      <c r="G106" s="8">
        <v>0</v>
      </c>
      <c r="H106" s="6">
        <v>4.5</v>
      </c>
      <c r="I106" s="2" t="s">
        <v>47</v>
      </c>
      <c r="J106" s="2" t="s">
        <v>17</v>
      </c>
      <c r="K106" s="2"/>
      <c r="L106" s="10" t="s">
        <v>232</v>
      </c>
      <c r="M106" s="10"/>
      <c r="N106" s="10" t="s">
        <v>179</v>
      </c>
    </row>
    <row r="107" spans="1:14" ht="41.4">
      <c r="A107" s="2" t="s">
        <v>233</v>
      </c>
      <c r="B107" s="4">
        <v>40375</v>
      </c>
      <c r="C107" s="2"/>
      <c r="D107" s="2" t="s">
        <v>15</v>
      </c>
      <c r="E107" s="2" t="s">
        <v>177</v>
      </c>
      <c r="F107" s="6">
        <v>4.5</v>
      </c>
      <c r="G107" s="8">
        <v>0</v>
      </c>
      <c r="H107" s="6">
        <v>4.5</v>
      </c>
      <c r="I107" s="2" t="s">
        <v>47</v>
      </c>
      <c r="J107" s="2" t="s">
        <v>17</v>
      </c>
      <c r="K107" s="2"/>
      <c r="L107" s="10" t="s">
        <v>234</v>
      </c>
      <c r="M107" s="10"/>
      <c r="N107" s="10" t="s">
        <v>179</v>
      </c>
    </row>
    <row r="108" spans="1:14" ht="41.4">
      <c r="A108" s="2" t="s">
        <v>235</v>
      </c>
      <c r="B108" s="4">
        <v>40410</v>
      </c>
      <c r="C108" s="2"/>
      <c r="D108" s="2" t="s">
        <v>15</v>
      </c>
      <c r="E108" s="2" t="s">
        <v>177</v>
      </c>
      <c r="F108" s="6">
        <v>4.5</v>
      </c>
      <c r="G108" s="8">
        <v>0</v>
      </c>
      <c r="H108" s="6">
        <v>4.5</v>
      </c>
      <c r="I108" s="2" t="s">
        <v>47</v>
      </c>
      <c r="J108" s="2" t="s">
        <v>17</v>
      </c>
      <c r="K108" s="2"/>
      <c r="L108" s="10" t="s">
        <v>236</v>
      </c>
      <c r="M108" s="10"/>
      <c r="N108" s="10" t="s">
        <v>179</v>
      </c>
    </row>
    <row r="109" spans="1:14" ht="41.4">
      <c r="A109" s="2" t="s">
        <v>237</v>
      </c>
      <c r="B109" s="4">
        <v>40445</v>
      </c>
      <c r="C109" s="2"/>
      <c r="D109" s="2" t="s">
        <v>15</v>
      </c>
      <c r="E109" s="2" t="s">
        <v>177</v>
      </c>
      <c r="F109" s="6">
        <v>4.5</v>
      </c>
      <c r="G109" s="8">
        <v>0</v>
      </c>
      <c r="H109" s="6">
        <v>4.5</v>
      </c>
      <c r="I109" s="2" t="s">
        <v>47</v>
      </c>
      <c r="J109" s="2" t="s">
        <v>17</v>
      </c>
      <c r="K109" s="2"/>
      <c r="L109" s="10" t="s">
        <v>238</v>
      </c>
      <c r="M109" s="10"/>
      <c r="N109" s="10" t="s">
        <v>179</v>
      </c>
    </row>
    <row r="110" spans="1:14" ht="41.4">
      <c r="A110" s="2" t="s">
        <v>239</v>
      </c>
      <c r="B110" s="4">
        <v>40466</v>
      </c>
      <c r="C110" s="2"/>
      <c r="D110" s="2" t="s">
        <v>15</v>
      </c>
      <c r="E110" s="2" t="s">
        <v>177</v>
      </c>
      <c r="F110" s="6">
        <v>4.5</v>
      </c>
      <c r="G110" s="8">
        <v>0</v>
      </c>
      <c r="H110" s="6">
        <v>4.5</v>
      </c>
      <c r="I110" s="2" t="s">
        <v>47</v>
      </c>
      <c r="J110" s="2" t="s">
        <v>17</v>
      </c>
      <c r="K110" s="2"/>
      <c r="L110" s="10" t="s">
        <v>240</v>
      </c>
      <c r="M110" s="10"/>
      <c r="N110" s="10" t="s">
        <v>179</v>
      </c>
    </row>
    <row r="111" spans="1:14" ht="41.4">
      <c r="A111" s="2" t="s">
        <v>241</v>
      </c>
      <c r="B111" s="4">
        <v>40508</v>
      </c>
      <c r="C111" s="2"/>
      <c r="D111" s="2" t="s">
        <v>15</v>
      </c>
      <c r="E111" s="2" t="s">
        <v>177</v>
      </c>
      <c r="F111" s="6">
        <v>4.5</v>
      </c>
      <c r="G111" s="8">
        <v>0</v>
      </c>
      <c r="H111" s="6">
        <v>4.5</v>
      </c>
      <c r="I111" s="2" t="s">
        <v>47</v>
      </c>
      <c r="J111" s="2" t="s">
        <v>17</v>
      </c>
      <c r="K111" s="2"/>
      <c r="L111" s="10" t="s">
        <v>242</v>
      </c>
      <c r="M111" s="10"/>
      <c r="N111" s="10" t="s">
        <v>179</v>
      </c>
    </row>
    <row r="112" spans="1:14" ht="41.4">
      <c r="A112" s="2" t="s">
        <v>243</v>
      </c>
      <c r="B112" s="4">
        <v>40564</v>
      </c>
      <c r="C112" s="2"/>
      <c r="D112" s="2" t="s">
        <v>15</v>
      </c>
      <c r="E112" s="2" t="s">
        <v>177</v>
      </c>
      <c r="F112" s="6">
        <v>4.5</v>
      </c>
      <c r="G112" s="8">
        <v>0</v>
      </c>
      <c r="H112" s="6">
        <v>4.5</v>
      </c>
      <c r="I112" s="2" t="s">
        <v>47</v>
      </c>
      <c r="J112" s="2" t="s">
        <v>244</v>
      </c>
      <c r="K112" s="2">
        <v>0</v>
      </c>
      <c r="L112" s="10" t="s">
        <v>245</v>
      </c>
      <c r="M112" s="10" t="s">
        <v>246</v>
      </c>
      <c r="N112" s="10" t="s">
        <v>179</v>
      </c>
    </row>
    <row r="113" spans="1:14" ht="41.4">
      <c r="A113" s="2" t="s">
        <v>247</v>
      </c>
      <c r="B113" s="4">
        <v>40606</v>
      </c>
      <c r="C113" s="2"/>
      <c r="D113" s="2" t="s">
        <v>15</v>
      </c>
      <c r="E113" s="2" t="s">
        <v>177</v>
      </c>
      <c r="F113" s="6">
        <v>4.5</v>
      </c>
      <c r="G113" s="8">
        <v>0</v>
      </c>
      <c r="H113" s="6">
        <v>4.5</v>
      </c>
      <c r="I113" s="2" t="s">
        <v>47</v>
      </c>
      <c r="J113" s="2" t="s">
        <v>244</v>
      </c>
      <c r="K113" s="2">
        <v>0</v>
      </c>
      <c r="L113" s="10" t="s">
        <v>248</v>
      </c>
      <c r="M113" s="10" t="s">
        <v>249</v>
      </c>
      <c r="N113" s="10" t="s">
        <v>179</v>
      </c>
    </row>
    <row r="114" spans="1:14" ht="41.4">
      <c r="A114" s="2" t="s">
        <v>250</v>
      </c>
      <c r="B114" s="4">
        <v>40648</v>
      </c>
      <c r="C114" s="2"/>
      <c r="D114" s="2" t="s">
        <v>15</v>
      </c>
      <c r="E114" s="2" t="s">
        <v>177</v>
      </c>
      <c r="F114" s="6">
        <v>4.5</v>
      </c>
      <c r="G114" s="8">
        <v>0</v>
      </c>
      <c r="H114" s="6">
        <v>4.5</v>
      </c>
      <c r="I114" s="2" t="s">
        <v>47</v>
      </c>
      <c r="J114" s="2" t="s">
        <v>244</v>
      </c>
      <c r="K114" s="2">
        <v>0</v>
      </c>
      <c r="L114" s="10" t="s">
        <v>251</v>
      </c>
      <c r="M114" s="10" t="s">
        <v>252</v>
      </c>
      <c r="N114" s="10" t="s">
        <v>179</v>
      </c>
    </row>
    <row r="115" spans="1:14" ht="41.4">
      <c r="A115" s="2" t="s">
        <v>253</v>
      </c>
      <c r="B115" s="4">
        <v>40690</v>
      </c>
      <c r="C115" s="2"/>
      <c r="D115" s="2" t="s">
        <v>15</v>
      </c>
      <c r="E115" s="2" t="s">
        <v>177</v>
      </c>
      <c r="F115" s="6">
        <v>4.5</v>
      </c>
      <c r="G115" s="8">
        <v>0</v>
      </c>
      <c r="H115" s="6">
        <v>4.5</v>
      </c>
      <c r="I115" s="2" t="s">
        <v>47</v>
      </c>
      <c r="J115" s="2" t="s">
        <v>244</v>
      </c>
      <c r="K115" s="2">
        <v>0</v>
      </c>
      <c r="L115" s="10" t="s">
        <v>254</v>
      </c>
      <c r="M115" s="10" t="s">
        <v>255</v>
      </c>
      <c r="N115" s="10" t="s">
        <v>179</v>
      </c>
    </row>
    <row r="116" spans="1:14" ht="41.4">
      <c r="A116" s="2" t="s">
        <v>256</v>
      </c>
      <c r="B116" s="4">
        <v>40732</v>
      </c>
      <c r="C116" s="2"/>
      <c r="D116" s="2" t="s">
        <v>15</v>
      </c>
      <c r="E116" s="2" t="s">
        <v>177</v>
      </c>
      <c r="F116" s="6">
        <v>4.5</v>
      </c>
      <c r="G116" s="8">
        <v>0</v>
      </c>
      <c r="H116" s="6">
        <v>4.5</v>
      </c>
      <c r="I116" s="2" t="s">
        <v>47</v>
      </c>
      <c r="J116" s="2" t="s">
        <v>244</v>
      </c>
      <c r="K116" s="2">
        <v>0</v>
      </c>
      <c r="L116" s="10" t="s">
        <v>257</v>
      </c>
      <c r="M116" s="10" t="s">
        <v>258</v>
      </c>
      <c r="N116" s="10" t="s">
        <v>179</v>
      </c>
    </row>
    <row r="117" spans="1:14" ht="41.4">
      <c r="A117" s="2" t="s">
        <v>259</v>
      </c>
      <c r="B117" s="4">
        <v>40781</v>
      </c>
      <c r="C117" s="2"/>
      <c r="D117" s="2" t="s">
        <v>15</v>
      </c>
      <c r="E117" s="2" t="s">
        <v>177</v>
      </c>
      <c r="F117" s="6">
        <v>4.5</v>
      </c>
      <c r="G117" s="8">
        <v>0</v>
      </c>
      <c r="H117" s="6">
        <v>4.5</v>
      </c>
      <c r="I117" s="2" t="s">
        <v>47</v>
      </c>
      <c r="J117" s="2" t="s">
        <v>244</v>
      </c>
      <c r="K117" s="2">
        <v>0</v>
      </c>
      <c r="L117" s="10" t="s">
        <v>260</v>
      </c>
      <c r="M117" s="10" t="s">
        <v>261</v>
      </c>
      <c r="N117" s="10" t="s">
        <v>179</v>
      </c>
    </row>
    <row r="118" spans="1:14" ht="41.4">
      <c r="A118" s="2" t="s">
        <v>262</v>
      </c>
      <c r="B118" s="4">
        <v>40830</v>
      </c>
      <c r="C118" s="2"/>
      <c r="D118" s="2" t="s">
        <v>15</v>
      </c>
      <c r="E118" s="2" t="s">
        <v>177</v>
      </c>
      <c r="F118" s="6">
        <v>4.5</v>
      </c>
      <c r="G118" s="8">
        <v>0</v>
      </c>
      <c r="H118" s="6">
        <v>4.5</v>
      </c>
      <c r="I118" s="2" t="s">
        <v>47</v>
      </c>
      <c r="J118" s="2" t="s">
        <v>244</v>
      </c>
      <c r="K118" s="2">
        <v>0</v>
      </c>
      <c r="L118" s="10" t="s">
        <v>263</v>
      </c>
      <c r="M118" s="10" t="s">
        <v>264</v>
      </c>
      <c r="N118" s="10" t="s">
        <v>179</v>
      </c>
    </row>
    <row r="119" spans="1:14" ht="41.4">
      <c r="A119" s="2" t="s">
        <v>265</v>
      </c>
      <c r="B119" s="4">
        <v>40879</v>
      </c>
      <c r="C119" s="2"/>
      <c r="D119" s="2" t="s">
        <v>15</v>
      </c>
      <c r="E119" s="2" t="s">
        <v>177</v>
      </c>
      <c r="F119" s="6">
        <v>4.5</v>
      </c>
      <c r="G119" s="8">
        <v>0</v>
      </c>
      <c r="H119" s="6">
        <v>4.5</v>
      </c>
      <c r="I119" s="2" t="s">
        <v>47</v>
      </c>
      <c r="J119" s="2" t="s">
        <v>244</v>
      </c>
      <c r="K119" s="2">
        <v>0</v>
      </c>
      <c r="L119" s="10" t="s">
        <v>266</v>
      </c>
      <c r="M119" s="10" t="s">
        <v>267</v>
      </c>
      <c r="N119" s="10" t="s">
        <v>179</v>
      </c>
    </row>
    <row r="120" spans="1:14" ht="41.4">
      <c r="A120" s="2" t="s">
        <v>268</v>
      </c>
      <c r="B120" s="4">
        <v>40928</v>
      </c>
      <c r="C120" s="2"/>
      <c r="D120" s="2" t="s">
        <v>15</v>
      </c>
      <c r="E120" s="2" t="s">
        <v>177</v>
      </c>
      <c r="F120" s="6">
        <v>4.5</v>
      </c>
      <c r="G120" s="8">
        <v>0</v>
      </c>
      <c r="H120" s="6">
        <v>4.5</v>
      </c>
      <c r="I120" s="2" t="s">
        <v>47</v>
      </c>
      <c r="J120" s="2" t="s">
        <v>244</v>
      </c>
      <c r="K120" s="2">
        <v>0</v>
      </c>
      <c r="L120" s="10" t="s">
        <v>269</v>
      </c>
      <c r="M120" s="10" t="s">
        <v>270</v>
      </c>
      <c r="N120" s="10" t="s">
        <v>179</v>
      </c>
    </row>
    <row r="121" spans="1:14" ht="41.4">
      <c r="A121" s="2" t="s">
        <v>271</v>
      </c>
      <c r="B121" s="4">
        <v>40984</v>
      </c>
      <c r="C121" s="2"/>
      <c r="D121" s="2" t="s">
        <v>15</v>
      </c>
      <c r="E121" s="2" t="s">
        <v>177</v>
      </c>
      <c r="F121" s="6">
        <v>4.5</v>
      </c>
      <c r="G121" s="8">
        <v>0</v>
      </c>
      <c r="H121" s="6">
        <v>4.5</v>
      </c>
      <c r="I121" s="2" t="s">
        <v>47</v>
      </c>
      <c r="J121" s="2" t="s">
        <v>244</v>
      </c>
      <c r="K121" s="2">
        <v>0</v>
      </c>
      <c r="L121" s="10" t="s">
        <v>272</v>
      </c>
      <c r="M121" s="10" t="s">
        <v>273</v>
      </c>
      <c r="N121" s="10" t="s">
        <v>179</v>
      </c>
    </row>
    <row r="122" spans="1:14" ht="41.4">
      <c r="A122" s="2" t="s">
        <v>274</v>
      </c>
      <c r="B122" s="4">
        <v>41026</v>
      </c>
      <c r="C122" s="2"/>
      <c r="D122" s="2" t="s">
        <v>15</v>
      </c>
      <c r="E122" s="2" t="s">
        <v>177</v>
      </c>
      <c r="F122" s="6">
        <v>4.5</v>
      </c>
      <c r="G122" s="8">
        <v>0</v>
      </c>
      <c r="H122" s="6">
        <v>4.5</v>
      </c>
      <c r="I122" s="2" t="s">
        <v>47</v>
      </c>
      <c r="J122" s="2" t="s">
        <v>244</v>
      </c>
      <c r="K122" s="2">
        <v>0</v>
      </c>
      <c r="L122" s="10" t="s">
        <v>275</v>
      </c>
      <c r="M122" s="10" t="s">
        <v>276</v>
      </c>
      <c r="N122" s="10" t="s">
        <v>179</v>
      </c>
    </row>
    <row r="123" spans="1:14" ht="41.4">
      <c r="A123" s="2" t="s">
        <v>277</v>
      </c>
      <c r="B123" s="4">
        <v>41068</v>
      </c>
      <c r="C123" s="2"/>
      <c r="D123" s="2" t="s">
        <v>15</v>
      </c>
      <c r="E123" s="2" t="s">
        <v>177</v>
      </c>
      <c r="F123" s="6">
        <v>4.5</v>
      </c>
      <c r="G123" s="8">
        <v>0</v>
      </c>
      <c r="H123" s="6">
        <v>4.5</v>
      </c>
      <c r="I123" s="2" t="s">
        <v>47</v>
      </c>
      <c r="J123" s="2" t="s">
        <v>244</v>
      </c>
      <c r="K123" s="2">
        <v>0</v>
      </c>
      <c r="L123" s="10" t="s">
        <v>278</v>
      </c>
      <c r="M123" s="10" t="s">
        <v>279</v>
      </c>
      <c r="N123" s="10" t="s">
        <v>179</v>
      </c>
    </row>
    <row r="124" spans="1:14" ht="41.4">
      <c r="A124" s="2" t="s">
        <v>280</v>
      </c>
      <c r="B124" s="4">
        <v>41110</v>
      </c>
      <c r="C124" s="2"/>
      <c r="D124" s="2" t="s">
        <v>15</v>
      </c>
      <c r="E124" s="2" t="s">
        <v>177</v>
      </c>
      <c r="F124" s="6">
        <v>4.5</v>
      </c>
      <c r="G124" s="8">
        <v>0</v>
      </c>
      <c r="H124" s="6">
        <v>4.5</v>
      </c>
      <c r="I124" s="2" t="s">
        <v>47</v>
      </c>
      <c r="J124" s="2" t="s">
        <v>244</v>
      </c>
      <c r="K124" s="2">
        <v>0</v>
      </c>
      <c r="L124" s="10" t="s">
        <v>281</v>
      </c>
      <c r="M124" s="10" t="s">
        <v>282</v>
      </c>
      <c r="N124" s="10" t="s">
        <v>179</v>
      </c>
    </row>
    <row r="125" spans="1:14" ht="41.4">
      <c r="A125" s="2" t="s">
        <v>283</v>
      </c>
      <c r="B125" s="4">
        <v>41159</v>
      </c>
      <c r="C125" s="2"/>
      <c r="D125" s="2" t="s">
        <v>15</v>
      </c>
      <c r="E125" s="2" t="s">
        <v>177</v>
      </c>
      <c r="F125" s="6">
        <v>4.5</v>
      </c>
      <c r="G125" s="8">
        <v>0</v>
      </c>
      <c r="H125" s="6">
        <v>4.5</v>
      </c>
      <c r="I125" s="2" t="s">
        <v>47</v>
      </c>
      <c r="J125" s="2" t="s">
        <v>244</v>
      </c>
      <c r="K125" s="2">
        <v>0</v>
      </c>
      <c r="L125" s="10" t="s">
        <v>284</v>
      </c>
      <c r="M125" s="10" t="s">
        <v>285</v>
      </c>
      <c r="N125" s="10" t="s">
        <v>179</v>
      </c>
    </row>
    <row r="126" spans="1:14" ht="41.4">
      <c r="A126" s="2" t="s">
        <v>286</v>
      </c>
      <c r="B126" s="4">
        <v>41208</v>
      </c>
      <c r="C126" s="2"/>
      <c r="D126" s="2" t="s">
        <v>15</v>
      </c>
      <c r="E126" s="2" t="s">
        <v>177</v>
      </c>
      <c r="F126" s="6">
        <v>4.5</v>
      </c>
      <c r="G126" s="8">
        <v>0</v>
      </c>
      <c r="H126" s="6">
        <v>4.5</v>
      </c>
      <c r="I126" s="2" t="s">
        <v>47</v>
      </c>
      <c r="J126" s="2" t="s">
        <v>244</v>
      </c>
      <c r="K126" s="2">
        <v>0</v>
      </c>
      <c r="L126" s="10" t="s">
        <v>287</v>
      </c>
      <c r="M126" s="10" t="s">
        <v>288</v>
      </c>
      <c r="N126" s="10" t="s">
        <v>179</v>
      </c>
    </row>
    <row r="127" spans="1:14" ht="41.4">
      <c r="A127" s="2" t="s">
        <v>289</v>
      </c>
      <c r="B127" s="4">
        <v>41243</v>
      </c>
      <c r="C127" s="2"/>
      <c r="D127" s="2" t="s">
        <v>15</v>
      </c>
      <c r="E127" s="2" t="s">
        <v>177</v>
      </c>
      <c r="F127" s="6">
        <v>4.5</v>
      </c>
      <c r="G127" s="8">
        <v>0</v>
      </c>
      <c r="H127" s="6">
        <v>4.5</v>
      </c>
      <c r="I127" s="2" t="s">
        <v>47</v>
      </c>
      <c r="J127" s="2" t="s">
        <v>244</v>
      </c>
      <c r="K127" s="2">
        <v>0</v>
      </c>
      <c r="L127" s="10" t="s">
        <v>290</v>
      </c>
      <c r="M127" s="10" t="s">
        <v>291</v>
      </c>
      <c r="N127" s="10" t="s">
        <v>179</v>
      </c>
    </row>
    <row r="128" spans="1:14" ht="41.4">
      <c r="A128" s="2" t="s">
        <v>292</v>
      </c>
      <c r="B128" s="4">
        <v>41292</v>
      </c>
      <c r="C128" s="2"/>
      <c r="D128" s="2" t="s">
        <v>15</v>
      </c>
      <c r="E128" s="2" t="s">
        <v>177</v>
      </c>
      <c r="F128" s="6">
        <v>4.5</v>
      </c>
      <c r="G128" s="8">
        <v>0</v>
      </c>
      <c r="H128" s="6">
        <v>4.5</v>
      </c>
      <c r="I128" s="2" t="s">
        <v>47</v>
      </c>
      <c r="J128" s="2" t="s">
        <v>244</v>
      </c>
      <c r="K128" s="2">
        <v>0</v>
      </c>
      <c r="L128" s="10" t="s">
        <v>293</v>
      </c>
      <c r="M128" s="10" t="s">
        <v>294</v>
      </c>
      <c r="N128" s="10" t="s">
        <v>179</v>
      </c>
    </row>
    <row r="129" spans="1:14" ht="41.4">
      <c r="A129" s="2" t="s">
        <v>295</v>
      </c>
      <c r="B129" s="4">
        <v>41341</v>
      </c>
      <c r="C129" s="2"/>
      <c r="D129" s="2" t="s">
        <v>15</v>
      </c>
      <c r="E129" s="2" t="s">
        <v>177</v>
      </c>
      <c r="F129" s="6">
        <v>4.5</v>
      </c>
      <c r="G129" s="8">
        <v>-50</v>
      </c>
      <c r="H129" s="6">
        <v>4</v>
      </c>
      <c r="I129" s="2" t="s">
        <v>199</v>
      </c>
      <c r="J129" s="2" t="s">
        <v>17</v>
      </c>
      <c r="K129" s="2"/>
      <c r="L129" s="10" t="s">
        <v>296</v>
      </c>
      <c r="M129" s="10" t="s">
        <v>297</v>
      </c>
      <c r="N129" s="10" t="s">
        <v>179</v>
      </c>
    </row>
    <row r="130" spans="1:14" ht="41.4">
      <c r="A130" s="2" t="s">
        <v>298</v>
      </c>
      <c r="B130" s="4">
        <v>41390</v>
      </c>
      <c r="C130" s="2"/>
      <c r="D130" s="2" t="s">
        <v>15</v>
      </c>
      <c r="E130" s="2" t="s">
        <v>177</v>
      </c>
      <c r="F130" s="6">
        <v>4</v>
      </c>
      <c r="G130" s="8">
        <v>0</v>
      </c>
      <c r="H130" s="6">
        <v>4</v>
      </c>
      <c r="I130" s="2" t="s">
        <v>47</v>
      </c>
      <c r="J130" s="2" t="s">
        <v>17</v>
      </c>
      <c r="K130" s="2"/>
      <c r="L130" s="10" t="s">
        <v>299</v>
      </c>
      <c r="M130" s="10" t="s">
        <v>300</v>
      </c>
      <c r="N130" s="10" t="s">
        <v>179</v>
      </c>
    </row>
    <row r="131" spans="1:14" ht="41.4">
      <c r="A131" s="2" t="s">
        <v>301</v>
      </c>
      <c r="B131" s="4">
        <v>41432</v>
      </c>
      <c r="C131" s="2"/>
      <c r="D131" s="2" t="s">
        <v>15</v>
      </c>
      <c r="E131" s="2" t="s">
        <v>177</v>
      </c>
      <c r="F131" s="6">
        <v>4</v>
      </c>
      <c r="G131" s="8">
        <v>0</v>
      </c>
      <c r="H131" s="6">
        <v>4</v>
      </c>
      <c r="I131" s="2" t="s">
        <v>47</v>
      </c>
      <c r="J131" s="2" t="s">
        <v>17</v>
      </c>
      <c r="K131" s="2"/>
      <c r="L131" s="10" t="s">
        <v>302</v>
      </c>
      <c r="M131" s="10" t="s">
        <v>303</v>
      </c>
      <c r="N131" s="10" t="s">
        <v>179</v>
      </c>
    </row>
    <row r="132" spans="1:14" ht="41.4">
      <c r="A132" s="2" t="s">
        <v>304</v>
      </c>
      <c r="B132" s="4">
        <v>41467</v>
      </c>
      <c r="C132" s="2"/>
      <c r="D132" s="2" t="s">
        <v>15</v>
      </c>
      <c r="E132" s="2" t="s">
        <v>177</v>
      </c>
      <c r="F132" s="6">
        <v>4</v>
      </c>
      <c r="G132" s="8">
        <v>0</v>
      </c>
      <c r="H132" s="6">
        <v>4</v>
      </c>
      <c r="I132" s="2" t="s">
        <v>47</v>
      </c>
      <c r="J132" s="2" t="s">
        <v>244</v>
      </c>
      <c r="K132" s="2">
        <v>0</v>
      </c>
      <c r="L132" s="10" t="s">
        <v>305</v>
      </c>
      <c r="M132" s="10" t="s">
        <v>306</v>
      </c>
      <c r="N132" s="10" t="s">
        <v>179</v>
      </c>
    </row>
    <row r="133" spans="1:14" ht="41.4">
      <c r="A133" s="2" t="s">
        <v>307</v>
      </c>
      <c r="B133" s="4">
        <v>41523</v>
      </c>
      <c r="C133" s="2"/>
      <c r="D133" s="2" t="s">
        <v>15</v>
      </c>
      <c r="E133" s="2" t="s">
        <v>177</v>
      </c>
      <c r="F133" s="6">
        <v>4</v>
      </c>
      <c r="G133" s="8">
        <v>-25</v>
      </c>
      <c r="H133" s="6">
        <v>3.75</v>
      </c>
      <c r="I133" s="2" t="s">
        <v>199</v>
      </c>
      <c r="J133" s="2" t="s">
        <v>308</v>
      </c>
      <c r="K133" s="2"/>
      <c r="L133" s="10" t="s">
        <v>309</v>
      </c>
      <c r="M133" s="10" t="s">
        <v>310</v>
      </c>
      <c r="N133" s="10" t="s">
        <v>179</v>
      </c>
    </row>
    <row r="134" spans="1:14" ht="41.4">
      <c r="A134" s="2" t="s">
        <v>311</v>
      </c>
      <c r="B134" s="4">
        <v>41572</v>
      </c>
      <c r="C134" s="2"/>
      <c r="D134" s="2" t="s">
        <v>15</v>
      </c>
      <c r="E134" s="2" t="s">
        <v>177</v>
      </c>
      <c r="F134" s="6">
        <v>3.75</v>
      </c>
      <c r="G134" s="8">
        <v>-25</v>
      </c>
      <c r="H134" s="6">
        <v>3.5</v>
      </c>
      <c r="I134" s="2" t="s">
        <v>199</v>
      </c>
      <c r="J134" s="2" t="s">
        <v>244</v>
      </c>
      <c r="K134" s="2">
        <v>0</v>
      </c>
      <c r="L134" s="10" t="s">
        <v>312</v>
      </c>
      <c r="M134" s="10" t="s">
        <v>313</v>
      </c>
      <c r="N134" s="10" t="s">
        <v>179</v>
      </c>
    </row>
    <row r="135" spans="1:14" ht="41.4">
      <c r="A135" s="2" t="s">
        <v>314</v>
      </c>
      <c r="B135" s="4">
        <v>41614</v>
      </c>
      <c r="C135" s="2"/>
      <c r="D135" s="2" t="s">
        <v>15</v>
      </c>
      <c r="E135" s="2" t="s">
        <v>177</v>
      </c>
      <c r="F135" s="6">
        <v>3.5</v>
      </c>
      <c r="G135" s="8">
        <v>0</v>
      </c>
      <c r="H135" s="6">
        <v>3.5</v>
      </c>
      <c r="I135" s="2" t="s">
        <v>47</v>
      </c>
      <c r="J135" s="2" t="s">
        <v>244</v>
      </c>
      <c r="K135" s="2">
        <v>0</v>
      </c>
      <c r="L135" s="10" t="s">
        <v>315</v>
      </c>
      <c r="M135" s="10" t="s">
        <v>316</v>
      </c>
      <c r="N135" s="10" t="s">
        <v>179</v>
      </c>
    </row>
    <row r="136" spans="1:14" ht="41.4">
      <c r="A136" s="2" t="s">
        <v>317</v>
      </c>
      <c r="B136" s="4">
        <v>41670</v>
      </c>
      <c r="C136" s="2"/>
      <c r="D136" s="2" t="s">
        <v>15</v>
      </c>
      <c r="E136" s="2" t="s">
        <v>177</v>
      </c>
      <c r="F136" s="6">
        <v>3.5</v>
      </c>
      <c r="G136" s="8">
        <v>0</v>
      </c>
      <c r="H136" s="6">
        <v>3.5</v>
      </c>
      <c r="I136" s="2" t="s">
        <v>47</v>
      </c>
      <c r="J136" s="2" t="s">
        <v>244</v>
      </c>
      <c r="K136" s="2">
        <v>0</v>
      </c>
      <c r="L136" s="10" t="s">
        <v>318</v>
      </c>
      <c r="M136" s="10" t="s">
        <v>319</v>
      </c>
      <c r="N136" s="10" t="s">
        <v>179</v>
      </c>
    </row>
    <row r="137" spans="1:14" ht="41.4">
      <c r="A137" s="2" t="s">
        <v>320</v>
      </c>
      <c r="B137" s="4">
        <v>41719</v>
      </c>
      <c r="C137" s="2"/>
      <c r="D137" s="2" t="s">
        <v>15</v>
      </c>
      <c r="E137" s="2" t="s">
        <v>177</v>
      </c>
      <c r="F137" s="6">
        <v>3.5</v>
      </c>
      <c r="G137" s="8">
        <v>0</v>
      </c>
      <c r="H137" s="6">
        <v>3.5</v>
      </c>
      <c r="I137" s="2" t="s">
        <v>47</v>
      </c>
      <c r="J137" s="2" t="s">
        <v>17</v>
      </c>
      <c r="K137" s="2"/>
      <c r="L137" s="10" t="s">
        <v>321</v>
      </c>
      <c r="M137" s="10" t="s">
        <v>322</v>
      </c>
      <c r="N137" s="10" t="s">
        <v>179</v>
      </c>
    </row>
    <row r="138" spans="1:14" ht="41.4">
      <c r="A138" s="2" t="s">
        <v>323</v>
      </c>
      <c r="B138" s="4">
        <v>41754</v>
      </c>
      <c r="C138" s="2"/>
      <c r="D138" s="2" t="s">
        <v>15</v>
      </c>
      <c r="E138" s="2" t="s">
        <v>177</v>
      </c>
      <c r="F138" s="6">
        <v>3.5</v>
      </c>
      <c r="G138" s="8">
        <v>0</v>
      </c>
      <c r="H138" s="6">
        <v>3.5</v>
      </c>
      <c r="I138" s="2" t="s">
        <v>47</v>
      </c>
      <c r="J138" s="2" t="s">
        <v>244</v>
      </c>
      <c r="K138" s="2">
        <v>0</v>
      </c>
      <c r="L138" s="10" t="s">
        <v>324</v>
      </c>
      <c r="M138" s="10" t="s">
        <v>325</v>
      </c>
      <c r="N138" s="10" t="s">
        <v>179</v>
      </c>
    </row>
    <row r="139" spans="1:14" ht="41.4">
      <c r="A139" s="2" t="s">
        <v>326</v>
      </c>
      <c r="B139" s="4">
        <v>41796</v>
      </c>
      <c r="C139" s="2"/>
      <c r="D139" s="2" t="s">
        <v>15</v>
      </c>
      <c r="E139" s="2" t="s">
        <v>177</v>
      </c>
      <c r="F139" s="6">
        <v>3.5</v>
      </c>
      <c r="G139" s="8">
        <v>-50</v>
      </c>
      <c r="H139" s="6">
        <v>3</v>
      </c>
      <c r="I139" s="2" t="s">
        <v>199</v>
      </c>
      <c r="J139" s="2" t="s">
        <v>17</v>
      </c>
      <c r="K139" s="2"/>
      <c r="L139" s="10" t="s">
        <v>327</v>
      </c>
      <c r="M139" s="10" t="s">
        <v>328</v>
      </c>
      <c r="N139" s="10" t="s">
        <v>179</v>
      </c>
    </row>
    <row r="140" spans="1:14" ht="41.4">
      <c r="A140" s="2" t="s">
        <v>329</v>
      </c>
      <c r="B140" s="4">
        <v>41831</v>
      </c>
      <c r="C140" s="2"/>
      <c r="D140" s="2" t="s">
        <v>15</v>
      </c>
      <c r="E140" s="2" t="s">
        <v>177</v>
      </c>
      <c r="F140" s="6">
        <v>3</v>
      </c>
      <c r="G140" s="8">
        <v>0</v>
      </c>
      <c r="H140" s="6">
        <v>3</v>
      </c>
      <c r="I140" s="2" t="s">
        <v>47</v>
      </c>
      <c r="J140" s="2" t="s">
        <v>244</v>
      </c>
      <c r="K140" s="2">
        <v>0</v>
      </c>
      <c r="L140" s="10" t="s">
        <v>330</v>
      </c>
      <c r="M140" s="10" t="s">
        <v>331</v>
      </c>
      <c r="N140" s="10" t="s">
        <v>179</v>
      </c>
    </row>
    <row r="141" spans="1:14" ht="41.4">
      <c r="A141" s="2" t="s">
        <v>332</v>
      </c>
      <c r="B141" s="4">
        <v>41887</v>
      </c>
      <c r="C141" s="2"/>
      <c r="D141" s="2" t="s">
        <v>15</v>
      </c>
      <c r="E141" s="2" t="s">
        <v>177</v>
      </c>
      <c r="F141" s="6">
        <v>3</v>
      </c>
      <c r="G141" s="8">
        <v>0</v>
      </c>
      <c r="H141" s="6">
        <v>3</v>
      </c>
      <c r="I141" s="2" t="s">
        <v>47</v>
      </c>
      <c r="J141" s="2" t="s">
        <v>244</v>
      </c>
      <c r="K141" s="2">
        <v>0</v>
      </c>
      <c r="L141" s="10" t="s">
        <v>333</v>
      </c>
      <c r="M141" s="10" t="s">
        <v>334</v>
      </c>
      <c r="N141" s="10" t="s">
        <v>179</v>
      </c>
    </row>
    <row r="142" spans="1:14" ht="41.4">
      <c r="A142" s="2" t="s">
        <v>335</v>
      </c>
      <c r="B142" s="4">
        <v>41943</v>
      </c>
      <c r="C142" s="2"/>
      <c r="D142" s="2" t="s">
        <v>15</v>
      </c>
      <c r="E142" s="2" t="s">
        <v>177</v>
      </c>
      <c r="F142" s="6">
        <v>3</v>
      </c>
      <c r="G142" s="8">
        <v>0</v>
      </c>
      <c r="H142" s="6">
        <v>3</v>
      </c>
      <c r="I142" s="2" t="s">
        <v>47</v>
      </c>
      <c r="J142" s="2" t="s">
        <v>244</v>
      </c>
      <c r="K142" s="2">
        <v>0</v>
      </c>
      <c r="L142" s="10" t="s">
        <v>336</v>
      </c>
      <c r="M142" s="10" t="s">
        <v>337</v>
      </c>
      <c r="N142" s="10" t="s">
        <v>179</v>
      </c>
    </row>
    <row r="143" spans="1:14" ht="41.4">
      <c r="A143" s="2" t="s">
        <v>338</v>
      </c>
      <c r="B143" s="4">
        <v>41978</v>
      </c>
      <c r="C143" s="2"/>
      <c r="D143" s="2" t="s">
        <v>15</v>
      </c>
      <c r="E143" s="2" t="s">
        <v>177</v>
      </c>
      <c r="F143" s="6">
        <v>3</v>
      </c>
      <c r="G143" s="8">
        <v>0</v>
      </c>
      <c r="H143" s="6">
        <v>3</v>
      </c>
      <c r="I143" s="2" t="s">
        <v>47</v>
      </c>
      <c r="J143" s="2" t="s">
        <v>244</v>
      </c>
      <c r="K143" s="2">
        <v>0</v>
      </c>
      <c r="L143" s="10" t="s">
        <v>339</v>
      </c>
      <c r="M143" s="10" t="s">
        <v>340</v>
      </c>
      <c r="N143" s="10" t="s">
        <v>179</v>
      </c>
    </row>
    <row r="144" spans="1:14" ht="41.4">
      <c r="A144" s="2" t="s">
        <v>341</v>
      </c>
      <c r="B144" s="4">
        <v>42033</v>
      </c>
      <c r="C144" s="2"/>
      <c r="D144" s="2" t="s">
        <v>15</v>
      </c>
      <c r="E144" s="2" t="s">
        <v>177</v>
      </c>
      <c r="F144" s="6">
        <v>3</v>
      </c>
      <c r="G144" s="8">
        <v>0</v>
      </c>
      <c r="H144" s="6">
        <v>3</v>
      </c>
      <c r="I144" s="2" t="s">
        <v>47</v>
      </c>
      <c r="J144" s="2" t="s">
        <v>244</v>
      </c>
      <c r="K144" s="2">
        <v>0</v>
      </c>
      <c r="L144" s="10" t="s">
        <v>342</v>
      </c>
      <c r="M144" s="10" t="s">
        <v>343</v>
      </c>
      <c r="N144" s="10" t="s">
        <v>179</v>
      </c>
    </row>
    <row r="145" spans="1:14" ht="41.4">
      <c r="A145" s="2" t="s">
        <v>344</v>
      </c>
      <c r="B145" s="4">
        <v>42089</v>
      </c>
      <c r="C145" s="2"/>
      <c r="D145" s="2" t="s">
        <v>15</v>
      </c>
      <c r="E145" s="2" t="s">
        <v>177</v>
      </c>
      <c r="F145" s="6">
        <v>3</v>
      </c>
      <c r="G145" s="8">
        <v>0</v>
      </c>
      <c r="H145" s="6">
        <v>3</v>
      </c>
      <c r="I145" s="2" t="s">
        <v>47</v>
      </c>
      <c r="J145" s="2" t="s">
        <v>244</v>
      </c>
      <c r="K145" s="2">
        <v>0</v>
      </c>
      <c r="L145" s="10" t="s">
        <v>345</v>
      </c>
      <c r="M145" s="10" t="s">
        <v>346</v>
      </c>
      <c r="N145" s="10" t="s">
        <v>179</v>
      </c>
    </row>
    <row r="146" spans="1:14" ht="41.4">
      <c r="A146" s="2" t="s">
        <v>347</v>
      </c>
      <c r="B146" s="4">
        <v>42124</v>
      </c>
      <c r="C146" s="2"/>
      <c r="D146" s="2" t="s">
        <v>15</v>
      </c>
      <c r="E146" s="2" t="s">
        <v>177</v>
      </c>
      <c r="F146" s="6">
        <v>3</v>
      </c>
      <c r="G146" s="8">
        <v>0</v>
      </c>
      <c r="H146" s="6">
        <v>3</v>
      </c>
      <c r="I146" s="2" t="s">
        <v>47</v>
      </c>
      <c r="J146" s="2" t="s">
        <v>244</v>
      </c>
      <c r="K146" s="2">
        <v>0</v>
      </c>
      <c r="L146" s="10" t="s">
        <v>348</v>
      </c>
      <c r="M146" s="10" t="s">
        <v>349</v>
      </c>
      <c r="N146" s="10" t="s">
        <v>179</v>
      </c>
    </row>
    <row r="147" spans="1:14" ht="41.4">
      <c r="A147" s="2" t="s">
        <v>350</v>
      </c>
      <c r="B147" s="4">
        <v>42159</v>
      </c>
      <c r="C147" s="2"/>
      <c r="D147" s="2" t="s">
        <v>15</v>
      </c>
      <c r="E147" s="2" t="s">
        <v>177</v>
      </c>
      <c r="F147" s="6">
        <v>3</v>
      </c>
      <c r="G147" s="8">
        <v>0</v>
      </c>
      <c r="H147" s="6">
        <v>3</v>
      </c>
      <c r="I147" s="2" t="s">
        <v>47</v>
      </c>
      <c r="J147" s="2" t="s">
        <v>244</v>
      </c>
      <c r="K147" s="2">
        <v>0</v>
      </c>
      <c r="L147" s="10" t="s">
        <v>351</v>
      </c>
      <c r="M147" s="10" t="s">
        <v>352</v>
      </c>
      <c r="N147" s="10" t="s">
        <v>179</v>
      </c>
    </row>
    <row r="148" spans="1:14" ht="41.4">
      <c r="A148" s="2" t="s">
        <v>353</v>
      </c>
      <c r="B148" s="4">
        <v>42215</v>
      </c>
      <c r="C148" s="2"/>
      <c r="D148" s="2" t="s">
        <v>15</v>
      </c>
      <c r="E148" s="2" t="s">
        <v>177</v>
      </c>
      <c r="F148" s="6">
        <v>3</v>
      </c>
      <c r="G148" s="8">
        <v>0</v>
      </c>
      <c r="H148" s="6">
        <v>3</v>
      </c>
      <c r="I148" s="2" t="s">
        <v>47</v>
      </c>
      <c r="J148" s="2" t="s">
        <v>17</v>
      </c>
      <c r="K148" s="2"/>
      <c r="L148" s="10" t="s">
        <v>354</v>
      </c>
      <c r="M148" s="10" t="s">
        <v>355</v>
      </c>
      <c r="N148" s="10" t="s">
        <v>179</v>
      </c>
    </row>
    <row r="149" spans="1:14" ht="41.4">
      <c r="A149" s="2" t="s">
        <v>356</v>
      </c>
      <c r="B149" s="4">
        <v>42268</v>
      </c>
      <c r="C149" s="2"/>
      <c r="D149" s="2" t="s">
        <v>15</v>
      </c>
      <c r="E149" s="2" t="s">
        <v>177</v>
      </c>
      <c r="F149" s="6">
        <v>3</v>
      </c>
      <c r="G149" s="8">
        <v>0</v>
      </c>
      <c r="H149" s="6">
        <v>3</v>
      </c>
      <c r="I149" s="2" t="s">
        <v>47</v>
      </c>
      <c r="J149" s="2" t="s">
        <v>244</v>
      </c>
      <c r="K149" s="2">
        <v>0</v>
      </c>
      <c r="L149" s="10" t="s">
        <v>357</v>
      </c>
      <c r="M149" s="10" t="s">
        <v>358</v>
      </c>
      <c r="N149" s="10" t="s">
        <v>179</v>
      </c>
    </row>
    <row r="150" spans="1:14" ht="41.4">
      <c r="A150" s="2" t="s">
        <v>359</v>
      </c>
      <c r="B150" s="4">
        <v>42306</v>
      </c>
      <c r="C150" s="2"/>
      <c r="D150" s="2" t="s">
        <v>15</v>
      </c>
      <c r="E150" s="2" t="s">
        <v>177</v>
      </c>
      <c r="F150" s="6">
        <v>3</v>
      </c>
      <c r="G150" s="8">
        <v>0</v>
      </c>
      <c r="H150" s="6">
        <v>3</v>
      </c>
      <c r="I150" s="2" t="s">
        <v>47</v>
      </c>
      <c r="J150" s="2" t="s">
        <v>244</v>
      </c>
      <c r="K150" s="2">
        <v>0</v>
      </c>
      <c r="L150" s="10" t="s">
        <v>360</v>
      </c>
      <c r="M150" s="10" t="s">
        <v>361</v>
      </c>
      <c r="N150" s="10" t="s">
        <v>179</v>
      </c>
    </row>
    <row r="151" spans="1:14" ht="41.4">
      <c r="A151" s="2" t="s">
        <v>362</v>
      </c>
      <c r="B151" s="4">
        <v>42355</v>
      </c>
      <c r="C151" s="2"/>
      <c r="D151" s="2" t="s">
        <v>15</v>
      </c>
      <c r="E151" s="2" t="s">
        <v>177</v>
      </c>
      <c r="F151" s="6">
        <v>3</v>
      </c>
      <c r="G151" s="8">
        <v>25</v>
      </c>
      <c r="H151" s="6">
        <v>3.25</v>
      </c>
      <c r="I151" s="2" t="s">
        <v>156</v>
      </c>
      <c r="J151" s="2" t="s">
        <v>244</v>
      </c>
      <c r="K151" s="2">
        <v>0</v>
      </c>
      <c r="L151" s="10" t="s">
        <v>363</v>
      </c>
      <c r="M151" s="10" t="s">
        <v>364</v>
      </c>
      <c r="N151" s="10" t="s">
        <v>179</v>
      </c>
    </row>
    <row r="152" spans="1:14" ht="41.4">
      <c r="A152" s="2" t="s">
        <v>365</v>
      </c>
      <c r="B152" s="4">
        <v>42404</v>
      </c>
      <c r="C152" s="2"/>
      <c r="D152" s="2" t="s">
        <v>15</v>
      </c>
      <c r="E152" s="2" t="s">
        <v>177</v>
      </c>
      <c r="F152" s="6">
        <v>3.25</v>
      </c>
      <c r="G152" s="8">
        <v>0</v>
      </c>
      <c r="H152" s="6">
        <v>3.25</v>
      </c>
      <c r="I152" s="2" t="s">
        <v>47</v>
      </c>
      <c r="J152" s="2" t="s">
        <v>244</v>
      </c>
      <c r="K152" s="2">
        <v>0</v>
      </c>
      <c r="L152" s="10" t="s">
        <v>366</v>
      </c>
      <c r="M152" s="10" t="s">
        <v>367</v>
      </c>
      <c r="N152" s="10" t="s">
        <v>179</v>
      </c>
    </row>
    <row r="153" spans="1:14" ht="41.4">
      <c r="A153" s="2" t="s">
        <v>368</v>
      </c>
      <c r="B153" s="4">
        <v>42417</v>
      </c>
      <c r="C153" s="2"/>
      <c r="D153" s="2" t="s">
        <v>369</v>
      </c>
      <c r="E153" s="2" t="s">
        <v>177</v>
      </c>
      <c r="F153" s="6">
        <v>3.25</v>
      </c>
      <c r="G153" s="8">
        <v>50</v>
      </c>
      <c r="H153" s="6">
        <v>3.75</v>
      </c>
      <c r="I153" s="2" t="s">
        <v>156</v>
      </c>
      <c r="J153" s="2" t="s">
        <v>17</v>
      </c>
      <c r="K153" s="2"/>
      <c r="L153" s="10" t="s">
        <v>370</v>
      </c>
      <c r="M153" s="10"/>
      <c r="N153" s="10" t="s">
        <v>179</v>
      </c>
    </row>
    <row r="154" spans="1:14" ht="41.4">
      <c r="A154" s="2" t="s">
        <v>371</v>
      </c>
      <c r="B154" s="4">
        <v>42447</v>
      </c>
      <c r="C154" s="2"/>
      <c r="D154" s="2" t="s">
        <v>15</v>
      </c>
      <c r="E154" s="2" t="s">
        <v>177</v>
      </c>
      <c r="F154" s="6">
        <v>3.75</v>
      </c>
      <c r="G154" s="8">
        <v>0</v>
      </c>
      <c r="H154" s="6">
        <v>3.75</v>
      </c>
      <c r="I154" s="2" t="s">
        <v>47</v>
      </c>
      <c r="J154" s="2" t="s">
        <v>244</v>
      </c>
      <c r="K154" s="2">
        <v>0</v>
      </c>
      <c r="L154" s="10" t="s">
        <v>372</v>
      </c>
      <c r="M154" s="10" t="s">
        <v>373</v>
      </c>
      <c r="N154" s="10" t="s">
        <v>179</v>
      </c>
    </row>
    <row r="155" spans="1:14" ht="41.4">
      <c r="A155" s="2" t="s">
        <v>374</v>
      </c>
      <c r="B155" s="4">
        <v>42495</v>
      </c>
      <c r="C155" s="2"/>
      <c r="D155" s="2" t="s">
        <v>15</v>
      </c>
      <c r="E155" s="2" t="s">
        <v>177</v>
      </c>
      <c r="F155" s="6">
        <v>3.75</v>
      </c>
      <c r="G155" s="8">
        <v>0</v>
      </c>
      <c r="H155" s="6">
        <v>3.75</v>
      </c>
      <c r="I155" s="2" t="s">
        <v>47</v>
      </c>
      <c r="J155" s="2" t="s">
        <v>244</v>
      </c>
      <c r="K155" s="2">
        <v>0</v>
      </c>
      <c r="L155" s="10" t="s">
        <v>375</v>
      </c>
      <c r="M155" s="10" t="s">
        <v>376</v>
      </c>
      <c r="N155" s="10" t="s">
        <v>179</v>
      </c>
    </row>
    <row r="156" spans="1:14" ht="41.4">
      <c r="A156" s="2" t="s">
        <v>377</v>
      </c>
      <c r="B156" s="4">
        <v>42551</v>
      </c>
      <c r="C156" s="2"/>
      <c r="D156" s="2" t="s">
        <v>15</v>
      </c>
      <c r="E156" s="2" t="s">
        <v>177</v>
      </c>
      <c r="F156" s="6">
        <v>3.75</v>
      </c>
      <c r="G156" s="8">
        <v>50</v>
      </c>
      <c r="H156" s="6">
        <v>4.25</v>
      </c>
      <c r="I156" s="2" t="s">
        <v>156</v>
      </c>
      <c r="J156" s="2" t="s">
        <v>244</v>
      </c>
      <c r="K156" s="2">
        <v>0</v>
      </c>
      <c r="L156" s="10" t="s">
        <v>378</v>
      </c>
      <c r="M156" s="10" t="s">
        <v>379</v>
      </c>
      <c r="N156" s="10" t="s">
        <v>179</v>
      </c>
    </row>
    <row r="157" spans="1:14" ht="41.4">
      <c r="A157" s="2" t="s">
        <v>380</v>
      </c>
      <c r="B157" s="4">
        <v>42593</v>
      </c>
      <c r="C157" s="2"/>
      <c r="D157" s="2" t="s">
        <v>15</v>
      </c>
      <c r="E157" s="2" t="s">
        <v>177</v>
      </c>
      <c r="F157" s="6">
        <v>4.25</v>
      </c>
      <c r="G157" s="8">
        <v>0</v>
      </c>
      <c r="H157" s="6">
        <v>4.25</v>
      </c>
      <c r="I157" s="2" t="s">
        <v>47</v>
      </c>
      <c r="J157" s="2" t="s">
        <v>244</v>
      </c>
      <c r="K157" s="2">
        <v>0</v>
      </c>
      <c r="L157" s="10" t="s">
        <v>381</v>
      </c>
      <c r="M157" s="10" t="s">
        <v>382</v>
      </c>
      <c r="N157" s="10" t="s">
        <v>179</v>
      </c>
    </row>
    <row r="158" spans="1:14" ht="41.4">
      <c r="A158" s="2" t="s">
        <v>383</v>
      </c>
      <c r="B158" s="4">
        <v>42642</v>
      </c>
      <c r="C158" s="2"/>
      <c r="D158" s="2" t="s">
        <v>15</v>
      </c>
      <c r="E158" s="2" t="s">
        <v>177</v>
      </c>
      <c r="F158" s="6">
        <v>4.25</v>
      </c>
      <c r="G158" s="8">
        <v>50</v>
      </c>
      <c r="H158" s="6">
        <v>4.75</v>
      </c>
      <c r="I158" s="2" t="s">
        <v>156</v>
      </c>
      <c r="J158" s="2" t="s">
        <v>244</v>
      </c>
      <c r="K158" s="2">
        <v>0</v>
      </c>
      <c r="L158" s="10" t="s">
        <v>384</v>
      </c>
      <c r="M158" s="10" t="s">
        <v>385</v>
      </c>
      <c r="N158" s="10" t="s">
        <v>179</v>
      </c>
    </row>
    <row r="159" spans="1:14" ht="41.4">
      <c r="A159" s="2" t="s">
        <v>386</v>
      </c>
      <c r="B159" s="4">
        <v>42691</v>
      </c>
      <c r="C159" s="2"/>
      <c r="D159" s="2" t="s">
        <v>15</v>
      </c>
      <c r="E159" s="2" t="s">
        <v>177</v>
      </c>
      <c r="F159" s="6">
        <v>4.75</v>
      </c>
      <c r="G159" s="8">
        <v>50</v>
      </c>
      <c r="H159" s="6">
        <v>5.25</v>
      </c>
      <c r="I159" s="2" t="s">
        <v>156</v>
      </c>
      <c r="J159" s="2" t="s">
        <v>244</v>
      </c>
      <c r="K159" s="2">
        <v>0</v>
      </c>
      <c r="L159" s="10" t="s">
        <v>387</v>
      </c>
      <c r="M159" s="10" t="s">
        <v>388</v>
      </c>
      <c r="N159" s="10" t="s">
        <v>179</v>
      </c>
    </row>
    <row r="160" spans="1:14" ht="41.4">
      <c r="A160" s="2" t="s">
        <v>389</v>
      </c>
      <c r="B160" s="4">
        <v>42719</v>
      </c>
      <c r="C160" s="2"/>
      <c r="D160" s="2" t="s">
        <v>15</v>
      </c>
      <c r="E160" s="2" t="s">
        <v>177</v>
      </c>
      <c r="F160" s="6">
        <v>5.25</v>
      </c>
      <c r="G160" s="8">
        <v>50</v>
      </c>
      <c r="H160" s="6">
        <v>5.75</v>
      </c>
      <c r="I160" s="2" t="s">
        <v>156</v>
      </c>
      <c r="J160" s="2" t="s">
        <v>17</v>
      </c>
      <c r="K160" s="2"/>
      <c r="L160" s="10" t="s">
        <v>390</v>
      </c>
      <c r="M160" s="10" t="s">
        <v>391</v>
      </c>
      <c r="N160" s="10" t="s">
        <v>179</v>
      </c>
    </row>
    <row r="161" spans="1:14" ht="41.4">
      <c r="A161" s="2" t="s">
        <v>392</v>
      </c>
      <c r="B161" s="4">
        <v>42775</v>
      </c>
      <c r="C161" s="2"/>
      <c r="D161" s="2" t="s">
        <v>15</v>
      </c>
      <c r="E161" s="2" t="s">
        <v>177</v>
      </c>
      <c r="F161" s="6">
        <v>5.75</v>
      </c>
      <c r="G161" s="8">
        <v>50</v>
      </c>
      <c r="H161" s="6">
        <v>6.25</v>
      </c>
      <c r="I161" s="2" t="s">
        <v>156</v>
      </c>
      <c r="J161" s="2" t="s">
        <v>244</v>
      </c>
      <c r="K161" s="2">
        <v>0</v>
      </c>
      <c r="L161" s="10" t="s">
        <v>393</v>
      </c>
      <c r="M161" s="10" t="s">
        <v>394</v>
      </c>
      <c r="N161" s="10" t="s">
        <v>179</v>
      </c>
    </row>
    <row r="162" spans="1:14" ht="41.4">
      <c r="A162" s="2" t="s">
        <v>395</v>
      </c>
      <c r="B162" s="4">
        <v>42824</v>
      </c>
      <c r="C162" s="2"/>
      <c r="D162" s="2" t="s">
        <v>15</v>
      </c>
      <c r="E162" s="2" t="s">
        <v>177</v>
      </c>
      <c r="F162" s="6">
        <v>6.25</v>
      </c>
      <c r="G162" s="8">
        <v>25</v>
      </c>
      <c r="H162" s="6">
        <v>6.5</v>
      </c>
      <c r="I162" s="2" t="s">
        <v>156</v>
      </c>
      <c r="J162" s="2" t="s">
        <v>244</v>
      </c>
      <c r="K162" s="2">
        <v>0</v>
      </c>
      <c r="L162" s="10" t="s">
        <v>396</v>
      </c>
      <c r="M162" s="10" t="s">
        <v>397</v>
      </c>
      <c r="N162" s="10" t="s">
        <v>179</v>
      </c>
    </row>
    <row r="163" spans="1:14" ht="41.4">
      <c r="A163" s="2" t="s">
        <v>398</v>
      </c>
      <c r="B163" s="4">
        <v>42873</v>
      </c>
      <c r="C163" s="2"/>
      <c r="D163" s="2" t="s">
        <v>15</v>
      </c>
      <c r="E163" s="2" t="s">
        <v>177</v>
      </c>
      <c r="F163" s="6">
        <v>6.5</v>
      </c>
      <c r="G163" s="8">
        <v>25</v>
      </c>
      <c r="H163" s="6">
        <v>6.75</v>
      </c>
      <c r="I163" s="2" t="s">
        <v>156</v>
      </c>
      <c r="J163" s="2" t="s">
        <v>17</v>
      </c>
      <c r="K163" s="2"/>
      <c r="L163" s="10" t="s">
        <v>399</v>
      </c>
      <c r="M163" s="10" t="s">
        <v>400</v>
      </c>
      <c r="N163" s="10" t="s">
        <v>179</v>
      </c>
    </row>
    <row r="164" spans="1:14" ht="41.4">
      <c r="A164" s="2" t="s">
        <v>401</v>
      </c>
      <c r="B164" s="4">
        <v>42908</v>
      </c>
      <c r="C164" s="2"/>
      <c r="D164" s="2" t="s">
        <v>15</v>
      </c>
      <c r="E164" s="2" t="s">
        <v>177</v>
      </c>
      <c r="F164" s="6">
        <v>6.75</v>
      </c>
      <c r="G164" s="8">
        <v>25</v>
      </c>
      <c r="H164" s="6">
        <v>7</v>
      </c>
      <c r="I164" s="2" t="s">
        <v>156</v>
      </c>
      <c r="J164" s="2" t="s">
        <v>17</v>
      </c>
      <c r="K164" s="2"/>
      <c r="L164" s="10" t="s">
        <v>402</v>
      </c>
      <c r="M164" s="10" t="s">
        <v>403</v>
      </c>
      <c r="N164" s="10" t="s">
        <v>179</v>
      </c>
    </row>
    <row r="165" spans="1:14" ht="41.4">
      <c r="A165" s="2" t="s">
        <v>404</v>
      </c>
      <c r="B165" s="4">
        <v>42957</v>
      </c>
      <c r="C165" s="2"/>
      <c r="D165" s="2" t="s">
        <v>15</v>
      </c>
      <c r="E165" s="2" t="s">
        <v>177</v>
      </c>
      <c r="F165" s="6">
        <v>7</v>
      </c>
      <c r="G165" s="8">
        <v>0</v>
      </c>
      <c r="H165" s="6">
        <v>7</v>
      </c>
      <c r="I165" s="2" t="s">
        <v>47</v>
      </c>
      <c r="J165" s="2" t="s">
        <v>244</v>
      </c>
      <c r="K165" s="2">
        <v>0</v>
      </c>
      <c r="L165" s="10" t="s">
        <v>405</v>
      </c>
      <c r="M165" s="10" t="s">
        <v>406</v>
      </c>
      <c r="N165" s="10" t="s">
        <v>179</v>
      </c>
    </row>
    <row r="166" spans="1:14" ht="41.4">
      <c r="A166" s="2" t="s">
        <v>407</v>
      </c>
      <c r="B166" s="4">
        <v>43006</v>
      </c>
      <c r="C166" s="2"/>
      <c r="D166" s="2" t="s">
        <v>15</v>
      </c>
      <c r="E166" s="2" t="s">
        <v>177</v>
      </c>
      <c r="F166" s="6">
        <v>7</v>
      </c>
      <c r="G166" s="8">
        <v>0</v>
      </c>
      <c r="H166" s="6">
        <v>7</v>
      </c>
      <c r="I166" s="2" t="s">
        <v>47</v>
      </c>
      <c r="J166" s="2" t="s">
        <v>17</v>
      </c>
      <c r="K166" s="2"/>
      <c r="L166" s="10" t="s">
        <v>408</v>
      </c>
      <c r="M166" s="10" t="s">
        <v>409</v>
      </c>
      <c r="N166" s="10" t="s">
        <v>179</v>
      </c>
    </row>
    <row r="167" spans="1:14" ht="41.4">
      <c r="A167" s="2" t="s">
        <v>410</v>
      </c>
      <c r="B167" s="4">
        <v>43048</v>
      </c>
      <c r="C167" s="2"/>
      <c r="D167" s="2" t="s">
        <v>15</v>
      </c>
      <c r="E167" s="2" t="s">
        <v>177</v>
      </c>
      <c r="F167" s="6">
        <v>7</v>
      </c>
      <c r="G167" s="8">
        <v>0</v>
      </c>
      <c r="H167" s="6">
        <v>7</v>
      </c>
      <c r="I167" s="2" t="s">
        <v>47</v>
      </c>
      <c r="J167" s="2" t="s">
        <v>17</v>
      </c>
      <c r="K167" s="2"/>
      <c r="L167" s="10" t="s">
        <v>411</v>
      </c>
      <c r="M167" s="10" t="s">
        <v>412</v>
      </c>
      <c r="N167" s="10" t="s">
        <v>179</v>
      </c>
    </row>
    <row r="168" spans="1:14" ht="41.4">
      <c r="A168" s="2" t="s">
        <v>413</v>
      </c>
      <c r="B168" s="4">
        <v>43083</v>
      </c>
      <c r="C168" s="2"/>
      <c r="D168" s="2" t="s">
        <v>15</v>
      </c>
      <c r="E168" s="2" t="s">
        <v>177</v>
      </c>
      <c r="F168" s="6">
        <v>7</v>
      </c>
      <c r="G168" s="8">
        <v>25</v>
      </c>
      <c r="H168" s="6">
        <v>7.25</v>
      </c>
      <c r="I168" s="2" t="s">
        <v>156</v>
      </c>
      <c r="J168" s="2" t="s">
        <v>17</v>
      </c>
      <c r="K168" s="2"/>
      <c r="L168" s="10" t="s">
        <v>414</v>
      </c>
      <c r="M168" s="10" t="s">
        <v>415</v>
      </c>
      <c r="N168" s="10" t="s">
        <v>179</v>
      </c>
    </row>
    <row r="169" spans="1:14" ht="41.4">
      <c r="A169" s="2" t="s">
        <v>416</v>
      </c>
      <c r="B169" s="4">
        <v>43139</v>
      </c>
      <c r="C169" s="2"/>
      <c r="D169" s="2" t="s">
        <v>15</v>
      </c>
      <c r="E169" s="2" t="s">
        <v>177</v>
      </c>
      <c r="F169" s="6">
        <v>7.25</v>
      </c>
      <c r="G169" s="8">
        <v>25</v>
      </c>
      <c r="H169" s="6">
        <v>7.5</v>
      </c>
      <c r="I169" s="2" t="s">
        <v>156</v>
      </c>
      <c r="J169" s="2" t="s">
        <v>244</v>
      </c>
      <c r="K169" s="2">
        <v>0</v>
      </c>
      <c r="L169" s="10" t="s">
        <v>417</v>
      </c>
      <c r="M169" s="10" t="s">
        <v>418</v>
      </c>
      <c r="N169" s="10" t="s">
        <v>179</v>
      </c>
    </row>
    <row r="170" spans="1:14" ht="41.4">
      <c r="A170" s="2" t="s">
        <v>419</v>
      </c>
      <c r="B170" s="4">
        <v>43202</v>
      </c>
      <c r="C170" s="2"/>
      <c r="D170" s="2" t="s">
        <v>15</v>
      </c>
      <c r="E170" s="2" t="s">
        <v>177</v>
      </c>
      <c r="F170" s="6">
        <v>7.5</v>
      </c>
      <c r="G170" s="8">
        <v>0</v>
      </c>
      <c r="H170" s="6">
        <v>7.5</v>
      </c>
      <c r="I170" s="2" t="s">
        <v>47</v>
      </c>
      <c r="J170" s="2" t="s">
        <v>17</v>
      </c>
      <c r="K170" s="2"/>
      <c r="L170" s="10" t="s">
        <v>420</v>
      </c>
      <c r="M170" s="10" t="s">
        <v>421</v>
      </c>
      <c r="N170" s="10" t="s">
        <v>179</v>
      </c>
    </row>
    <row r="171" spans="1:14" ht="41.4">
      <c r="A171" s="2" t="s">
        <v>422</v>
      </c>
      <c r="B171" s="4">
        <v>43237</v>
      </c>
      <c r="C171" s="2"/>
      <c r="D171" s="2" t="s">
        <v>15</v>
      </c>
      <c r="E171" s="2" t="s">
        <v>177</v>
      </c>
      <c r="F171" s="6">
        <v>7.5</v>
      </c>
      <c r="G171" s="8">
        <v>0</v>
      </c>
      <c r="H171" s="6">
        <v>7.5</v>
      </c>
      <c r="I171" s="2" t="s">
        <v>47</v>
      </c>
      <c r="J171" s="2" t="s">
        <v>244</v>
      </c>
      <c r="K171" s="2"/>
      <c r="L171" s="10" t="s">
        <v>423</v>
      </c>
      <c r="M171" s="10" t="s">
        <v>424</v>
      </c>
      <c r="N171" s="10" t="s">
        <v>179</v>
      </c>
    </row>
    <row r="172" spans="1:14" ht="41.4">
      <c r="A172" s="2" t="s">
        <v>425</v>
      </c>
      <c r="B172" s="4">
        <v>43272</v>
      </c>
      <c r="C172" s="2"/>
      <c r="D172" s="2" t="s">
        <v>15</v>
      </c>
      <c r="E172" s="2" t="s">
        <v>177</v>
      </c>
      <c r="F172" s="6">
        <v>7.5</v>
      </c>
      <c r="G172" s="8">
        <v>25</v>
      </c>
      <c r="H172" s="6">
        <v>7.75</v>
      </c>
      <c r="I172" s="2" t="s">
        <v>156</v>
      </c>
      <c r="J172" s="2" t="s">
        <v>244</v>
      </c>
      <c r="K172" s="2"/>
      <c r="L172" s="10" t="s">
        <v>426</v>
      </c>
      <c r="M172" s="10" t="s">
        <v>427</v>
      </c>
      <c r="N172" s="10" t="s">
        <v>179</v>
      </c>
    </row>
    <row r="173" spans="1:14" ht="41.4">
      <c r="A173" s="2" t="s">
        <v>428</v>
      </c>
      <c r="B173" s="4">
        <v>43314</v>
      </c>
      <c r="C173" s="2"/>
      <c r="D173" s="2" t="s">
        <v>15</v>
      </c>
      <c r="E173" s="2" t="s">
        <v>177</v>
      </c>
      <c r="F173" s="6">
        <v>7.75</v>
      </c>
      <c r="G173" s="8">
        <v>0</v>
      </c>
      <c r="H173" s="6">
        <v>7.75</v>
      </c>
      <c r="I173" s="2" t="s">
        <v>47</v>
      </c>
      <c r="J173" s="2" t="s">
        <v>244</v>
      </c>
      <c r="K173" s="2"/>
      <c r="L173" s="10" t="s">
        <v>429</v>
      </c>
      <c r="M173" s="10" t="s">
        <v>430</v>
      </c>
      <c r="N173" s="10" t="s">
        <v>179</v>
      </c>
    </row>
    <row r="174" spans="1:14" ht="41.4">
      <c r="A174" s="2" t="s">
        <v>431</v>
      </c>
      <c r="B174" s="4">
        <v>43377</v>
      </c>
      <c r="C174" s="2"/>
      <c r="D174" s="2" t="s">
        <v>15</v>
      </c>
      <c r="E174" s="2" t="s">
        <v>177</v>
      </c>
      <c r="F174" s="6">
        <v>7.75</v>
      </c>
      <c r="G174" s="8">
        <v>0</v>
      </c>
      <c r="H174" s="6">
        <v>7.75</v>
      </c>
      <c r="I174" s="2" t="s">
        <v>47</v>
      </c>
      <c r="J174" s="2" t="s">
        <v>308</v>
      </c>
      <c r="K174" s="2">
        <v>1</v>
      </c>
      <c r="L174" s="10" t="s">
        <v>432</v>
      </c>
      <c r="M174" s="10" t="s">
        <v>433</v>
      </c>
      <c r="N174" s="10" t="s">
        <v>179</v>
      </c>
    </row>
    <row r="175" spans="1:14" ht="41.4">
      <c r="A175" s="2" t="s">
        <v>434</v>
      </c>
      <c r="B175" s="4">
        <v>43419</v>
      </c>
      <c r="C175" s="2"/>
      <c r="D175" s="2" t="s">
        <v>15</v>
      </c>
      <c r="E175" s="2" t="s">
        <v>177</v>
      </c>
      <c r="F175" s="6">
        <v>7.75</v>
      </c>
      <c r="G175" s="8">
        <v>25</v>
      </c>
      <c r="H175" s="6">
        <v>8</v>
      </c>
      <c r="I175" s="2" t="s">
        <v>156</v>
      </c>
      <c r="J175" s="2" t="s">
        <v>308</v>
      </c>
      <c r="K175" s="2">
        <v>1</v>
      </c>
      <c r="L175" s="10" t="s">
        <v>435</v>
      </c>
      <c r="M175" s="10" t="s">
        <v>436</v>
      </c>
      <c r="N175" s="10" t="s">
        <v>179</v>
      </c>
    </row>
    <row r="176" spans="1:14" ht="41.4">
      <c r="A176" s="2" t="s">
        <v>437</v>
      </c>
      <c r="B176" s="4">
        <v>43454</v>
      </c>
      <c r="C176" s="2"/>
      <c r="D176" s="2" t="s">
        <v>15</v>
      </c>
      <c r="E176" s="2" t="s">
        <v>177</v>
      </c>
      <c r="F176" s="6">
        <v>8</v>
      </c>
      <c r="G176" s="8">
        <v>25</v>
      </c>
      <c r="H176" s="6">
        <v>8.25</v>
      </c>
      <c r="I176" s="2" t="s">
        <v>156</v>
      </c>
      <c r="J176" s="2" t="s">
        <v>244</v>
      </c>
      <c r="K176" s="2"/>
      <c r="L176" s="10" t="s">
        <v>438</v>
      </c>
      <c r="M176" s="10" t="s">
        <v>439</v>
      </c>
      <c r="N176" s="10" t="s">
        <v>179</v>
      </c>
    </row>
    <row r="177" spans="1:14" ht="41.4">
      <c r="A177" s="2" t="s">
        <v>440</v>
      </c>
      <c r="B177" s="4">
        <v>43503</v>
      </c>
      <c r="C177" s="2"/>
      <c r="D177" s="2" t="s">
        <v>15</v>
      </c>
      <c r="E177" s="2" t="s">
        <v>177</v>
      </c>
      <c r="F177" s="6">
        <v>8.25</v>
      </c>
      <c r="G177" s="8">
        <v>0</v>
      </c>
      <c r="H177" s="6">
        <v>8.25</v>
      </c>
      <c r="I177" s="2" t="s">
        <v>47</v>
      </c>
      <c r="J177" s="2" t="s">
        <v>244</v>
      </c>
      <c r="K177" s="2"/>
      <c r="L177" s="10" t="s">
        <v>441</v>
      </c>
      <c r="M177" s="10" t="s">
        <v>442</v>
      </c>
      <c r="N177" s="10" t="s">
        <v>179</v>
      </c>
    </row>
    <row r="178" spans="1:14" ht="41.4">
      <c r="A178" s="2" t="s">
        <v>443</v>
      </c>
      <c r="B178" s="4">
        <v>43552</v>
      </c>
      <c r="C178" s="2"/>
      <c r="D178" s="2" t="s">
        <v>15</v>
      </c>
      <c r="E178" s="2" t="s">
        <v>177</v>
      </c>
      <c r="F178" s="6">
        <v>8.25</v>
      </c>
      <c r="G178" s="8">
        <v>0</v>
      </c>
      <c r="H178" s="6">
        <v>8.25</v>
      </c>
      <c r="I178" s="2" t="s">
        <v>47</v>
      </c>
      <c r="J178" s="2" t="s">
        <v>244</v>
      </c>
      <c r="K178" s="2"/>
      <c r="L178" s="10" t="s">
        <v>444</v>
      </c>
      <c r="M178" s="10" t="s">
        <v>445</v>
      </c>
      <c r="N178" s="10" t="s">
        <v>179</v>
      </c>
    </row>
    <row r="179" spans="1:14" ht="41.4">
      <c r="A179" s="2" t="s">
        <v>446</v>
      </c>
      <c r="B179" s="4">
        <v>43601</v>
      </c>
      <c r="C179" s="2"/>
      <c r="D179" s="2" t="s">
        <v>15</v>
      </c>
      <c r="E179" s="2" t="s">
        <v>177</v>
      </c>
      <c r="F179" s="6">
        <v>8.25</v>
      </c>
      <c r="G179" s="8">
        <v>0</v>
      </c>
      <c r="H179" s="6">
        <v>8.25</v>
      </c>
      <c r="I179" s="2" t="s">
        <v>47</v>
      </c>
      <c r="J179" s="2" t="s">
        <v>244</v>
      </c>
      <c r="K179" s="2"/>
      <c r="L179" s="10" t="s">
        <v>447</v>
      </c>
      <c r="M179" s="10" t="s">
        <v>448</v>
      </c>
      <c r="N179" s="10" t="s">
        <v>179</v>
      </c>
    </row>
    <row r="180" spans="1:14" ht="41.4">
      <c r="A180" s="2" t="s">
        <v>449</v>
      </c>
      <c r="B180" s="4">
        <v>43643</v>
      </c>
      <c r="C180" s="2"/>
      <c r="D180" s="2" t="s">
        <v>15</v>
      </c>
      <c r="E180" s="2" t="s">
        <v>177</v>
      </c>
      <c r="F180" s="6">
        <v>8.25</v>
      </c>
      <c r="G180" s="8">
        <v>0</v>
      </c>
      <c r="H180" s="6">
        <v>8.25</v>
      </c>
      <c r="I180" s="2" t="s">
        <v>47</v>
      </c>
      <c r="J180" s="2" t="s">
        <v>308</v>
      </c>
      <c r="K180" s="2">
        <v>1</v>
      </c>
      <c r="L180" s="10" t="s">
        <v>450</v>
      </c>
      <c r="M180" s="10" t="s">
        <v>451</v>
      </c>
      <c r="N180" s="10" t="s">
        <v>179</v>
      </c>
    </row>
    <row r="181" spans="1:14" ht="41.4">
      <c r="A181" s="2" t="s">
        <v>452</v>
      </c>
      <c r="B181" s="4">
        <v>43692</v>
      </c>
      <c r="C181" s="2"/>
      <c r="D181" s="2" t="s">
        <v>15</v>
      </c>
      <c r="E181" s="2" t="s">
        <v>177</v>
      </c>
      <c r="F181" s="6">
        <v>8.25</v>
      </c>
      <c r="G181" s="8">
        <v>-25</v>
      </c>
      <c r="H181" s="6">
        <v>8</v>
      </c>
      <c r="I181" s="2" t="s">
        <v>199</v>
      </c>
      <c r="J181" s="2" t="s">
        <v>308</v>
      </c>
      <c r="K181" s="2">
        <v>1</v>
      </c>
      <c r="L181" s="10" t="s">
        <v>453</v>
      </c>
      <c r="M181" s="10" t="s">
        <v>454</v>
      </c>
      <c r="N181" s="10" t="s">
        <v>179</v>
      </c>
    </row>
    <row r="182" spans="1:14" ht="41.4">
      <c r="A182" s="2" t="s">
        <v>455</v>
      </c>
      <c r="B182" s="4">
        <v>43734</v>
      </c>
      <c r="C182" s="2"/>
      <c r="D182" s="2" t="s">
        <v>15</v>
      </c>
      <c r="E182" s="2" t="s">
        <v>177</v>
      </c>
      <c r="F182" s="6">
        <v>8</v>
      </c>
      <c r="G182" s="8">
        <v>-25</v>
      </c>
      <c r="H182" s="6">
        <v>7.75</v>
      </c>
      <c r="I182" s="2" t="s">
        <v>199</v>
      </c>
      <c r="J182" s="2" t="s">
        <v>308</v>
      </c>
      <c r="K182" s="2">
        <v>2</v>
      </c>
      <c r="L182" s="10" t="s">
        <v>456</v>
      </c>
      <c r="M182" s="10" t="s">
        <v>457</v>
      </c>
      <c r="N182" s="10" t="s">
        <v>179</v>
      </c>
    </row>
    <row r="183" spans="1:14" ht="41.4">
      <c r="A183" s="2" t="s">
        <v>458</v>
      </c>
      <c r="B183" s="4">
        <v>43783</v>
      </c>
      <c r="C183" s="2"/>
      <c r="D183" s="2" t="s">
        <v>15</v>
      </c>
      <c r="E183" s="2" t="s">
        <v>177</v>
      </c>
      <c r="F183" s="6">
        <v>7.75</v>
      </c>
      <c r="G183" s="8">
        <v>-25</v>
      </c>
      <c r="H183" s="6">
        <v>7.5</v>
      </c>
      <c r="I183" s="2" t="s">
        <v>199</v>
      </c>
      <c r="J183" s="2" t="s">
        <v>308</v>
      </c>
      <c r="K183" s="2">
        <v>2</v>
      </c>
      <c r="L183" s="10" t="s">
        <v>459</v>
      </c>
      <c r="M183" s="10" t="s">
        <v>460</v>
      </c>
      <c r="N183" s="10" t="s">
        <v>179</v>
      </c>
    </row>
    <row r="184" spans="1:14" ht="41.4">
      <c r="A184" s="2" t="s">
        <v>461</v>
      </c>
      <c r="B184" s="4">
        <v>43818</v>
      </c>
      <c r="C184" s="2"/>
      <c r="D184" s="2" t="s">
        <v>15</v>
      </c>
      <c r="E184" s="2" t="s">
        <v>177</v>
      </c>
      <c r="F184" s="6">
        <v>7.5</v>
      </c>
      <c r="G184" s="8">
        <v>-25</v>
      </c>
      <c r="H184" s="6">
        <v>7.25</v>
      </c>
      <c r="I184" s="2" t="s">
        <v>199</v>
      </c>
      <c r="J184" s="2" t="s">
        <v>308</v>
      </c>
      <c r="K184" s="2">
        <v>1</v>
      </c>
      <c r="L184" s="10" t="s">
        <v>462</v>
      </c>
      <c r="M184" s="10" t="s">
        <v>463</v>
      </c>
      <c r="N184" s="10" t="s">
        <v>179</v>
      </c>
    </row>
    <row r="185" spans="1:14" ht="41.4">
      <c r="A185" s="2" t="s">
        <v>464</v>
      </c>
      <c r="B185" s="4">
        <v>43874</v>
      </c>
      <c r="C185" s="2"/>
      <c r="D185" s="2" t="s">
        <v>15</v>
      </c>
      <c r="E185" s="2" t="s">
        <v>177</v>
      </c>
      <c r="F185" s="6">
        <v>7.25</v>
      </c>
      <c r="G185" s="8">
        <v>-25</v>
      </c>
      <c r="H185" s="6">
        <v>7</v>
      </c>
      <c r="I185" s="2" t="s">
        <v>199</v>
      </c>
      <c r="J185" s="2" t="s">
        <v>244</v>
      </c>
      <c r="K185" s="2"/>
      <c r="L185" s="10" t="s">
        <v>465</v>
      </c>
      <c r="M185" s="10" t="s">
        <v>466</v>
      </c>
      <c r="N185" s="10" t="s">
        <v>179</v>
      </c>
    </row>
    <row r="186" spans="1:14" ht="41.4">
      <c r="A186" s="2" t="s">
        <v>467</v>
      </c>
      <c r="B186" s="4">
        <v>43910</v>
      </c>
      <c r="C186" s="2"/>
      <c r="D186" s="2" t="s">
        <v>369</v>
      </c>
      <c r="E186" s="2" t="s">
        <v>177</v>
      </c>
      <c r="F186" s="6">
        <v>7</v>
      </c>
      <c r="G186" s="8">
        <v>-50</v>
      </c>
      <c r="H186" s="6">
        <v>6.5</v>
      </c>
      <c r="I186" s="2" t="s">
        <v>199</v>
      </c>
      <c r="J186" s="2" t="s">
        <v>308</v>
      </c>
      <c r="K186" s="2">
        <v>1</v>
      </c>
      <c r="L186" s="10" t="s">
        <v>468</v>
      </c>
      <c r="M186" s="10" t="s">
        <v>469</v>
      </c>
      <c r="N186" s="10" t="s">
        <v>179</v>
      </c>
    </row>
    <row r="187" spans="1:14" ht="41.4">
      <c r="A187" s="2" t="s">
        <v>470</v>
      </c>
      <c r="B187" s="4">
        <v>43942</v>
      </c>
      <c r="C187" s="2"/>
      <c r="D187" s="2" t="s">
        <v>369</v>
      </c>
      <c r="E187" s="2" t="s">
        <v>177</v>
      </c>
      <c r="F187" s="6">
        <v>6.5</v>
      </c>
      <c r="G187" s="8">
        <v>-50</v>
      </c>
      <c r="H187" s="6">
        <v>6</v>
      </c>
      <c r="I187" s="2" t="s">
        <v>199</v>
      </c>
      <c r="J187" s="2" t="s">
        <v>244</v>
      </c>
      <c r="K187" s="2"/>
      <c r="L187" s="10" t="s">
        <v>471</v>
      </c>
      <c r="M187" s="10" t="s">
        <v>472</v>
      </c>
      <c r="N187" s="10" t="s">
        <v>179</v>
      </c>
    </row>
    <row r="188" spans="1:14" ht="41.4">
      <c r="A188" s="2" t="s">
        <v>473</v>
      </c>
      <c r="B188" s="4">
        <v>43965</v>
      </c>
      <c r="C188" s="2"/>
      <c r="D188" s="2" t="s">
        <v>15</v>
      </c>
      <c r="E188" s="2" t="s">
        <v>177</v>
      </c>
      <c r="F188" s="6">
        <v>6</v>
      </c>
      <c r="G188" s="8">
        <v>-50</v>
      </c>
      <c r="H188" s="6">
        <v>5.5</v>
      </c>
      <c r="I188" s="2" t="s">
        <v>199</v>
      </c>
      <c r="J188" s="2" t="s">
        <v>244</v>
      </c>
      <c r="K188" s="2"/>
      <c r="L188" s="10" t="s">
        <v>474</v>
      </c>
      <c r="M188" s="10" t="s">
        <v>475</v>
      </c>
      <c r="N188" s="10" t="s">
        <v>179</v>
      </c>
    </row>
    <row r="189" spans="1:14" ht="41.4">
      <c r="A189" s="2" t="s">
        <v>476</v>
      </c>
      <c r="B189" s="4">
        <v>44007</v>
      </c>
      <c r="C189" s="2"/>
      <c r="D189" s="2" t="s">
        <v>15</v>
      </c>
      <c r="E189" s="2" t="s">
        <v>177</v>
      </c>
      <c r="F189" s="6">
        <v>5.5</v>
      </c>
      <c r="G189" s="8">
        <v>-50</v>
      </c>
      <c r="H189" s="6">
        <v>5</v>
      </c>
      <c r="I189" s="2" t="s">
        <v>199</v>
      </c>
      <c r="J189" s="2" t="s">
        <v>244</v>
      </c>
      <c r="K189" s="2"/>
      <c r="L189" s="10" t="s">
        <v>477</v>
      </c>
      <c r="M189" s="10" t="s">
        <v>478</v>
      </c>
      <c r="N189" s="10" t="s">
        <v>179</v>
      </c>
    </row>
    <row r="190" spans="1:14" ht="41.4">
      <c r="A190" s="2" t="s">
        <v>479</v>
      </c>
      <c r="B190" s="4">
        <v>44056</v>
      </c>
      <c r="C190" s="2"/>
      <c r="D190" s="2" t="s">
        <v>15</v>
      </c>
      <c r="E190" s="2" t="s">
        <v>177</v>
      </c>
      <c r="F190" s="6">
        <v>5</v>
      </c>
      <c r="G190" s="8">
        <v>-50</v>
      </c>
      <c r="H190" s="6">
        <v>4.5</v>
      </c>
      <c r="I190" s="2" t="s">
        <v>199</v>
      </c>
      <c r="J190" s="2" t="s">
        <v>308</v>
      </c>
      <c r="K190" s="2">
        <v>1</v>
      </c>
      <c r="L190" s="10" t="s">
        <v>480</v>
      </c>
      <c r="M190" s="10" t="s">
        <v>481</v>
      </c>
      <c r="N190" s="10" t="s">
        <v>179</v>
      </c>
    </row>
    <row r="191" spans="1:14" ht="41.4">
      <c r="A191" s="2" t="s">
        <v>482</v>
      </c>
      <c r="B191" s="4">
        <v>44098</v>
      </c>
      <c r="C191" s="2"/>
      <c r="D191" s="2" t="s">
        <v>15</v>
      </c>
      <c r="E191" s="2" t="s">
        <v>177</v>
      </c>
      <c r="F191" s="6">
        <v>4.5</v>
      </c>
      <c r="G191" s="8">
        <v>-25</v>
      </c>
      <c r="H191" s="6">
        <v>4.25</v>
      </c>
      <c r="I191" s="2" t="s">
        <v>199</v>
      </c>
      <c r="J191" s="2" t="s">
        <v>244</v>
      </c>
      <c r="K191" s="2"/>
      <c r="L191" s="10" t="s">
        <v>483</v>
      </c>
      <c r="M191" s="10" t="s">
        <v>484</v>
      </c>
      <c r="N191" s="10" t="s">
        <v>179</v>
      </c>
    </row>
    <row r="192" spans="1:14" ht="41.4">
      <c r="A192" s="2" t="s">
        <v>485</v>
      </c>
      <c r="B192" s="4">
        <v>44147</v>
      </c>
      <c r="C192" s="2"/>
      <c r="D192" s="2" t="s">
        <v>15</v>
      </c>
      <c r="E192" s="2" t="s">
        <v>177</v>
      </c>
      <c r="F192" s="6">
        <v>4.25</v>
      </c>
      <c r="G192" s="8">
        <v>0</v>
      </c>
      <c r="H192" s="6">
        <v>4.25</v>
      </c>
      <c r="I192" s="2" t="s">
        <v>47</v>
      </c>
      <c r="J192" s="2" t="s">
        <v>308</v>
      </c>
      <c r="K192" s="2">
        <v>1</v>
      </c>
      <c r="L192" s="10" t="s">
        <v>486</v>
      </c>
      <c r="M192" s="10" t="s">
        <v>487</v>
      </c>
      <c r="N192" s="10" t="s">
        <v>179</v>
      </c>
    </row>
    <row r="193" spans="1:14" ht="41.4">
      <c r="A193" s="2" t="s">
        <v>488</v>
      </c>
      <c r="B193" s="4">
        <v>44182</v>
      </c>
      <c r="C193" s="2"/>
      <c r="D193" s="2" t="s">
        <v>15</v>
      </c>
      <c r="E193" s="2" t="s">
        <v>177</v>
      </c>
      <c r="F193" s="6">
        <v>4.25</v>
      </c>
      <c r="G193" s="8">
        <v>0</v>
      </c>
      <c r="H193" s="6">
        <v>4.25</v>
      </c>
      <c r="I193" s="2" t="s">
        <v>47</v>
      </c>
      <c r="J193" s="2" t="s">
        <v>308</v>
      </c>
      <c r="K193" s="2">
        <v>2</v>
      </c>
      <c r="L193" s="10" t="s">
        <v>489</v>
      </c>
      <c r="M193" s="10" t="s">
        <v>490</v>
      </c>
      <c r="N193" s="10" t="s">
        <v>179</v>
      </c>
    </row>
    <row r="194" spans="1:14" ht="41.4">
      <c r="A194" s="2" t="s">
        <v>491</v>
      </c>
      <c r="B194" s="4">
        <v>44238</v>
      </c>
      <c r="C194" s="2"/>
      <c r="D194" s="2" t="s">
        <v>15</v>
      </c>
      <c r="E194" s="2" t="s">
        <v>177</v>
      </c>
      <c r="F194" s="6">
        <v>4.25</v>
      </c>
      <c r="G194" s="8">
        <v>-25</v>
      </c>
      <c r="H194" s="6">
        <v>4</v>
      </c>
      <c r="I194" s="2" t="s">
        <v>199</v>
      </c>
      <c r="J194" s="2" t="s">
        <v>244</v>
      </c>
      <c r="K194" s="2"/>
      <c r="L194" s="10" t="s">
        <v>492</v>
      </c>
      <c r="M194" s="10" t="s">
        <v>493</v>
      </c>
      <c r="N194" s="10" t="s">
        <v>179</v>
      </c>
    </row>
    <row r="195" spans="1:14" ht="41.4">
      <c r="A195" s="2" t="s">
        <v>494</v>
      </c>
      <c r="B195" s="4">
        <v>44280</v>
      </c>
      <c r="C195" s="2"/>
      <c r="D195" s="2" t="s">
        <v>15</v>
      </c>
      <c r="E195" s="2" t="s">
        <v>177</v>
      </c>
      <c r="F195" s="6">
        <v>4</v>
      </c>
      <c r="G195" s="8">
        <v>0</v>
      </c>
      <c r="H195" s="6">
        <v>4</v>
      </c>
      <c r="I195" s="2" t="s">
        <v>47</v>
      </c>
      <c r="J195" s="2" t="s">
        <v>244</v>
      </c>
      <c r="K195" s="2"/>
      <c r="L195" s="10" t="s">
        <v>495</v>
      </c>
      <c r="M195" s="10" t="s">
        <v>496</v>
      </c>
      <c r="N195" s="10" t="s">
        <v>179</v>
      </c>
    </row>
    <row r="196" spans="1:14" ht="41.4">
      <c r="A196" s="2" t="s">
        <v>497</v>
      </c>
      <c r="B196" s="4">
        <v>44329</v>
      </c>
      <c r="C196" s="2"/>
      <c r="D196" s="2" t="s">
        <v>15</v>
      </c>
      <c r="E196" s="2" t="s">
        <v>177</v>
      </c>
      <c r="F196" s="6">
        <v>4</v>
      </c>
      <c r="G196" s="8">
        <v>0</v>
      </c>
      <c r="H196" s="6">
        <v>4</v>
      </c>
      <c r="I196" s="2" t="s">
        <v>47</v>
      </c>
      <c r="J196" s="2" t="s">
        <v>244</v>
      </c>
      <c r="K196" s="2"/>
      <c r="L196" s="10" t="s">
        <v>498</v>
      </c>
      <c r="M196" s="10" t="s">
        <v>499</v>
      </c>
      <c r="N196" s="10" t="s">
        <v>179</v>
      </c>
    </row>
    <row r="197" spans="1:14" ht="41.4">
      <c r="A197" s="2" t="s">
        <v>500</v>
      </c>
      <c r="B197" s="4">
        <v>44371</v>
      </c>
      <c r="C197" s="2"/>
      <c r="D197" s="2" t="s">
        <v>15</v>
      </c>
      <c r="E197" s="2" t="s">
        <v>177</v>
      </c>
      <c r="F197" s="6">
        <v>4</v>
      </c>
      <c r="G197" s="8">
        <v>25</v>
      </c>
      <c r="H197" s="6">
        <v>4.25</v>
      </c>
      <c r="I197" s="2" t="s">
        <v>156</v>
      </c>
      <c r="J197" s="2" t="s">
        <v>308</v>
      </c>
      <c r="K197" s="2">
        <v>2</v>
      </c>
      <c r="L197" s="10" t="s">
        <v>501</v>
      </c>
      <c r="M197" s="10" t="s">
        <v>502</v>
      </c>
      <c r="N197" s="10" t="s">
        <v>179</v>
      </c>
    </row>
    <row r="198" spans="1:14" ht="41.4">
      <c r="A198" s="2" t="s">
        <v>503</v>
      </c>
      <c r="B198" s="4">
        <v>44420</v>
      </c>
      <c r="C198" s="2"/>
      <c r="D198" s="2" t="s">
        <v>15</v>
      </c>
      <c r="E198" s="2" t="s">
        <v>177</v>
      </c>
      <c r="F198" s="6">
        <v>4.25</v>
      </c>
      <c r="G198" s="8">
        <v>25</v>
      </c>
      <c r="H198" s="6">
        <v>4.5</v>
      </c>
      <c r="I198" s="2" t="s">
        <v>156</v>
      </c>
      <c r="J198" s="2" t="s">
        <v>308</v>
      </c>
      <c r="K198" s="2">
        <v>2</v>
      </c>
      <c r="L198" s="10" t="s">
        <v>504</v>
      </c>
      <c r="M198" s="10" t="s">
        <v>505</v>
      </c>
      <c r="N198" s="10" t="s">
        <v>179</v>
      </c>
    </row>
    <row r="199" spans="1:14" ht="41.4">
      <c r="A199" s="2" t="s">
        <v>506</v>
      </c>
      <c r="B199" s="4">
        <v>44469</v>
      </c>
      <c r="C199" s="2"/>
      <c r="D199" s="2" t="s">
        <v>15</v>
      </c>
      <c r="E199" s="2" t="s">
        <v>177</v>
      </c>
      <c r="F199" s="6">
        <v>4.5</v>
      </c>
      <c r="G199" s="8">
        <v>25</v>
      </c>
      <c r="H199" s="6">
        <v>4.75</v>
      </c>
      <c r="I199" s="2" t="s">
        <v>156</v>
      </c>
      <c r="J199" s="2" t="s">
        <v>308</v>
      </c>
      <c r="K199" s="2">
        <v>1</v>
      </c>
      <c r="L199" s="10" t="s">
        <v>507</v>
      </c>
      <c r="M199" s="10" t="s">
        <v>508</v>
      </c>
      <c r="N199" s="10" t="s">
        <v>179</v>
      </c>
    </row>
    <row r="200" spans="1:14" ht="41.4">
      <c r="A200" s="2" t="s">
        <v>509</v>
      </c>
      <c r="B200" s="4">
        <v>44511</v>
      </c>
      <c r="C200" s="2"/>
      <c r="D200" s="2" t="s">
        <v>15</v>
      </c>
      <c r="E200" s="2" t="s">
        <v>177</v>
      </c>
      <c r="F200" s="6">
        <v>4.75</v>
      </c>
      <c r="G200" s="8">
        <v>25</v>
      </c>
      <c r="H200" s="6">
        <v>5</v>
      </c>
      <c r="I200" s="2" t="s">
        <v>156</v>
      </c>
      <c r="J200" s="2" t="s">
        <v>308</v>
      </c>
      <c r="K200" s="2">
        <v>1</v>
      </c>
      <c r="L200" s="10" t="s">
        <v>510</v>
      </c>
      <c r="M200" s="10" t="s">
        <v>511</v>
      </c>
      <c r="N200" s="10" t="s">
        <v>179</v>
      </c>
    </row>
    <row r="201" spans="1:14" ht="41.4">
      <c r="A201" s="2" t="s">
        <v>512</v>
      </c>
      <c r="B201" s="4">
        <v>44546</v>
      </c>
      <c r="C201" s="2"/>
      <c r="D201" s="2" t="s">
        <v>15</v>
      </c>
      <c r="E201" s="2" t="s">
        <v>177</v>
      </c>
      <c r="F201" s="6">
        <v>5</v>
      </c>
      <c r="G201" s="8">
        <v>50</v>
      </c>
      <c r="H201" s="6">
        <v>5.5</v>
      </c>
      <c r="I201" s="2" t="s">
        <v>156</v>
      </c>
      <c r="J201" s="2" t="s">
        <v>308</v>
      </c>
      <c r="K201" s="2">
        <v>1</v>
      </c>
      <c r="L201" s="10" t="s">
        <v>513</v>
      </c>
      <c r="M201" s="10" t="s">
        <v>514</v>
      </c>
      <c r="N201" s="10" t="s">
        <v>179</v>
      </c>
    </row>
    <row r="202" spans="1:14" ht="41.4">
      <c r="A202" s="2" t="s">
        <v>515</v>
      </c>
      <c r="B202" s="4">
        <v>44602</v>
      </c>
      <c r="C202" s="2"/>
      <c r="D202" s="2" t="s">
        <v>15</v>
      </c>
      <c r="E202" s="2" t="s">
        <v>177</v>
      </c>
      <c r="F202" s="6">
        <v>5.5</v>
      </c>
      <c r="G202" s="8">
        <v>50</v>
      </c>
      <c r="H202" s="6">
        <v>6</v>
      </c>
      <c r="I202" s="2" t="s">
        <v>156</v>
      </c>
      <c r="J202" s="2" t="s">
        <v>308</v>
      </c>
      <c r="K202" s="2">
        <v>1</v>
      </c>
      <c r="L202" s="10" t="s">
        <v>516</v>
      </c>
      <c r="M202" s="10" t="s">
        <v>517</v>
      </c>
      <c r="N202" s="10" t="s">
        <v>179</v>
      </c>
    </row>
    <row r="203" spans="1:14" ht="41.4">
      <c r="A203" s="2" t="s">
        <v>518</v>
      </c>
      <c r="B203" s="4">
        <v>44644</v>
      </c>
      <c r="C203" s="2"/>
      <c r="D203" s="2" t="s">
        <v>15</v>
      </c>
      <c r="E203" s="2" t="s">
        <v>177</v>
      </c>
      <c r="F203" s="6">
        <v>6</v>
      </c>
      <c r="G203" s="8">
        <v>50</v>
      </c>
      <c r="H203" s="6">
        <v>6.5</v>
      </c>
      <c r="I203" s="2" t="s">
        <v>156</v>
      </c>
      <c r="J203" s="2" t="s">
        <v>244</v>
      </c>
      <c r="K203" s="2"/>
      <c r="L203" s="10" t="s">
        <v>519</v>
      </c>
      <c r="M203" s="10" t="s">
        <v>520</v>
      </c>
      <c r="N203" s="10" t="s">
        <v>179</v>
      </c>
    </row>
    <row r="204" spans="1:14" ht="41.4">
      <c r="A204" s="2" t="s">
        <v>521</v>
      </c>
      <c r="B204" s="4">
        <v>44693</v>
      </c>
      <c r="C204" s="2"/>
      <c r="D204" s="2" t="s">
        <v>15</v>
      </c>
      <c r="E204" s="2" t="s">
        <v>177</v>
      </c>
      <c r="F204" s="6">
        <v>6.5</v>
      </c>
      <c r="G204" s="8">
        <v>50</v>
      </c>
      <c r="H204" s="6">
        <v>7</v>
      </c>
      <c r="I204" s="2" t="s">
        <v>156</v>
      </c>
      <c r="J204" s="2" t="s">
        <v>308</v>
      </c>
      <c r="K204" s="2">
        <v>1</v>
      </c>
      <c r="L204" s="10" t="s">
        <v>522</v>
      </c>
      <c r="M204" s="10" t="s">
        <v>523</v>
      </c>
      <c r="N204" s="10" t="s">
        <v>179</v>
      </c>
    </row>
    <row r="205" spans="1:14" ht="41.4">
      <c r="A205" s="2" t="s">
        <v>524</v>
      </c>
      <c r="B205" s="4">
        <v>44735</v>
      </c>
      <c r="C205" s="2"/>
      <c r="D205" s="2" t="s">
        <v>15</v>
      </c>
      <c r="E205" s="2" t="s">
        <v>177</v>
      </c>
      <c r="F205" s="6">
        <v>7</v>
      </c>
      <c r="G205" s="8">
        <v>75</v>
      </c>
      <c r="H205" s="6">
        <v>7.75</v>
      </c>
      <c r="I205" s="2" t="s">
        <v>156</v>
      </c>
      <c r="J205" s="2" t="s">
        <v>244</v>
      </c>
      <c r="K205" s="2"/>
      <c r="L205" s="10" t="s">
        <v>525</v>
      </c>
      <c r="M205" s="10" t="s">
        <v>526</v>
      </c>
      <c r="N205" s="10" t="s">
        <v>179</v>
      </c>
    </row>
    <row r="206" spans="1:14" ht="41.4">
      <c r="A206" s="2" t="s">
        <v>527</v>
      </c>
      <c r="B206" s="4">
        <v>44784</v>
      </c>
      <c r="C206" s="2"/>
      <c r="D206" s="2" t="s">
        <v>15</v>
      </c>
      <c r="E206" s="2" t="s">
        <v>177</v>
      </c>
      <c r="F206" s="6">
        <v>7.75</v>
      </c>
      <c r="G206" s="8">
        <v>75</v>
      </c>
      <c r="H206" s="6">
        <v>8.5</v>
      </c>
      <c r="I206" s="2" t="s">
        <v>156</v>
      </c>
      <c r="J206" s="2" t="s">
        <v>244</v>
      </c>
      <c r="K206" s="2"/>
      <c r="L206" s="10" t="s">
        <v>528</v>
      </c>
      <c r="M206" s="10" t="s">
        <v>529</v>
      </c>
      <c r="N206" s="10" t="s">
        <v>179</v>
      </c>
    </row>
    <row r="207" spans="1:14" ht="41.4">
      <c r="A207" s="2" t="s">
        <v>530</v>
      </c>
      <c r="B207" s="4">
        <v>44833</v>
      </c>
      <c r="C207" s="2"/>
      <c r="D207" s="2" t="s">
        <v>15</v>
      </c>
      <c r="E207" s="2" t="s">
        <v>177</v>
      </c>
      <c r="F207" s="6">
        <v>8.5</v>
      </c>
      <c r="G207" s="8">
        <v>75</v>
      </c>
      <c r="H207" s="6">
        <v>9.25</v>
      </c>
      <c r="I207" s="2" t="s">
        <v>156</v>
      </c>
      <c r="J207" s="2" t="s">
        <v>244</v>
      </c>
      <c r="K207" s="2"/>
      <c r="L207" s="10" t="s">
        <v>531</v>
      </c>
      <c r="M207" s="10" t="s">
        <v>532</v>
      </c>
      <c r="N207" s="10" t="s">
        <v>179</v>
      </c>
    </row>
    <row r="208" spans="1:14" ht="41.4">
      <c r="A208" s="2" t="s">
        <v>533</v>
      </c>
      <c r="B208" s="4">
        <v>44875</v>
      </c>
      <c r="C208" s="2"/>
      <c r="D208" s="2" t="s">
        <v>15</v>
      </c>
      <c r="E208" s="2" t="s">
        <v>177</v>
      </c>
      <c r="F208" s="6">
        <v>9.25</v>
      </c>
      <c r="G208" s="8">
        <v>75</v>
      </c>
      <c r="H208" s="6">
        <v>10</v>
      </c>
      <c r="I208" s="2" t="s">
        <v>156</v>
      </c>
      <c r="J208" s="2" t="s">
        <v>308</v>
      </c>
      <c r="K208" s="2">
        <v>1</v>
      </c>
      <c r="L208" s="10" t="s">
        <v>534</v>
      </c>
      <c r="M208" s="10" t="s">
        <v>535</v>
      </c>
      <c r="N208" s="10" t="s">
        <v>179</v>
      </c>
    </row>
    <row r="209" spans="1:14" ht="41.4">
      <c r="A209" s="2" t="s">
        <v>536</v>
      </c>
      <c r="B209" s="4">
        <v>44910</v>
      </c>
      <c r="C209" s="2"/>
      <c r="D209" s="2" t="s">
        <v>15</v>
      </c>
      <c r="E209" s="2" t="s">
        <v>177</v>
      </c>
      <c r="F209" s="6">
        <v>10</v>
      </c>
      <c r="G209" s="8">
        <v>50</v>
      </c>
      <c r="H209" s="6">
        <v>10.5</v>
      </c>
      <c r="I209" s="2" t="s">
        <v>156</v>
      </c>
      <c r="J209" s="2" t="s">
        <v>308</v>
      </c>
      <c r="K209" s="2">
        <v>1</v>
      </c>
      <c r="L209" s="10" t="s">
        <v>537</v>
      </c>
      <c r="M209" s="10" t="s">
        <v>538</v>
      </c>
      <c r="N209" s="10" t="s">
        <v>179</v>
      </c>
    </row>
    <row r="210" spans="1:14" ht="41.4">
      <c r="A210" s="2" t="s">
        <v>539</v>
      </c>
      <c r="B210" s="4">
        <v>44966</v>
      </c>
      <c r="C210" s="2"/>
      <c r="D210" s="2" t="s">
        <v>15</v>
      </c>
      <c r="E210" s="2" t="s">
        <v>177</v>
      </c>
      <c r="F210" s="6">
        <v>10.5</v>
      </c>
      <c r="G210" s="8">
        <v>50</v>
      </c>
      <c r="H210" s="6">
        <v>11</v>
      </c>
      <c r="I210" s="2" t="s">
        <v>156</v>
      </c>
      <c r="J210" s="2" t="s">
        <v>244</v>
      </c>
      <c r="K210" s="2"/>
      <c r="L210" s="10" t="s">
        <v>540</v>
      </c>
      <c r="M210" s="10" t="s">
        <v>541</v>
      </c>
      <c r="N210" s="10" t="s">
        <v>179</v>
      </c>
    </row>
    <row r="211" spans="1:14" ht="41.4">
      <c r="A211" s="2" t="s">
        <v>542</v>
      </c>
      <c r="B211" s="4">
        <v>45015</v>
      </c>
      <c r="C211" s="2"/>
      <c r="D211" s="2" t="s">
        <v>15</v>
      </c>
      <c r="E211" s="2" t="s">
        <v>177</v>
      </c>
      <c r="F211" s="6">
        <v>11</v>
      </c>
      <c r="G211" s="8">
        <v>25</v>
      </c>
      <c r="H211" s="6">
        <v>11.25</v>
      </c>
      <c r="I211" s="2" t="s">
        <v>156</v>
      </c>
      <c r="J211" s="2" t="s">
        <v>244</v>
      </c>
      <c r="K211" s="2"/>
      <c r="L211" s="10" t="s">
        <v>543</v>
      </c>
      <c r="M211" s="10" t="s">
        <v>544</v>
      </c>
      <c r="N211" s="10" t="s">
        <v>179</v>
      </c>
    </row>
    <row r="212" spans="1:14" ht="41.4">
      <c r="A212" s="2" t="s">
        <v>545</v>
      </c>
      <c r="B212" s="4">
        <v>45064</v>
      </c>
      <c r="C212" s="2"/>
      <c r="D212" s="2" t="s">
        <v>15</v>
      </c>
      <c r="E212" s="2" t="s">
        <v>177</v>
      </c>
      <c r="F212" s="6">
        <v>11.25</v>
      </c>
      <c r="G212" s="8">
        <v>0</v>
      </c>
      <c r="H212" s="6">
        <v>11.25</v>
      </c>
      <c r="I212" s="2" t="s">
        <v>47</v>
      </c>
      <c r="J212" s="2" t="s">
        <v>244</v>
      </c>
      <c r="K212" s="2"/>
      <c r="L212" s="10" t="s">
        <v>546</v>
      </c>
      <c r="M212" s="10" t="s">
        <v>547</v>
      </c>
      <c r="N212" s="10" t="s">
        <v>179</v>
      </c>
    </row>
    <row r="213" spans="1:14" ht="41.4">
      <c r="A213" s="2" t="s">
        <v>548</v>
      </c>
      <c r="B213" s="4">
        <v>45099</v>
      </c>
      <c r="C213" s="2"/>
      <c r="D213" s="2" t="s">
        <v>15</v>
      </c>
      <c r="E213" s="2" t="s">
        <v>177</v>
      </c>
      <c r="F213" s="6">
        <v>11.25</v>
      </c>
      <c r="G213" s="8">
        <v>0</v>
      </c>
      <c r="H213" s="6">
        <v>11.25</v>
      </c>
      <c r="I213" s="2" t="s">
        <v>47</v>
      </c>
      <c r="J213" s="2" t="s">
        <v>244</v>
      </c>
      <c r="K213" s="2"/>
      <c r="L213" s="10" t="s">
        <v>549</v>
      </c>
      <c r="M213" s="10" t="s">
        <v>550</v>
      </c>
      <c r="N213" s="10" t="s">
        <v>179</v>
      </c>
    </row>
    <row r="214" spans="1:14" ht="41.4">
      <c r="A214" s="2" t="s">
        <v>551</v>
      </c>
      <c r="B214" s="4">
        <v>45148</v>
      </c>
      <c r="C214" s="2"/>
      <c r="D214" s="2" t="s">
        <v>15</v>
      </c>
      <c r="E214" s="2" t="s">
        <v>177</v>
      </c>
      <c r="F214" s="6">
        <v>11.25</v>
      </c>
      <c r="G214" s="8">
        <v>0</v>
      </c>
      <c r="H214" s="6">
        <v>11.25</v>
      </c>
      <c r="I214" s="2" t="s">
        <v>47</v>
      </c>
      <c r="J214" s="2" t="s">
        <v>244</v>
      </c>
      <c r="K214" s="2"/>
      <c r="L214" s="10" t="s">
        <v>552</v>
      </c>
      <c r="M214" s="10" t="s">
        <v>553</v>
      </c>
      <c r="N214" s="10" t="s">
        <v>179</v>
      </c>
    </row>
    <row r="215" spans="1:14" ht="41.4">
      <c r="A215" s="2" t="s">
        <v>554</v>
      </c>
      <c r="B215" s="4">
        <v>45197</v>
      </c>
      <c r="C215" s="2"/>
      <c r="D215" s="2" t="s">
        <v>15</v>
      </c>
      <c r="E215" s="2" t="s">
        <v>177</v>
      </c>
      <c r="F215" s="6">
        <v>11.25</v>
      </c>
      <c r="G215" s="8">
        <v>0</v>
      </c>
      <c r="H215" s="6">
        <v>11.25</v>
      </c>
      <c r="I215" s="2" t="s">
        <v>47</v>
      </c>
      <c r="J215" s="2" t="s">
        <v>244</v>
      </c>
      <c r="K215" s="2"/>
      <c r="L215" s="10" t="s">
        <v>555</v>
      </c>
      <c r="M215" s="10" t="s">
        <v>556</v>
      </c>
      <c r="N215" s="10" t="s">
        <v>179</v>
      </c>
    </row>
    <row r="216" spans="1:14" ht="41.4">
      <c r="A216" s="2" t="s">
        <v>557</v>
      </c>
      <c r="B216" s="4">
        <v>45239</v>
      </c>
      <c r="C216" s="2"/>
      <c r="D216" s="2" t="s">
        <v>15</v>
      </c>
      <c r="E216" s="2" t="s">
        <v>177</v>
      </c>
      <c r="F216" s="6">
        <v>11.25</v>
      </c>
      <c r="G216" s="8">
        <v>0</v>
      </c>
      <c r="H216" s="6">
        <v>11.25</v>
      </c>
      <c r="I216" s="2" t="s">
        <v>47</v>
      </c>
      <c r="J216" s="2" t="s">
        <v>244</v>
      </c>
      <c r="K216" s="2"/>
      <c r="L216" s="10" t="s">
        <v>558</v>
      </c>
      <c r="M216" s="10" t="s">
        <v>559</v>
      </c>
      <c r="N216" s="10" t="s">
        <v>179</v>
      </c>
    </row>
    <row r="217" spans="1:14" ht="41.4">
      <c r="A217" s="2" t="s">
        <v>560</v>
      </c>
      <c r="B217" s="4">
        <v>45274</v>
      </c>
      <c r="C217" s="2"/>
      <c r="D217" s="2" t="s">
        <v>15</v>
      </c>
      <c r="E217" s="2" t="s">
        <v>177</v>
      </c>
      <c r="F217" s="6">
        <v>11.25</v>
      </c>
      <c r="G217" s="8">
        <v>0</v>
      </c>
      <c r="H217" s="6">
        <v>11.25</v>
      </c>
      <c r="I217" s="2" t="s">
        <v>47</v>
      </c>
      <c r="J217" s="2" t="s">
        <v>244</v>
      </c>
      <c r="K217" s="2"/>
      <c r="L217" s="10" t="s">
        <v>561</v>
      </c>
      <c r="M217" s="10" t="s">
        <v>562</v>
      </c>
      <c r="N217" s="10" t="s">
        <v>179</v>
      </c>
    </row>
    <row r="218" spans="1:14" ht="41.4">
      <c r="A218" s="2" t="s">
        <v>563</v>
      </c>
      <c r="B218" s="4">
        <v>45330</v>
      </c>
      <c r="C218" s="2"/>
      <c r="D218" s="2" t="s">
        <v>15</v>
      </c>
      <c r="E218" s="2" t="s">
        <v>177</v>
      </c>
      <c r="F218" s="6">
        <v>11.25</v>
      </c>
      <c r="G218" s="8">
        <v>0</v>
      </c>
      <c r="H218" s="6">
        <v>11.25</v>
      </c>
      <c r="I218" s="2" t="s">
        <v>47</v>
      </c>
      <c r="J218" s="2" t="s">
        <v>244</v>
      </c>
      <c r="K218" s="2"/>
      <c r="L218" s="10" t="s">
        <v>564</v>
      </c>
      <c r="M218" s="10" t="s">
        <v>565</v>
      </c>
      <c r="N218" s="10" t="s">
        <v>179</v>
      </c>
    </row>
    <row r="219" spans="1:14" ht="41.4">
      <c r="A219" s="2" t="s">
        <v>566</v>
      </c>
      <c r="B219" s="4">
        <v>45372</v>
      </c>
      <c r="C219" s="2"/>
      <c r="D219" s="2" t="s">
        <v>15</v>
      </c>
      <c r="E219" s="2" t="s">
        <v>177</v>
      </c>
      <c r="F219" s="6">
        <v>11.25</v>
      </c>
      <c r="G219" s="8">
        <v>-25</v>
      </c>
      <c r="H219" s="6">
        <v>11</v>
      </c>
      <c r="I219" s="2" t="s">
        <v>199</v>
      </c>
      <c r="J219" s="2" t="s">
        <v>308</v>
      </c>
      <c r="K219" s="2">
        <v>1</v>
      </c>
      <c r="L219" s="10" t="s">
        <v>567</v>
      </c>
      <c r="M219" s="10" t="s">
        <v>568</v>
      </c>
      <c r="N219" s="10" t="s">
        <v>179</v>
      </c>
    </row>
    <row r="220" spans="1:14" ht="41.4">
      <c r="A220" s="2" t="s">
        <v>569</v>
      </c>
      <c r="B220" s="4">
        <v>45421</v>
      </c>
      <c r="C220" s="2"/>
      <c r="D220" s="2" t="s">
        <v>15</v>
      </c>
      <c r="E220" s="2" t="s">
        <v>177</v>
      </c>
      <c r="F220" s="6">
        <v>11</v>
      </c>
      <c r="G220" s="8">
        <v>0</v>
      </c>
      <c r="H220" s="6">
        <v>11</v>
      </c>
      <c r="I220" s="2" t="s">
        <v>47</v>
      </c>
      <c r="J220" s="2" t="s">
        <v>244</v>
      </c>
      <c r="K220" s="2"/>
      <c r="L220" s="10" t="s">
        <v>570</v>
      </c>
      <c r="M220" s="10" t="s">
        <v>571</v>
      </c>
      <c r="N220" s="10" t="s">
        <v>179</v>
      </c>
    </row>
    <row r="221" spans="1:14" ht="41.4">
      <c r="A221" s="2" t="s">
        <v>572</v>
      </c>
      <c r="B221" s="4">
        <v>45470</v>
      </c>
      <c r="C221" s="2"/>
      <c r="D221" s="2" t="s">
        <v>15</v>
      </c>
      <c r="E221" s="2" t="s">
        <v>177</v>
      </c>
      <c r="F221" s="6">
        <v>11</v>
      </c>
      <c r="G221" s="8">
        <v>0</v>
      </c>
      <c r="H221" s="6">
        <v>11</v>
      </c>
      <c r="I221" s="2" t="s">
        <v>47</v>
      </c>
      <c r="J221" s="2" t="s">
        <v>308</v>
      </c>
      <c r="K221" s="2">
        <v>1</v>
      </c>
      <c r="L221" s="10" t="s">
        <v>573</v>
      </c>
      <c r="M221" s="10" t="s">
        <v>574</v>
      </c>
      <c r="N221" s="10" t="s">
        <v>179</v>
      </c>
    </row>
    <row r="222" spans="1:14" ht="41.4">
      <c r="A222" s="2" t="s">
        <v>575</v>
      </c>
      <c r="B222" s="4">
        <v>45512</v>
      </c>
      <c r="C222" s="2"/>
      <c r="D222" s="2" t="s">
        <v>15</v>
      </c>
      <c r="E222" s="2" t="s">
        <v>177</v>
      </c>
      <c r="F222" s="6">
        <v>11</v>
      </c>
      <c r="G222" s="8">
        <v>-25</v>
      </c>
      <c r="H222" s="6">
        <v>10.75</v>
      </c>
      <c r="I222" s="2" t="s">
        <v>199</v>
      </c>
      <c r="J222" s="2" t="s">
        <v>308</v>
      </c>
      <c r="K222" s="2">
        <v>2</v>
      </c>
      <c r="L222" s="10" t="s">
        <v>576</v>
      </c>
      <c r="M222" s="10" t="s">
        <v>577</v>
      </c>
      <c r="N222" s="10" t="s">
        <v>179</v>
      </c>
    </row>
    <row r="223" spans="1:14" ht="41.4">
      <c r="A223" s="2" t="s">
        <v>578</v>
      </c>
      <c r="B223" s="4">
        <v>45561</v>
      </c>
      <c r="C223" s="2"/>
      <c r="D223" s="2" t="s">
        <v>15</v>
      </c>
      <c r="E223" s="2" t="s">
        <v>177</v>
      </c>
      <c r="F223" s="6">
        <v>10.75</v>
      </c>
      <c r="G223" s="8">
        <v>-25</v>
      </c>
      <c r="H223" s="6">
        <v>10.5</v>
      </c>
      <c r="I223" s="2" t="s">
        <v>199</v>
      </c>
      <c r="J223" s="2" t="s">
        <v>308</v>
      </c>
      <c r="K223" s="2">
        <v>1</v>
      </c>
      <c r="L223" s="10" t="s">
        <v>579</v>
      </c>
      <c r="M223" s="10" t="s">
        <v>580</v>
      </c>
      <c r="N223" s="10" t="s">
        <v>179</v>
      </c>
    </row>
    <row r="224" spans="1:14" ht="41.4">
      <c r="A224" s="2" t="s">
        <v>581</v>
      </c>
      <c r="B224" s="4">
        <v>45610</v>
      </c>
      <c r="C224" s="2"/>
      <c r="D224" s="2" t="s">
        <v>15</v>
      </c>
      <c r="E224" s="2" t="s">
        <v>177</v>
      </c>
      <c r="F224" s="6">
        <v>10.5</v>
      </c>
      <c r="G224" s="8">
        <v>-25</v>
      </c>
      <c r="H224" s="6">
        <v>10.25</v>
      </c>
      <c r="I224" s="2" t="s">
        <v>199</v>
      </c>
      <c r="J224" s="2" t="s">
        <v>244</v>
      </c>
      <c r="K224" s="2"/>
      <c r="L224" s="10" t="s">
        <v>582</v>
      </c>
      <c r="M224" s="10" t="s">
        <v>583</v>
      </c>
      <c r="N224" s="10" t="s">
        <v>179</v>
      </c>
    </row>
    <row r="225" spans="1:14" ht="41.4">
      <c r="A225" s="2" t="s">
        <v>584</v>
      </c>
      <c r="B225" s="4">
        <v>45645</v>
      </c>
      <c r="C225" s="2"/>
      <c r="D225" s="2" t="s">
        <v>15</v>
      </c>
      <c r="E225" s="2" t="s">
        <v>177</v>
      </c>
      <c r="F225" s="6">
        <v>10.25</v>
      </c>
      <c r="G225" s="8">
        <v>-25</v>
      </c>
      <c r="H225" s="6">
        <v>10</v>
      </c>
      <c r="I225" s="2" t="s">
        <v>199</v>
      </c>
      <c r="J225" s="2" t="s">
        <v>244</v>
      </c>
      <c r="K225" s="2"/>
      <c r="L225" s="10" t="s">
        <v>585</v>
      </c>
      <c r="M225" s="10" t="s">
        <v>586</v>
      </c>
      <c r="N225" s="10" t="s">
        <v>179</v>
      </c>
    </row>
    <row r="226" spans="1:14" ht="41.4">
      <c r="A226" s="2" t="s">
        <v>587</v>
      </c>
      <c r="B226" s="4">
        <v>45694</v>
      </c>
      <c r="C226" s="2"/>
      <c r="D226" s="2" t="s">
        <v>15</v>
      </c>
      <c r="E226" s="2" t="s">
        <v>177</v>
      </c>
      <c r="F226" s="6">
        <v>10</v>
      </c>
      <c r="G226" s="8">
        <v>-50</v>
      </c>
      <c r="H226" s="6">
        <v>9.5</v>
      </c>
      <c r="I226" s="2" t="s">
        <v>199</v>
      </c>
      <c r="J226" s="2" t="s">
        <v>308</v>
      </c>
      <c r="K226" s="2">
        <v>1</v>
      </c>
      <c r="L226" s="10" t="s">
        <v>588</v>
      </c>
      <c r="M226" s="10" t="s">
        <v>589</v>
      </c>
      <c r="N226" s="10" t="s">
        <v>179</v>
      </c>
    </row>
    <row r="227" spans="1:14" ht="41.4">
      <c r="A227" s="2" t="s">
        <v>590</v>
      </c>
      <c r="B227" s="4">
        <v>45743</v>
      </c>
      <c r="C227" s="2"/>
      <c r="D227" s="2" t="s">
        <v>15</v>
      </c>
      <c r="E227" s="2" t="s">
        <v>177</v>
      </c>
      <c r="F227" s="6">
        <v>9.5</v>
      </c>
      <c r="G227" s="8">
        <v>-50</v>
      </c>
      <c r="H227" s="6">
        <v>9</v>
      </c>
      <c r="I227" s="2" t="s">
        <v>199</v>
      </c>
      <c r="J227" s="2" t="s">
        <v>244</v>
      </c>
      <c r="K227" s="2"/>
      <c r="L227" s="10" t="s">
        <v>591</v>
      </c>
      <c r="M227" s="10" t="s">
        <v>592</v>
      </c>
      <c r="N227" s="10" t="s">
        <v>179</v>
      </c>
    </row>
    <row r="228" spans="1:14" ht="41.4">
      <c r="A228" s="2" t="s">
        <v>593</v>
      </c>
      <c r="B228" s="4">
        <v>45792</v>
      </c>
      <c r="C228" s="2"/>
      <c r="D228" s="2" t="s">
        <v>15</v>
      </c>
      <c r="E228" s="2" t="s">
        <v>177</v>
      </c>
      <c r="F228" s="6">
        <v>9</v>
      </c>
      <c r="G228" s="8">
        <v>-50</v>
      </c>
      <c r="H228" s="6">
        <v>8.5</v>
      </c>
      <c r="I228" s="2" t="s">
        <v>199</v>
      </c>
      <c r="J228" s="2" t="s">
        <v>244</v>
      </c>
      <c r="K228" s="2"/>
      <c r="L228" s="10" t="s">
        <v>594</v>
      </c>
      <c r="M228" s="10" t="s">
        <v>595</v>
      </c>
      <c r="N228" s="10" t="s">
        <v>179</v>
      </c>
    </row>
    <row r="229" spans="1:14" ht="41.4">
      <c r="A229" s="2" t="s">
        <v>596</v>
      </c>
      <c r="B229" s="4">
        <v>45834</v>
      </c>
      <c r="C229" s="2"/>
      <c r="D229" s="2" t="s">
        <v>15</v>
      </c>
      <c r="E229" s="2" t="s">
        <v>177</v>
      </c>
      <c r="F229" s="6">
        <v>8.5</v>
      </c>
      <c r="G229" s="8">
        <v>-50</v>
      </c>
      <c r="H229" s="6">
        <v>8</v>
      </c>
      <c r="I229" s="2" t="s">
        <v>199</v>
      </c>
      <c r="J229" s="2" t="s">
        <v>308</v>
      </c>
      <c r="K229" s="2">
        <v>1</v>
      </c>
      <c r="L229" s="10" t="s">
        <v>597</v>
      </c>
      <c r="M229" s="10" t="s">
        <v>598</v>
      </c>
      <c r="N229" s="10" t="s">
        <v>179</v>
      </c>
    </row>
    <row r="230" spans="1:14" ht="41.4">
      <c r="A230" s="2" t="s">
        <v>599</v>
      </c>
      <c r="B230" s="4">
        <v>45876</v>
      </c>
      <c r="C230" s="2"/>
      <c r="D230" s="2" t="s">
        <v>15</v>
      </c>
      <c r="E230" s="2" t="s">
        <v>177</v>
      </c>
      <c r="F230" s="6">
        <v>8</v>
      </c>
      <c r="G230" s="8">
        <v>-25</v>
      </c>
      <c r="H230" s="6">
        <v>7.75</v>
      </c>
      <c r="I230" s="2" t="s">
        <v>199</v>
      </c>
      <c r="J230" s="2" t="s">
        <v>308</v>
      </c>
      <c r="K230" s="2">
        <v>1</v>
      </c>
      <c r="L230" s="10" t="s">
        <v>600</v>
      </c>
      <c r="M230" s="10" t="s">
        <v>601</v>
      </c>
      <c r="N230" s="10" t="s">
        <v>179</v>
      </c>
    </row>
    <row r="231" spans="1:14" ht="41.4">
      <c r="A231" s="2" t="s">
        <v>602</v>
      </c>
      <c r="B231" s="4">
        <v>45925</v>
      </c>
      <c r="C231" s="2"/>
      <c r="D231" s="2" t="s">
        <v>15</v>
      </c>
      <c r="E231" s="2" t="s">
        <v>177</v>
      </c>
      <c r="F231" s="6">
        <v>7.75</v>
      </c>
      <c r="G231" s="8">
        <v>-25</v>
      </c>
      <c r="H231" s="6">
        <v>7.5</v>
      </c>
      <c r="I231" s="2" t="s">
        <v>199</v>
      </c>
      <c r="J231" s="2" t="s">
        <v>308</v>
      </c>
      <c r="K231" s="2">
        <v>1</v>
      </c>
      <c r="L231" s="10" t="s">
        <v>603</v>
      </c>
      <c r="M231" s="10" t="s">
        <v>604</v>
      </c>
      <c r="N231" s="10" t="s">
        <v>179</v>
      </c>
    </row>
    <row r="232" spans="1:14" ht="41.4">
      <c r="A232" s="2" t="s">
        <v>605</v>
      </c>
      <c r="B232" s="4">
        <v>45967</v>
      </c>
      <c r="C232" s="2"/>
      <c r="D232" s="2" t="s">
        <v>15</v>
      </c>
      <c r="E232" s="2" t="s">
        <v>177</v>
      </c>
      <c r="F232" s="6">
        <v>7.5</v>
      </c>
      <c r="G232" s="8">
        <v>-25</v>
      </c>
      <c r="H232" s="6">
        <v>7.25</v>
      </c>
      <c r="I232" s="2" t="s">
        <v>199</v>
      </c>
      <c r="J232" s="2" t="s">
        <v>308</v>
      </c>
      <c r="K232" s="2">
        <v>1</v>
      </c>
      <c r="L232" s="10" t="s">
        <v>606</v>
      </c>
      <c r="M232" s="10" t="s">
        <v>607</v>
      </c>
      <c r="N232" s="10" t="s">
        <v>179</v>
      </c>
    </row>
    <row r="233" spans="1:14" ht="41.4">
      <c r="A233" s="2" t="s">
        <v>608</v>
      </c>
      <c r="B233" s="4">
        <v>46009</v>
      </c>
      <c r="C233" s="2"/>
      <c r="D233" s="2" t="s">
        <v>15</v>
      </c>
      <c r="E233" s="2" t="s">
        <v>177</v>
      </c>
      <c r="F233" s="6">
        <v>7.25</v>
      </c>
      <c r="G233" s="8">
        <v>-25</v>
      </c>
      <c r="H233" s="6">
        <v>7</v>
      </c>
      <c r="I233" s="2" t="s">
        <v>199</v>
      </c>
      <c r="J233" s="2" t="s">
        <v>308</v>
      </c>
      <c r="K233" s="2">
        <v>1</v>
      </c>
      <c r="L233" s="10" t="s">
        <v>609</v>
      </c>
      <c r="M233" s="10" t="s">
        <v>610</v>
      </c>
      <c r="N233" s="10" t="s">
        <v>179</v>
      </c>
    </row>
    <row r="234" spans="1:14" ht="41.4">
      <c r="A234" s="2" t="s">
        <v>611</v>
      </c>
      <c r="B234" s="4">
        <v>46058</v>
      </c>
      <c r="C234" s="2"/>
      <c r="D234" s="2" t="s">
        <v>15</v>
      </c>
      <c r="E234" s="2" t="s">
        <v>177</v>
      </c>
      <c r="F234" s="6">
        <v>7</v>
      </c>
      <c r="G234" s="8">
        <v>0</v>
      </c>
      <c r="H234" s="6">
        <v>7</v>
      </c>
      <c r="I234" s="2" t="s">
        <v>47</v>
      </c>
      <c r="J234" s="2" t="s">
        <v>244</v>
      </c>
      <c r="K234" s="2"/>
      <c r="L234" s="10" t="s">
        <v>612</v>
      </c>
      <c r="M234" s="10" t="s">
        <v>613</v>
      </c>
      <c r="N234" s="10" t="s">
        <v>179</v>
      </c>
    </row>
    <row r="235" spans="1:14" ht="41.4">
      <c r="A235" s="2" t="s">
        <v>614</v>
      </c>
      <c r="B235" s="4">
        <v>46107</v>
      </c>
      <c r="C235" s="2"/>
      <c r="D235" s="2" t="s">
        <v>15</v>
      </c>
      <c r="E235" s="2" t="s">
        <v>177</v>
      </c>
      <c r="F235" s="6">
        <v>7</v>
      </c>
      <c r="G235" s="8">
        <v>-25</v>
      </c>
      <c r="H235" s="6">
        <v>6.75</v>
      </c>
      <c r="I235" s="2" t="s">
        <v>199</v>
      </c>
      <c r="J235" s="2" t="s">
        <v>308</v>
      </c>
      <c r="K235" s="2">
        <v>2</v>
      </c>
      <c r="L235" s="10" t="s">
        <v>615</v>
      </c>
      <c r="M235" s="10" t="s">
        <v>616</v>
      </c>
      <c r="N235" s="10" t="s">
        <v>179</v>
      </c>
    </row>
    <row r="236" spans="1:14" ht="41.4">
      <c r="A236" s="2" t="s">
        <v>617</v>
      </c>
      <c r="B236" s="4">
        <v>46149</v>
      </c>
      <c r="C236" s="2"/>
      <c r="D236" s="2" t="s">
        <v>15</v>
      </c>
      <c r="E236" s="2" t="s">
        <v>177</v>
      </c>
      <c r="F236" s="6">
        <v>6.75</v>
      </c>
      <c r="G236" s="8">
        <v>-25</v>
      </c>
      <c r="H236" s="6">
        <v>6.5</v>
      </c>
      <c r="I236" s="2" t="s">
        <v>199</v>
      </c>
      <c r="J236" s="2" t="s">
        <v>308</v>
      </c>
      <c r="K236" s="2">
        <v>2</v>
      </c>
      <c r="L236" s="10" t="s">
        <v>618</v>
      </c>
      <c r="M236" s="10" t="s">
        <v>619</v>
      </c>
      <c r="N236" s="10" t="s">
        <v>179</v>
      </c>
    </row>
    <row r="237" spans="1:14" ht="41.4">
      <c r="A237" s="3" t="s">
        <v>620</v>
      </c>
      <c r="B237" s="5">
        <v>46198</v>
      </c>
      <c r="C237" s="3"/>
      <c r="D237" s="3" t="s">
        <v>15</v>
      </c>
      <c r="E237" s="3" t="s">
        <v>177</v>
      </c>
      <c r="F237" s="7">
        <v>6.5</v>
      </c>
      <c r="G237" s="9">
        <v>0</v>
      </c>
      <c r="H237" s="7">
        <v>6.5</v>
      </c>
      <c r="I237" s="3" t="s">
        <v>47</v>
      </c>
      <c r="J237" s="3" t="s">
        <v>244</v>
      </c>
      <c r="K237" s="3"/>
      <c r="L237" s="11" t="s">
        <v>621</v>
      </c>
      <c r="M237" s="11" t="s">
        <v>622</v>
      </c>
      <c r="N237" s="11" t="s">
        <v>179</v>
      </c>
    </row>
    <row r="238" spans="1:14">
      <c r="A238" t="s">
        <v>1143</v>
      </c>
      <c r="B238" s="86">
        <v>46240</v>
      </c>
      <c r="D238" t="s">
        <v>15</v>
      </c>
      <c r="E238" t="s">
        <v>177</v>
      </c>
      <c r="F238">
        <v>6.5</v>
      </c>
      <c r="G238">
        <v>0</v>
      </c>
      <c r="H238">
        <v>6.5</v>
      </c>
      <c r="I238" t="s">
        <v>47</v>
      </c>
      <c r="J238" t="s">
        <v>244</v>
      </c>
      <c r="K238">
        <v>0</v>
      </c>
      <c r="L238" t="s">
        <v>1144</v>
      </c>
      <c r="N238" t="s">
        <v>1145</v>
      </c>
    </row>
    <row r="239" spans="1:14">
      <c r="A239" t="s">
        <v>1176</v>
      </c>
      <c r="B239" s="86">
        <v>46289</v>
      </c>
      <c r="D239" t="s">
        <v>15</v>
      </c>
      <c r="E239" t="s">
        <v>177</v>
      </c>
      <c r="F239">
        <v>6.5</v>
      </c>
      <c r="G239">
        <v>0</v>
      </c>
      <c r="H239">
        <v>6.5</v>
      </c>
      <c r="I239" t="s">
        <v>47</v>
      </c>
      <c r="J239" t="s">
        <v>244</v>
      </c>
      <c r="K239">
        <v>0</v>
      </c>
      <c r="L239" t="s">
        <v>1177</v>
      </c>
      <c r="N239" t="s">
        <v>1145</v>
      </c>
    </row>
  </sheetData>
  <conditionalFormatting sqref="J2:J237">
    <cfRule type="containsText" dxfId="3" priority="1" operator="containsText" text="No disponible"/>
  </conditionalFormatting>
  <dataValidations count="3">
    <dataValidation type="list" sqref="D2:D237" xr:uid="{00000000-0002-0000-0000-000000000000}">
      <formula1>"Ordinaria,Extraordinaria"</formula1>
    </dataValidation>
    <dataValidation type="list" sqref="I2:I237" xr:uid="{00000000-0002-0000-0000-000001000000}">
      <formula1>"Sube,Baja,Sin cambio,No disponible"</formula1>
    </dataValidation>
    <dataValidation type="list" sqref="J2:J237" xr:uid="{00000000-0002-0000-0000-000002000000}">
      <formula1>"Sí,No,No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6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34" customWidth="1"/>
    <col min="4" max="4" width="25" customWidth="1"/>
    <col min="5" max="5" width="82" customWidth="1"/>
  </cols>
  <sheetData>
    <row r="1" spans="1:5" ht="31.95" customHeight="1">
      <c r="A1" s="46" t="s">
        <v>0</v>
      </c>
      <c r="B1" s="46" t="s">
        <v>623</v>
      </c>
      <c r="C1" s="46" t="s">
        <v>624</v>
      </c>
      <c r="D1" s="46" t="s">
        <v>625</v>
      </c>
      <c r="E1" s="46" t="s">
        <v>13</v>
      </c>
    </row>
    <row r="2" spans="1:5" ht="69">
      <c r="A2" s="42" t="s">
        <v>422</v>
      </c>
      <c r="B2" s="42" t="s">
        <v>626</v>
      </c>
      <c r="C2" s="42" t="s">
        <v>627</v>
      </c>
      <c r="D2" s="42" t="s">
        <v>628</v>
      </c>
      <c r="E2" s="44" t="s">
        <v>629</v>
      </c>
    </row>
    <row r="3" spans="1:5" ht="69">
      <c r="A3" s="2" t="s">
        <v>422</v>
      </c>
      <c r="B3" s="2" t="s">
        <v>630</v>
      </c>
      <c r="C3" s="2" t="s">
        <v>627</v>
      </c>
      <c r="D3" s="2" t="s">
        <v>628</v>
      </c>
      <c r="E3" s="10" t="s">
        <v>629</v>
      </c>
    </row>
    <row r="4" spans="1:5" ht="69">
      <c r="A4" s="2" t="s">
        <v>422</v>
      </c>
      <c r="B4" s="2" t="s">
        <v>631</v>
      </c>
      <c r="C4" s="2" t="s">
        <v>627</v>
      </c>
      <c r="D4" s="2" t="s">
        <v>628</v>
      </c>
      <c r="E4" s="10" t="s">
        <v>629</v>
      </c>
    </row>
    <row r="5" spans="1:5" ht="69">
      <c r="A5" s="2" t="s">
        <v>422</v>
      </c>
      <c r="B5" s="2" t="s">
        <v>632</v>
      </c>
      <c r="C5" s="2" t="s">
        <v>627</v>
      </c>
      <c r="D5" s="2" t="s">
        <v>628</v>
      </c>
      <c r="E5" s="10" t="s">
        <v>629</v>
      </c>
    </row>
    <row r="6" spans="1:5" ht="69">
      <c r="A6" s="2" t="s">
        <v>422</v>
      </c>
      <c r="B6" s="2" t="s">
        <v>633</v>
      </c>
      <c r="C6" s="2" t="s">
        <v>627</v>
      </c>
      <c r="D6" s="2" t="s">
        <v>628</v>
      </c>
      <c r="E6" s="10" t="s">
        <v>629</v>
      </c>
    </row>
    <row r="7" spans="1:5" ht="69">
      <c r="A7" s="2" t="s">
        <v>425</v>
      </c>
      <c r="B7" s="2" t="s">
        <v>626</v>
      </c>
      <c r="C7" s="2" t="s">
        <v>627</v>
      </c>
      <c r="D7" s="2" t="s">
        <v>628</v>
      </c>
      <c r="E7" s="10" t="s">
        <v>634</v>
      </c>
    </row>
    <row r="8" spans="1:5" ht="69">
      <c r="A8" s="2" t="s">
        <v>425</v>
      </c>
      <c r="B8" s="2" t="s">
        <v>630</v>
      </c>
      <c r="C8" s="2" t="s">
        <v>627</v>
      </c>
      <c r="D8" s="2" t="s">
        <v>628</v>
      </c>
      <c r="E8" s="10" t="s">
        <v>634</v>
      </c>
    </row>
    <row r="9" spans="1:5" ht="69">
      <c r="A9" s="2" t="s">
        <v>425</v>
      </c>
      <c r="B9" s="2" t="s">
        <v>631</v>
      </c>
      <c r="C9" s="2" t="s">
        <v>627</v>
      </c>
      <c r="D9" s="2" t="s">
        <v>628</v>
      </c>
      <c r="E9" s="10" t="s">
        <v>634</v>
      </c>
    </row>
    <row r="10" spans="1:5" ht="69">
      <c r="A10" s="2" t="s">
        <v>425</v>
      </c>
      <c r="B10" s="2" t="s">
        <v>632</v>
      </c>
      <c r="C10" s="2" t="s">
        <v>627</v>
      </c>
      <c r="D10" s="2" t="s">
        <v>628</v>
      </c>
      <c r="E10" s="10" t="s">
        <v>634</v>
      </c>
    </row>
    <row r="11" spans="1:5" ht="69">
      <c r="A11" s="2" t="s">
        <v>425</v>
      </c>
      <c r="B11" s="2" t="s">
        <v>633</v>
      </c>
      <c r="C11" s="2" t="s">
        <v>627</v>
      </c>
      <c r="D11" s="2" t="s">
        <v>628</v>
      </c>
      <c r="E11" s="10" t="s">
        <v>634</v>
      </c>
    </row>
    <row r="12" spans="1:5" ht="69">
      <c r="A12" s="2" t="s">
        <v>428</v>
      </c>
      <c r="B12" s="2" t="s">
        <v>626</v>
      </c>
      <c r="C12" s="2" t="s">
        <v>627</v>
      </c>
      <c r="D12" s="2" t="s">
        <v>628</v>
      </c>
      <c r="E12" s="10" t="s">
        <v>635</v>
      </c>
    </row>
    <row r="13" spans="1:5" ht="69">
      <c r="A13" s="2" t="s">
        <v>428</v>
      </c>
      <c r="B13" s="2" t="s">
        <v>630</v>
      </c>
      <c r="C13" s="2" t="s">
        <v>627</v>
      </c>
      <c r="D13" s="2" t="s">
        <v>628</v>
      </c>
      <c r="E13" s="10" t="s">
        <v>635</v>
      </c>
    </row>
    <row r="14" spans="1:5" ht="69">
      <c r="A14" s="2" t="s">
        <v>428</v>
      </c>
      <c r="B14" s="2" t="s">
        <v>631</v>
      </c>
      <c r="C14" s="2" t="s">
        <v>627</v>
      </c>
      <c r="D14" s="2" t="s">
        <v>628</v>
      </c>
      <c r="E14" s="10" t="s">
        <v>635</v>
      </c>
    </row>
    <row r="15" spans="1:5" ht="69">
      <c r="A15" s="2" t="s">
        <v>428</v>
      </c>
      <c r="B15" s="2" t="s">
        <v>632</v>
      </c>
      <c r="C15" s="2" t="s">
        <v>627</v>
      </c>
      <c r="D15" s="2" t="s">
        <v>628</v>
      </c>
      <c r="E15" s="10" t="s">
        <v>635</v>
      </c>
    </row>
    <row r="16" spans="1:5" ht="69">
      <c r="A16" s="2" t="s">
        <v>428</v>
      </c>
      <c r="B16" s="2" t="s">
        <v>633</v>
      </c>
      <c r="C16" s="2" t="s">
        <v>627</v>
      </c>
      <c r="D16" s="2" t="s">
        <v>628</v>
      </c>
      <c r="E16" s="10" t="s">
        <v>635</v>
      </c>
    </row>
    <row r="17" spans="1:5" ht="69">
      <c r="A17" s="2" t="s">
        <v>431</v>
      </c>
      <c r="B17" s="2" t="s">
        <v>626</v>
      </c>
      <c r="C17" s="2" t="s">
        <v>627</v>
      </c>
      <c r="D17" s="2" t="s">
        <v>628</v>
      </c>
      <c r="E17" s="10" t="s">
        <v>636</v>
      </c>
    </row>
    <row r="18" spans="1:5" ht="69">
      <c r="A18" s="2" t="s">
        <v>431</v>
      </c>
      <c r="B18" s="2" t="s">
        <v>630</v>
      </c>
      <c r="C18" s="2" t="s">
        <v>627</v>
      </c>
      <c r="D18" s="2" t="s">
        <v>628</v>
      </c>
      <c r="E18" s="10" t="s">
        <v>636</v>
      </c>
    </row>
    <row r="19" spans="1:5" ht="69">
      <c r="A19" s="2" t="s">
        <v>431</v>
      </c>
      <c r="B19" s="2" t="s">
        <v>631</v>
      </c>
      <c r="C19" s="2" t="s">
        <v>627</v>
      </c>
      <c r="D19" s="2" t="s">
        <v>628</v>
      </c>
      <c r="E19" s="10" t="s">
        <v>636</v>
      </c>
    </row>
    <row r="20" spans="1:5" ht="69">
      <c r="A20" s="2" t="s">
        <v>431</v>
      </c>
      <c r="B20" s="2" t="s">
        <v>632</v>
      </c>
      <c r="C20" s="2" t="s">
        <v>627</v>
      </c>
      <c r="D20" s="2" t="s">
        <v>628</v>
      </c>
      <c r="E20" s="10" t="s">
        <v>636</v>
      </c>
    </row>
    <row r="21" spans="1:5" ht="69">
      <c r="A21" s="2" t="s">
        <v>431</v>
      </c>
      <c r="B21" s="2" t="s">
        <v>633</v>
      </c>
      <c r="C21" s="2" t="s">
        <v>627</v>
      </c>
      <c r="D21" s="2" t="s">
        <v>628</v>
      </c>
      <c r="E21" s="10" t="s">
        <v>636</v>
      </c>
    </row>
    <row r="22" spans="1:5" ht="69">
      <c r="A22" s="2" t="s">
        <v>434</v>
      </c>
      <c r="B22" s="2" t="s">
        <v>626</v>
      </c>
      <c r="C22" s="2" t="s">
        <v>627</v>
      </c>
      <c r="D22" s="2" t="s">
        <v>628</v>
      </c>
      <c r="E22" s="10" t="s">
        <v>637</v>
      </c>
    </row>
    <row r="23" spans="1:5" ht="69">
      <c r="A23" s="2" t="s">
        <v>434</v>
      </c>
      <c r="B23" s="2" t="s">
        <v>630</v>
      </c>
      <c r="C23" s="2" t="s">
        <v>627</v>
      </c>
      <c r="D23" s="2" t="s">
        <v>628</v>
      </c>
      <c r="E23" s="10" t="s">
        <v>637</v>
      </c>
    </row>
    <row r="24" spans="1:5" ht="69">
      <c r="A24" s="2" t="s">
        <v>434</v>
      </c>
      <c r="B24" s="2" t="s">
        <v>631</v>
      </c>
      <c r="C24" s="2" t="s">
        <v>627</v>
      </c>
      <c r="D24" s="2" t="s">
        <v>628</v>
      </c>
      <c r="E24" s="10" t="s">
        <v>637</v>
      </c>
    </row>
    <row r="25" spans="1:5" ht="69">
      <c r="A25" s="2" t="s">
        <v>434</v>
      </c>
      <c r="B25" s="2" t="s">
        <v>632</v>
      </c>
      <c r="C25" s="2" t="s">
        <v>627</v>
      </c>
      <c r="D25" s="2" t="s">
        <v>628</v>
      </c>
      <c r="E25" s="10" t="s">
        <v>637</v>
      </c>
    </row>
    <row r="26" spans="1:5" ht="69">
      <c r="A26" s="2" t="s">
        <v>434</v>
      </c>
      <c r="B26" s="2" t="s">
        <v>633</v>
      </c>
      <c r="C26" s="2" t="s">
        <v>627</v>
      </c>
      <c r="D26" s="2" t="s">
        <v>628</v>
      </c>
      <c r="E26" s="10" t="s">
        <v>637</v>
      </c>
    </row>
    <row r="27" spans="1:5" ht="55.2">
      <c r="A27" s="2" t="s">
        <v>437</v>
      </c>
      <c r="B27" s="2"/>
      <c r="C27" s="2" t="s">
        <v>627</v>
      </c>
      <c r="D27" s="2" t="s">
        <v>638</v>
      </c>
      <c r="E27" s="10" t="s">
        <v>639</v>
      </c>
    </row>
    <row r="28" spans="1:5" ht="69">
      <c r="A28" s="2" t="s">
        <v>437</v>
      </c>
      <c r="B28" s="2" t="s">
        <v>630</v>
      </c>
      <c r="C28" s="2" t="s">
        <v>627</v>
      </c>
      <c r="D28" s="2" t="s">
        <v>628</v>
      </c>
      <c r="E28" s="10" t="s">
        <v>640</v>
      </c>
    </row>
    <row r="29" spans="1:5" ht="69">
      <c r="A29" s="2" t="s">
        <v>437</v>
      </c>
      <c r="B29" s="2" t="s">
        <v>631</v>
      </c>
      <c r="C29" s="2" t="s">
        <v>627</v>
      </c>
      <c r="D29" s="2" t="s">
        <v>628</v>
      </c>
      <c r="E29" s="10" t="s">
        <v>640</v>
      </c>
    </row>
    <row r="30" spans="1:5" ht="69">
      <c r="A30" s="2" t="s">
        <v>437</v>
      </c>
      <c r="B30" s="2" t="s">
        <v>632</v>
      </c>
      <c r="C30" s="2" t="s">
        <v>627</v>
      </c>
      <c r="D30" s="2" t="s">
        <v>628</v>
      </c>
      <c r="E30" s="10" t="s">
        <v>640</v>
      </c>
    </row>
    <row r="31" spans="1:5" ht="69">
      <c r="A31" s="2" t="s">
        <v>437</v>
      </c>
      <c r="B31" s="2" t="s">
        <v>633</v>
      </c>
      <c r="C31" s="2" t="s">
        <v>627</v>
      </c>
      <c r="D31" s="2" t="s">
        <v>628</v>
      </c>
      <c r="E31" s="10" t="s">
        <v>640</v>
      </c>
    </row>
    <row r="32" spans="1:5" ht="69">
      <c r="A32" s="2" t="s">
        <v>440</v>
      </c>
      <c r="B32" s="2" t="s">
        <v>631</v>
      </c>
      <c r="C32" s="2" t="s">
        <v>627</v>
      </c>
      <c r="D32" s="2" t="s">
        <v>628</v>
      </c>
      <c r="E32" s="10" t="s">
        <v>641</v>
      </c>
    </row>
    <row r="33" spans="1:5" ht="69">
      <c r="A33" s="2" t="s">
        <v>440</v>
      </c>
      <c r="B33" s="2" t="s">
        <v>632</v>
      </c>
      <c r="C33" s="2" t="s">
        <v>627</v>
      </c>
      <c r="D33" s="2" t="s">
        <v>628</v>
      </c>
      <c r="E33" s="10" t="s">
        <v>641</v>
      </c>
    </row>
    <row r="34" spans="1:5" ht="69">
      <c r="A34" s="2" t="s">
        <v>440</v>
      </c>
      <c r="B34" s="2" t="s">
        <v>633</v>
      </c>
      <c r="C34" s="2" t="s">
        <v>627</v>
      </c>
      <c r="D34" s="2" t="s">
        <v>628</v>
      </c>
      <c r="E34" s="10" t="s">
        <v>641</v>
      </c>
    </row>
    <row r="35" spans="1:5" ht="69">
      <c r="A35" s="2" t="s">
        <v>440</v>
      </c>
      <c r="B35" s="2" t="s">
        <v>642</v>
      </c>
      <c r="C35" s="2" t="s">
        <v>627</v>
      </c>
      <c r="D35" s="2" t="s">
        <v>628</v>
      </c>
      <c r="E35" s="10" t="s">
        <v>641</v>
      </c>
    </row>
    <row r="36" spans="1:5" ht="69">
      <c r="A36" s="2" t="s">
        <v>440</v>
      </c>
      <c r="B36" s="2" t="s">
        <v>643</v>
      </c>
      <c r="C36" s="2" t="s">
        <v>627</v>
      </c>
      <c r="D36" s="2" t="s">
        <v>628</v>
      </c>
      <c r="E36" s="10" t="s">
        <v>641</v>
      </c>
    </row>
    <row r="37" spans="1:5" ht="69">
      <c r="A37" s="2" t="s">
        <v>443</v>
      </c>
      <c r="B37" s="2" t="s">
        <v>631</v>
      </c>
      <c r="C37" s="2" t="s">
        <v>627</v>
      </c>
      <c r="D37" s="2" t="s">
        <v>628</v>
      </c>
      <c r="E37" s="10" t="s">
        <v>644</v>
      </c>
    </row>
    <row r="38" spans="1:5" ht="69">
      <c r="A38" s="2" t="s">
        <v>443</v>
      </c>
      <c r="B38" s="2" t="s">
        <v>632</v>
      </c>
      <c r="C38" s="2" t="s">
        <v>627</v>
      </c>
      <c r="D38" s="2" t="s">
        <v>628</v>
      </c>
      <c r="E38" s="10" t="s">
        <v>644</v>
      </c>
    </row>
    <row r="39" spans="1:5" ht="69">
      <c r="A39" s="2" t="s">
        <v>443</v>
      </c>
      <c r="B39" s="2" t="s">
        <v>633</v>
      </c>
      <c r="C39" s="2" t="s">
        <v>627</v>
      </c>
      <c r="D39" s="2" t="s">
        <v>628</v>
      </c>
      <c r="E39" s="10" t="s">
        <v>644</v>
      </c>
    </row>
    <row r="40" spans="1:5" ht="69">
      <c r="A40" s="2" t="s">
        <v>443</v>
      </c>
      <c r="B40" s="2" t="s">
        <v>642</v>
      </c>
      <c r="C40" s="2" t="s">
        <v>627</v>
      </c>
      <c r="D40" s="2" t="s">
        <v>628</v>
      </c>
      <c r="E40" s="10" t="s">
        <v>644</v>
      </c>
    </row>
    <row r="41" spans="1:5" ht="69">
      <c r="A41" s="2" t="s">
        <v>443</v>
      </c>
      <c r="B41" s="2" t="s">
        <v>643</v>
      </c>
      <c r="C41" s="2" t="s">
        <v>627</v>
      </c>
      <c r="D41" s="2" t="s">
        <v>628</v>
      </c>
      <c r="E41" s="10" t="s">
        <v>644</v>
      </c>
    </row>
    <row r="42" spans="1:5" ht="69">
      <c r="A42" s="2" t="s">
        <v>446</v>
      </c>
      <c r="B42" s="2" t="s">
        <v>631</v>
      </c>
      <c r="C42" s="2" t="s">
        <v>627</v>
      </c>
      <c r="D42" s="2" t="s">
        <v>628</v>
      </c>
      <c r="E42" s="10" t="s">
        <v>645</v>
      </c>
    </row>
    <row r="43" spans="1:5" ht="69">
      <c r="A43" s="2" t="s">
        <v>446</v>
      </c>
      <c r="B43" s="2" t="s">
        <v>632</v>
      </c>
      <c r="C43" s="2" t="s">
        <v>627</v>
      </c>
      <c r="D43" s="2" t="s">
        <v>628</v>
      </c>
      <c r="E43" s="10" t="s">
        <v>645</v>
      </c>
    </row>
    <row r="44" spans="1:5" ht="69">
      <c r="A44" s="2" t="s">
        <v>446</v>
      </c>
      <c r="B44" s="2" t="s">
        <v>633</v>
      </c>
      <c r="C44" s="2" t="s">
        <v>627</v>
      </c>
      <c r="D44" s="2" t="s">
        <v>628</v>
      </c>
      <c r="E44" s="10" t="s">
        <v>645</v>
      </c>
    </row>
    <row r="45" spans="1:5" ht="69">
      <c r="A45" s="2" t="s">
        <v>446</v>
      </c>
      <c r="B45" s="2" t="s">
        <v>642</v>
      </c>
      <c r="C45" s="2" t="s">
        <v>627</v>
      </c>
      <c r="D45" s="2" t="s">
        <v>628</v>
      </c>
      <c r="E45" s="10" t="s">
        <v>645</v>
      </c>
    </row>
    <row r="46" spans="1:5" ht="69">
      <c r="A46" s="2" t="s">
        <v>446</v>
      </c>
      <c r="B46" s="2" t="s">
        <v>643</v>
      </c>
      <c r="C46" s="2" t="s">
        <v>627</v>
      </c>
      <c r="D46" s="2" t="s">
        <v>628</v>
      </c>
      <c r="E46" s="10" t="s">
        <v>645</v>
      </c>
    </row>
    <row r="47" spans="1:5" ht="69">
      <c r="A47" s="2" t="s">
        <v>449</v>
      </c>
      <c r="B47" s="2" t="s">
        <v>631</v>
      </c>
      <c r="C47" s="2" t="s">
        <v>627</v>
      </c>
      <c r="D47" s="2" t="s">
        <v>628</v>
      </c>
      <c r="E47" s="10" t="s">
        <v>646</v>
      </c>
    </row>
    <row r="48" spans="1:5" ht="69">
      <c r="A48" s="2" t="s">
        <v>449</v>
      </c>
      <c r="B48" s="2" t="s">
        <v>632</v>
      </c>
      <c r="C48" s="2" t="s">
        <v>627</v>
      </c>
      <c r="D48" s="2" t="s">
        <v>628</v>
      </c>
      <c r="E48" s="10" t="s">
        <v>646</v>
      </c>
    </row>
    <row r="49" spans="1:5" ht="69">
      <c r="A49" s="2" t="s">
        <v>449</v>
      </c>
      <c r="B49" s="2" t="s">
        <v>633</v>
      </c>
      <c r="C49" s="2" t="s">
        <v>627</v>
      </c>
      <c r="D49" s="2" t="s">
        <v>628</v>
      </c>
      <c r="E49" s="10" t="s">
        <v>646</v>
      </c>
    </row>
    <row r="50" spans="1:5" ht="69">
      <c r="A50" s="2" t="s">
        <v>449</v>
      </c>
      <c r="B50" s="2" t="s">
        <v>642</v>
      </c>
      <c r="C50" s="2" t="s">
        <v>627</v>
      </c>
      <c r="D50" s="2" t="s">
        <v>628</v>
      </c>
      <c r="E50" s="10" t="s">
        <v>646</v>
      </c>
    </row>
    <row r="51" spans="1:5" ht="69">
      <c r="A51" s="2" t="s">
        <v>449</v>
      </c>
      <c r="B51" s="2" t="s">
        <v>643</v>
      </c>
      <c r="C51" s="2" t="s">
        <v>627</v>
      </c>
      <c r="D51" s="2" t="s">
        <v>628</v>
      </c>
      <c r="E51" s="10" t="s">
        <v>646</v>
      </c>
    </row>
    <row r="52" spans="1:5" ht="69">
      <c r="A52" s="2" t="s">
        <v>452</v>
      </c>
      <c r="B52" s="2" t="s">
        <v>631</v>
      </c>
      <c r="C52" s="2" t="s">
        <v>627</v>
      </c>
      <c r="D52" s="2" t="s">
        <v>628</v>
      </c>
      <c r="E52" s="10" t="s">
        <v>647</v>
      </c>
    </row>
    <row r="53" spans="1:5" ht="69">
      <c r="A53" s="2" t="s">
        <v>452</v>
      </c>
      <c r="B53" s="2" t="s">
        <v>632</v>
      </c>
      <c r="C53" s="2" t="s">
        <v>627</v>
      </c>
      <c r="D53" s="2" t="s">
        <v>628</v>
      </c>
      <c r="E53" s="10" t="s">
        <v>647</v>
      </c>
    </row>
    <row r="54" spans="1:5" ht="69">
      <c r="A54" s="2" t="s">
        <v>452</v>
      </c>
      <c r="B54" s="2" t="s">
        <v>633</v>
      </c>
      <c r="C54" s="2" t="s">
        <v>627</v>
      </c>
      <c r="D54" s="2" t="s">
        <v>628</v>
      </c>
      <c r="E54" s="10" t="s">
        <v>647</v>
      </c>
    </row>
    <row r="55" spans="1:5" ht="69">
      <c r="A55" s="2" t="s">
        <v>452</v>
      </c>
      <c r="B55" s="2" t="s">
        <v>642</v>
      </c>
      <c r="C55" s="2" t="s">
        <v>627</v>
      </c>
      <c r="D55" s="2" t="s">
        <v>628</v>
      </c>
      <c r="E55" s="10" t="s">
        <v>647</v>
      </c>
    </row>
    <row r="56" spans="1:5" ht="69">
      <c r="A56" s="2" t="s">
        <v>452</v>
      </c>
      <c r="B56" s="2" t="s">
        <v>643</v>
      </c>
      <c r="C56" s="2" t="s">
        <v>627</v>
      </c>
      <c r="D56" s="2" t="s">
        <v>628</v>
      </c>
      <c r="E56" s="10" t="s">
        <v>647</v>
      </c>
    </row>
    <row r="57" spans="1:5" ht="69">
      <c r="A57" s="2" t="s">
        <v>455</v>
      </c>
      <c r="B57" s="2" t="s">
        <v>631</v>
      </c>
      <c r="C57" s="2" t="s">
        <v>627</v>
      </c>
      <c r="D57" s="2" t="s">
        <v>628</v>
      </c>
      <c r="E57" s="10" t="s">
        <v>648</v>
      </c>
    </row>
    <row r="58" spans="1:5" ht="69">
      <c r="A58" s="2" t="s">
        <v>455</v>
      </c>
      <c r="B58" s="2" t="s">
        <v>632</v>
      </c>
      <c r="C58" s="2" t="s">
        <v>627</v>
      </c>
      <c r="D58" s="2" t="s">
        <v>628</v>
      </c>
      <c r="E58" s="10" t="s">
        <v>648</v>
      </c>
    </row>
    <row r="59" spans="1:5" ht="69">
      <c r="A59" s="2" t="s">
        <v>455</v>
      </c>
      <c r="B59" s="2" t="s">
        <v>633</v>
      </c>
      <c r="C59" s="2" t="s">
        <v>627</v>
      </c>
      <c r="D59" s="2" t="s">
        <v>628</v>
      </c>
      <c r="E59" s="10" t="s">
        <v>648</v>
      </c>
    </row>
    <row r="60" spans="1:5" ht="69">
      <c r="A60" s="2" t="s">
        <v>455</v>
      </c>
      <c r="B60" s="2" t="s">
        <v>642</v>
      </c>
      <c r="C60" s="2" t="s">
        <v>627</v>
      </c>
      <c r="D60" s="2" t="s">
        <v>628</v>
      </c>
      <c r="E60" s="10" t="s">
        <v>648</v>
      </c>
    </row>
    <row r="61" spans="1:5" ht="69">
      <c r="A61" s="2" t="s">
        <v>455</v>
      </c>
      <c r="B61" s="2" t="s">
        <v>643</v>
      </c>
      <c r="C61" s="2" t="s">
        <v>627</v>
      </c>
      <c r="D61" s="2" t="s">
        <v>628</v>
      </c>
      <c r="E61" s="10" t="s">
        <v>648</v>
      </c>
    </row>
    <row r="62" spans="1:5" ht="69">
      <c r="A62" s="2" t="s">
        <v>458</v>
      </c>
      <c r="B62" s="2" t="s">
        <v>631</v>
      </c>
      <c r="C62" s="2" t="s">
        <v>627</v>
      </c>
      <c r="D62" s="2" t="s">
        <v>628</v>
      </c>
      <c r="E62" s="10" t="s">
        <v>649</v>
      </c>
    </row>
    <row r="63" spans="1:5" ht="69">
      <c r="A63" s="2" t="s">
        <v>458</v>
      </c>
      <c r="B63" s="2" t="s">
        <v>632</v>
      </c>
      <c r="C63" s="2" t="s">
        <v>627</v>
      </c>
      <c r="D63" s="2" t="s">
        <v>628</v>
      </c>
      <c r="E63" s="10" t="s">
        <v>649</v>
      </c>
    </row>
    <row r="64" spans="1:5" ht="69">
      <c r="A64" s="2" t="s">
        <v>458</v>
      </c>
      <c r="B64" s="2" t="s">
        <v>633</v>
      </c>
      <c r="C64" s="2" t="s">
        <v>627</v>
      </c>
      <c r="D64" s="2" t="s">
        <v>628</v>
      </c>
      <c r="E64" s="10" t="s">
        <v>649</v>
      </c>
    </row>
    <row r="65" spans="1:5" ht="69">
      <c r="A65" s="2" t="s">
        <v>458</v>
      </c>
      <c r="B65" s="2" t="s">
        <v>642</v>
      </c>
      <c r="C65" s="2" t="s">
        <v>627</v>
      </c>
      <c r="D65" s="2" t="s">
        <v>628</v>
      </c>
      <c r="E65" s="10" t="s">
        <v>649</v>
      </c>
    </row>
    <row r="66" spans="1:5" ht="69">
      <c r="A66" s="2" t="s">
        <v>458</v>
      </c>
      <c r="B66" s="2" t="s">
        <v>643</v>
      </c>
      <c r="C66" s="2" t="s">
        <v>627</v>
      </c>
      <c r="D66" s="2" t="s">
        <v>628</v>
      </c>
      <c r="E66" s="10" t="s">
        <v>649</v>
      </c>
    </row>
    <row r="67" spans="1:5" ht="69">
      <c r="A67" s="2" t="s">
        <v>461</v>
      </c>
      <c r="B67" s="2" t="s">
        <v>631</v>
      </c>
      <c r="C67" s="2" t="s">
        <v>627</v>
      </c>
      <c r="D67" s="2" t="s">
        <v>628</v>
      </c>
      <c r="E67" s="10" t="s">
        <v>650</v>
      </c>
    </row>
    <row r="68" spans="1:5" ht="69">
      <c r="A68" s="2" t="s">
        <v>461</v>
      </c>
      <c r="B68" s="2" t="s">
        <v>632</v>
      </c>
      <c r="C68" s="2" t="s">
        <v>627</v>
      </c>
      <c r="D68" s="2" t="s">
        <v>628</v>
      </c>
      <c r="E68" s="10" t="s">
        <v>650</v>
      </c>
    </row>
    <row r="69" spans="1:5" ht="69">
      <c r="A69" s="2" t="s">
        <v>461</v>
      </c>
      <c r="B69" s="2" t="s">
        <v>633</v>
      </c>
      <c r="C69" s="2" t="s">
        <v>627</v>
      </c>
      <c r="D69" s="2" t="s">
        <v>628</v>
      </c>
      <c r="E69" s="10" t="s">
        <v>650</v>
      </c>
    </row>
    <row r="70" spans="1:5" ht="69">
      <c r="A70" s="2" t="s">
        <v>461</v>
      </c>
      <c r="B70" s="2" t="s">
        <v>642</v>
      </c>
      <c r="C70" s="2" t="s">
        <v>627</v>
      </c>
      <c r="D70" s="2" t="s">
        <v>628</v>
      </c>
      <c r="E70" s="10" t="s">
        <v>650</v>
      </c>
    </row>
    <row r="71" spans="1:5" ht="69">
      <c r="A71" s="2" t="s">
        <v>461</v>
      </c>
      <c r="B71" s="2" t="s">
        <v>643</v>
      </c>
      <c r="C71" s="2" t="s">
        <v>627</v>
      </c>
      <c r="D71" s="2" t="s">
        <v>628</v>
      </c>
      <c r="E71" s="10" t="s">
        <v>650</v>
      </c>
    </row>
    <row r="72" spans="1:5" ht="69">
      <c r="A72" s="2" t="s">
        <v>464</v>
      </c>
      <c r="B72" s="2" t="s">
        <v>631</v>
      </c>
      <c r="C72" s="2" t="s">
        <v>627</v>
      </c>
      <c r="D72" s="2" t="s">
        <v>628</v>
      </c>
      <c r="E72" s="10" t="s">
        <v>651</v>
      </c>
    </row>
    <row r="73" spans="1:5" ht="69">
      <c r="A73" s="2" t="s">
        <v>464</v>
      </c>
      <c r="B73" s="2" t="s">
        <v>632</v>
      </c>
      <c r="C73" s="2" t="s">
        <v>627</v>
      </c>
      <c r="D73" s="2" t="s">
        <v>628</v>
      </c>
      <c r="E73" s="10" t="s">
        <v>651</v>
      </c>
    </row>
    <row r="74" spans="1:5" ht="69">
      <c r="A74" s="2" t="s">
        <v>464</v>
      </c>
      <c r="B74" s="2" t="s">
        <v>633</v>
      </c>
      <c r="C74" s="2" t="s">
        <v>627</v>
      </c>
      <c r="D74" s="2" t="s">
        <v>628</v>
      </c>
      <c r="E74" s="10" t="s">
        <v>651</v>
      </c>
    </row>
    <row r="75" spans="1:5" ht="69">
      <c r="A75" s="2" t="s">
        <v>464</v>
      </c>
      <c r="B75" s="2" t="s">
        <v>642</v>
      </c>
      <c r="C75" s="2" t="s">
        <v>627</v>
      </c>
      <c r="D75" s="2" t="s">
        <v>628</v>
      </c>
      <c r="E75" s="10" t="s">
        <v>651</v>
      </c>
    </row>
    <row r="76" spans="1:5" ht="69">
      <c r="A76" s="2" t="s">
        <v>464</v>
      </c>
      <c r="B76" s="2" t="s">
        <v>643</v>
      </c>
      <c r="C76" s="2" t="s">
        <v>627</v>
      </c>
      <c r="D76" s="2" t="s">
        <v>628</v>
      </c>
      <c r="E76" s="10" t="s">
        <v>651</v>
      </c>
    </row>
    <row r="77" spans="1:5" ht="69">
      <c r="A77" s="2" t="s">
        <v>467</v>
      </c>
      <c r="B77" s="2" t="s">
        <v>631</v>
      </c>
      <c r="C77" s="2" t="s">
        <v>627</v>
      </c>
      <c r="D77" s="2" t="s">
        <v>628</v>
      </c>
      <c r="E77" s="10" t="s">
        <v>652</v>
      </c>
    </row>
    <row r="78" spans="1:5" ht="69">
      <c r="A78" s="2" t="s">
        <v>467</v>
      </c>
      <c r="B78" s="2" t="s">
        <v>632</v>
      </c>
      <c r="C78" s="2" t="s">
        <v>627</v>
      </c>
      <c r="D78" s="2" t="s">
        <v>628</v>
      </c>
      <c r="E78" s="10" t="s">
        <v>652</v>
      </c>
    </row>
    <row r="79" spans="1:5" ht="69">
      <c r="A79" s="2" t="s">
        <v>467</v>
      </c>
      <c r="B79" s="2" t="s">
        <v>633</v>
      </c>
      <c r="C79" s="2" t="s">
        <v>627</v>
      </c>
      <c r="D79" s="2" t="s">
        <v>628</v>
      </c>
      <c r="E79" s="10" t="s">
        <v>652</v>
      </c>
    </row>
    <row r="80" spans="1:5" ht="69">
      <c r="A80" s="2" t="s">
        <v>467</v>
      </c>
      <c r="B80" s="2" t="s">
        <v>642</v>
      </c>
      <c r="C80" s="2" t="s">
        <v>627</v>
      </c>
      <c r="D80" s="2" t="s">
        <v>628</v>
      </c>
      <c r="E80" s="10" t="s">
        <v>652</v>
      </c>
    </row>
    <row r="81" spans="1:5" ht="69">
      <c r="A81" s="2" t="s">
        <v>467</v>
      </c>
      <c r="B81" s="2" t="s">
        <v>643</v>
      </c>
      <c r="C81" s="2" t="s">
        <v>627</v>
      </c>
      <c r="D81" s="2" t="s">
        <v>628</v>
      </c>
      <c r="E81" s="10" t="s">
        <v>652</v>
      </c>
    </row>
    <row r="82" spans="1:5" ht="69">
      <c r="A82" s="2" t="s">
        <v>470</v>
      </c>
      <c r="B82" s="2" t="s">
        <v>631</v>
      </c>
      <c r="C82" s="2" t="s">
        <v>627</v>
      </c>
      <c r="D82" s="2" t="s">
        <v>628</v>
      </c>
      <c r="E82" s="10" t="s">
        <v>653</v>
      </c>
    </row>
    <row r="83" spans="1:5" ht="69">
      <c r="A83" s="2" t="s">
        <v>470</v>
      </c>
      <c r="B83" s="2" t="s">
        <v>632</v>
      </c>
      <c r="C83" s="2" t="s">
        <v>627</v>
      </c>
      <c r="D83" s="2" t="s">
        <v>628</v>
      </c>
      <c r="E83" s="10" t="s">
        <v>653</v>
      </c>
    </row>
    <row r="84" spans="1:5" ht="69">
      <c r="A84" s="2" t="s">
        <v>470</v>
      </c>
      <c r="B84" s="2" t="s">
        <v>633</v>
      </c>
      <c r="C84" s="2" t="s">
        <v>627</v>
      </c>
      <c r="D84" s="2" t="s">
        <v>628</v>
      </c>
      <c r="E84" s="10" t="s">
        <v>653</v>
      </c>
    </row>
    <row r="85" spans="1:5" ht="69">
      <c r="A85" s="2" t="s">
        <v>470</v>
      </c>
      <c r="B85" s="2" t="s">
        <v>642</v>
      </c>
      <c r="C85" s="2" t="s">
        <v>627</v>
      </c>
      <c r="D85" s="2" t="s">
        <v>628</v>
      </c>
      <c r="E85" s="10" t="s">
        <v>653</v>
      </c>
    </row>
    <row r="86" spans="1:5" ht="69">
      <c r="A86" s="2" t="s">
        <v>470</v>
      </c>
      <c r="B86" s="2" t="s">
        <v>643</v>
      </c>
      <c r="C86" s="2" t="s">
        <v>627</v>
      </c>
      <c r="D86" s="2" t="s">
        <v>628</v>
      </c>
      <c r="E86" s="10" t="s">
        <v>653</v>
      </c>
    </row>
    <row r="87" spans="1:5" ht="69">
      <c r="A87" s="2" t="s">
        <v>473</v>
      </c>
      <c r="B87" s="2" t="s">
        <v>631</v>
      </c>
      <c r="C87" s="2" t="s">
        <v>627</v>
      </c>
      <c r="D87" s="2" t="s">
        <v>628</v>
      </c>
      <c r="E87" s="10" t="s">
        <v>654</v>
      </c>
    </row>
    <row r="88" spans="1:5" ht="69">
      <c r="A88" s="2" t="s">
        <v>473</v>
      </c>
      <c r="B88" s="2" t="s">
        <v>632</v>
      </c>
      <c r="C88" s="2" t="s">
        <v>627</v>
      </c>
      <c r="D88" s="2" t="s">
        <v>628</v>
      </c>
      <c r="E88" s="10" t="s">
        <v>654</v>
      </c>
    </row>
    <row r="89" spans="1:5" ht="69">
      <c r="A89" s="2" t="s">
        <v>473</v>
      </c>
      <c r="B89" s="2" t="s">
        <v>633</v>
      </c>
      <c r="C89" s="2" t="s">
        <v>627</v>
      </c>
      <c r="D89" s="2" t="s">
        <v>628</v>
      </c>
      <c r="E89" s="10" t="s">
        <v>654</v>
      </c>
    </row>
    <row r="90" spans="1:5" ht="69">
      <c r="A90" s="2" t="s">
        <v>473</v>
      </c>
      <c r="B90" s="2" t="s">
        <v>642</v>
      </c>
      <c r="C90" s="2" t="s">
        <v>627</v>
      </c>
      <c r="D90" s="2" t="s">
        <v>628</v>
      </c>
      <c r="E90" s="10" t="s">
        <v>654</v>
      </c>
    </row>
    <row r="91" spans="1:5" ht="69">
      <c r="A91" s="2" t="s">
        <v>473</v>
      </c>
      <c r="B91" s="2" t="s">
        <v>643</v>
      </c>
      <c r="C91" s="2" t="s">
        <v>627</v>
      </c>
      <c r="D91" s="2" t="s">
        <v>628</v>
      </c>
      <c r="E91" s="10" t="s">
        <v>654</v>
      </c>
    </row>
    <row r="92" spans="1:5" ht="69">
      <c r="A92" s="2" t="s">
        <v>476</v>
      </c>
      <c r="B92" s="2" t="s">
        <v>631</v>
      </c>
      <c r="C92" s="2" t="s">
        <v>627</v>
      </c>
      <c r="D92" s="2" t="s">
        <v>628</v>
      </c>
      <c r="E92" s="10" t="s">
        <v>655</v>
      </c>
    </row>
    <row r="93" spans="1:5" ht="69">
      <c r="A93" s="2" t="s">
        <v>476</v>
      </c>
      <c r="B93" s="2" t="s">
        <v>632</v>
      </c>
      <c r="C93" s="2" t="s">
        <v>627</v>
      </c>
      <c r="D93" s="2" t="s">
        <v>628</v>
      </c>
      <c r="E93" s="10" t="s">
        <v>655</v>
      </c>
    </row>
    <row r="94" spans="1:5" ht="69">
      <c r="A94" s="2" t="s">
        <v>476</v>
      </c>
      <c r="B94" s="2" t="s">
        <v>633</v>
      </c>
      <c r="C94" s="2" t="s">
        <v>627</v>
      </c>
      <c r="D94" s="2" t="s">
        <v>628</v>
      </c>
      <c r="E94" s="10" t="s">
        <v>655</v>
      </c>
    </row>
    <row r="95" spans="1:5" ht="69">
      <c r="A95" s="2" t="s">
        <v>476</v>
      </c>
      <c r="B95" s="2" t="s">
        <v>642</v>
      </c>
      <c r="C95" s="2" t="s">
        <v>627</v>
      </c>
      <c r="D95" s="2" t="s">
        <v>628</v>
      </c>
      <c r="E95" s="10" t="s">
        <v>655</v>
      </c>
    </row>
    <row r="96" spans="1:5" ht="69">
      <c r="A96" s="2" t="s">
        <v>476</v>
      </c>
      <c r="B96" s="2" t="s">
        <v>643</v>
      </c>
      <c r="C96" s="2" t="s">
        <v>627</v>
      </c>
      <c r="D96" s="2" t="s">
        <v>628</v>
      </c>
      <c r="E96" s="10" t="s">
        <v>655</v>
      </c>
    </row>
    <row r="97" spans="1:5" ht="69">
      <c r="A97" s="2" t="s">
        <v>479</v>
      </c>
      <c r="B97" s="2" t="s">
        <v>631</v>
      </c>
      <c r="C97" s="2" t="s">
        <v>627</v>
      </c>
      <c r="D97" s="2" t="s">
        <v>628</v>
      </c>
      <c r="E97" s="10" t="s">
        <v>656</v>
      </c>
    </row>
    <row r="98" spans="1:5" ht="69">
      <c r="A98" s="2" t="s">
        <v>479</v>
      </c>
      <c r="B98" s="2" t="s">
        <v>632</v>
      </c>
      <c r="C98" s="2" t="s">
        <v>627</v>
      </c>
      <c r="D98" s="2" t="s">
        <v>628</v>
      </c>
      <c r="E98" s="10" t="s">
        <v>656</v>
      </c>
    </row>
    <row r="99" spans="1:5" ht="69">
      <c r="A99" s="2" t="s">
        <v>479</v>
      </c>
      <c r="B99" s="2" t="s">
        <v>633</v>
      </c>
      <c r="C99" s="2" t="s">
        <v>627</v>
      </c>
      <c r="D99" s="2" t="s">
        <v>628</v>
      </c>
      <c r="E99" s="10" t="s">
        <v>656</v>
      </c>
    </row>
    <row r="100" spans="1:5" ht="69">
      <c r="A100" s="2" t="s">
        <v>479</v>
      </c>
      <c r="B100" s="2" t="s">
        <v>642</v>
      </c>
      <c r="C100" s="2" t="s">
        <v>627</v>
      </c>
      <c r="D100" s="2" t="s">
        <v>628</v>
      </c>
      <c r="E100" s="10" t="s">
        <v>656</v>
      </c>
    </row>
    <row r="101" spans="1:5" ht="69">
      <c r="A101" s="2" t="s">
        <v>479</v>
      </c>
      <c r="B101" s="2" t="s">
        <v>643</v>
      </c>
      <c r="C101" s="2" t="s">
        <v>627</v>
      </c>
      <c r="D101" s="2" t="s">
        <v>628</v>
      </c>
      <c r="E101" s="10" t="s">
        <v>656</v>
      </c>
    </row>
    <row r="102" spans="1:5" ht="69">
      <c r="A102" s="2" t="s">
        <v>482</v>
      </c>
      <c r="B102" s="2" t="s">
        <v>631</v>
      </c>
      <c r="C102" s="2" t="s">
        <v>627</v>
      </c>
      <c r="D102" s="2" t="s">
        <v>628</v>
      </c>
      <c r="E102" s="10" t="s">
        <v>657</v>
      </c>
    </row>
    <row r="103" spans="1:5" ht="69">
      <c r="A103" s="2" t="s">
        <v>482</v>
      </c>
      <c r="B103" s="2" t="s">
        <v>632</v>
      </c>
      <c r="C103" s="2" t="s">
        <v>627</v>
      </c>
      <c r="D103" s="2" t="s">
        <v>628</v>
      </c>
      <c r="E103" s="10" t="s">
        <v>657</v>
      </c>
    </row>
    <row r="104" spans="1:5" ht="69">
      <c r="A104" s="2" t="s">
        <v>482</v>
      </c>
      <c r="B104" s="2" t="s">
        <v>633</v>
      </c>
      <c r="C104" s="2" t="s">
        <v>627</v>
      </c>
      <c r="D104" s="2" t="s">
        <v>628</v>
      </c>
      <c r="E104" s="10" t="s">
        <v>657</v>
      </c>
    </row>
    <row r="105" spans="1:5" ht="69">
      <c r="A105" s="2" t="s">
        <v>482</v>
      </c>
      <c r="B105" s="2" t="s">
        <v>642</v>
      </c>
      <c r="C105" s="2" t="s">
        <v>627</v>
      </c>
      <c r="D105" s="2" t="s">
        <v>628</v>
      </c>
      <c r="E105" s="10" t="s">
        <v>657</v>
      </c>
    </row>
    <row r="106" spans="1:5" ht="69">
      <c r="A106" s="2" t="s">
        <v>482</v>
      </c>
      <c r="B106" s="2" t="s">
        <v>643</v>
      </c>
      <c r="C106" s="2" t="s">
        <v>627</v>
      </c>
      <c r="D106" s="2" t="s">
        <v>628</v>
      </c>
      <c r="E106" s="10" t="s">
        <v>657</v>
      </c>
    </row>
    <row r="107" spans="1:5" ht="69">
      <c r="A107" s="2" t="s">
        <v>485</v>
      </c>
      <c r="B107" s="2" t="s">
        <v>631</v>
      </c>
      <c r="C107" s="2" t="s">
        <v>627</v>
      </c>
      <c r="D107" s="2" t="s">
        <v>628</v>
      </c>
      <c r="E107" s="10" t="s">
        <v>658</v>
      </c>
    </row>
    <row r="108" spans="1:5" ht="69">
      <c r="A108" s="2" t="s">
        <v>485</v>
      </c>
      <c r="B108" s="2" t="s">
        <v>632</v>
      </c>
      <c r="C108" s="2" t="s">
        <v>627</v>
      </c>
      <c r="D108" s="2" t="s">
        <v>628</v>
      </c>
      <c r="E108" s="10" t="s">
        <v>658</v>
      </c>
    </row>
    <row r="109" spans="1:5" ht="69">
      <c r="A109" s="2" t="s">
        <v>485</v>
      </c>
      <c r="B109" s="2" t="s">
        <v>633</v>
      </c>
      <c r="C109" s="2" t="s">
        <v>627</v>
      </c>
      <c r="D109" s="2" t="s">
        <v>628</v>
      </c>
      <c r="E109" s="10" t="s">
        <v>658</v>
      </c>
    </row>
    <row r="110" spans="1:5" ht="69">
      <c r="A110" s="2" t="s">
        <v>485</v>
      </c>
      <c r="B110" s="2" t="s">
        <v>642</v>
      </c>
      <c r="C110" s="2" t="s">
        <v>627</v>
      </c>
      <c r="D110" s="2" t="s">
        <v>628</v>
      </c>
      <c r="E110" s="10" t="s">
        <v>658</v>
      </c>
    </row>
    <row r="111" spans="1:5" ht="69">
      <c r="A111" s="2" t="s">
        <v>485</v>
      </c>
      <c r="B111" s="2" t="s">
        <v>643</v>
      </c>
      <c r="C111" s="2" t="s">
        <v>627</v>
      </c>
      <c r="D111" s="2" t="s">
        <v>628</v>
      </c>
      <c r="E111" s="10" t="s">
        <v>658</v>
      </c>
    </row>
    <row r="112" spans="1:5" ht="69">
      <c r="A112" s="2" t="s">
        <v>488</v>
      </c>
      <c r="B112" s="2" t="s">
        <v>631</v>
      </c>
      <c r="C112" s="2" t="s">
        <v>627</v>
      </c>
      <c r="D112" s="2" t="s">
        <v>628</v>
      </c>
      <c r="E112" s="10" t="s">
        <v>659</v>
      </c>
    </row>
    <row r="113" spans="1:5" ht="69">
      <c r="A113" s="2" t="s">
        <v>488</v>
      </c>
      <c r="B113" s="2" t="s">
        <v>632</v>
      </c>
      <c r="C113" s="2" t="s">
        <v>627</v>
      </c>
      <c r="D113" s="2" t="s">
        <v>628</v>
      </c>
      <c r="E113" s="10" t="s">
        <v>659</v>
      </c>
    </row>
    <row r="114" spans="1:5" ht="69">
      <c r="A114" s="2" t="s">
        <v>488</v>
      </c>
      <c r="B114" s="2" t="s">
        <v>633</v>
      </c>
      <c r="C114" s="2" t="s">
        <v>627</v>
      </c>
      <c r="D114" s="2" t="s">
        <v>628</v>
      </c>
      <c r="E114" s="10" t="s">
        <v>659</v>
      </c>
    </row>
    <row r="115" spans="1:5" ht="69">
      <c r="A115" s="2" t="s">
        <v>488</v>
      </c>
      <c r="B115" s="2" t="s">
        <v>642</v>
      </c>
      <c r="C115" s="2" t="s">
        <v>627</v>
      </c>
      <c r="D115" s="2" t="s">
        <v>628</v>
      </c>
      <c r="E115" s="10" t="s">
        <v>659</v>
      </c>
    </row>
    <row r="116" spans="1:5" ht="69">
      <c r="A116" s="2" t="s">
        <v>488</v>
      </c>
      <c r="B116" s="2" t="s">
        <v>643</v>
      </c>
      <c r="C116" s="2" t="s">
        <v>627</v>
      </c>
      <c r="D116" s="2" t="s">
        <v>628</v>
      </c>
      <c r="E116" s="10" t="s">
        <v>659</v>
      </c>
    </row>
    <row r="117" spans="1:5" ht="69">
      <c r="A117" s="2" t="s">
        <v>491</v>
      </c>
      <c r="B117" s="2" t="s">
        <v>632</v>
      </c>
      <c r="C117" s="2" t="s">
        <v>627</v>
      </c>
      <c r="D117" s="2" t="s">
        <v>628</v>
      </c>
      <c r="E117" s="10" t="s">
        <v>660</v>
      </c>
    </row>
    <row r="118" spans="1:5" ht="69">
      <c r="A118" s="2" t="s">
        <v>491</v>
      </c>
      <c r="B118" s="2" t="s">
        <v>633</v>
      </c>
      <c r="C118" s="2" t="s">
        <v>627</v>
      </c>
      <c r="D118" s="2" t="s">
        <v>628</v>
      </c>
      <c r="E118" s="10" t="s">
        <v>660</v>
      </c>
    </row>
    <row r="119" spans="1:5" ht="69">
      <c r="A119" s="2" t="s">
        <v>491</v>
      </c>
      <c r="B119" s="2" t="s">
        <v>642</v>
      </c>
      <c r="C119" s="2" t="s">
        <v>627</v>
      </c>
      <c r="D119" s="2" t="s">
        <v>628</v>
      </c>
      <c r="E119" s="10" t="s">
        <v>660</v>
      </c>
    </row>
    <row r="120" spans="1:5" ht="69">
      <c r="A120" s="2" t="s">
        <v>491</v>
      </c>
      <c r="B120" s="2" t="s">
        <v>643</v>
      </c>
      <c r="C120" s="2" t="s">
        <v>627</v>
      </c>
      <c r="D120" s="2" t="s">
        <v>628</v>
      </c>
      <c r="E120" s="10" t="s">
        <v>660</v>
      </c>
    </row>
    <row r="121" spans="1:5" ht="69">
      <c r="A121" s="2" t="s">
        <v>491</v>
      </c>
      <c r="B121" s="2" t="s">
        <v>661</v>
      </c>
      <c r="C121" s="2" t="s">
        <v>627</v>
      </c>
      <c r="D121" s="2" t="s">
        <v>628</v>
      </c>
      <c r="E121" s="10" t="s">
        <v>660</v>
      </c>
    </row>
    <row r="122" spans="1:5" ht="69">
      <c r="A122" s="2" t="s">
        <v>494</v>
      </c>
      <c r="B122" s="2" t="s">
        <v>632</v>
      </c>
      <c r="C122" s="2" t="s">
        <v>627</v>
      </c>
      <c r="D122" s="2" t="s">
        <v>628</v>
      </c>
      <c r="E122" s="10" t="s">
        <v>662</v>
      </c>
    </row>
    <row r="123" spans="1:5" ht="69">
      <c r="A123" s="2" t="s">
        <v>494</v>
      </c>
      <c r="B123" s="2" t="s">
        <v>633</v>
      </c>
      <c r="C123" s="2" t="s">
        <v>627</v>
      </c>
      <c r="D123" s="2" t="s">
        <v>628</v>
      </c>
      <c r="E123" s="10" t="s">
        <v>662</v>
      </c>
    </row>
    <row r="124" spans="1:5" ht="69">
      <c r="A124" s="2" t="s">
        <v>494</v>
      </c>
      <c r="B124" s="2" t="s">
        <v>642</v>
      </c>
      <c r="C124" s="2" t="s">
        <v>627</v>
      </c>
      <c r="D124" s="2" t="s">
        <v>628</v>
      </c>
      <c r="E124" s="10" t="s">
        <v>662</v>
      </c>
    </row>
    <row r="125" spans="1:5" ht="69">
      <c r="A125" s="2" t="s">
        <v>494</v>
      </c>
      <c r="B125" s="2" t="s">
        <v>643</v>
      </c>
      <c r="C125" s="2" t="s">
        <v>627</v>
      </c>
      <c r="D125" s="2" t="s">
        <v>628</v>
      </c>
      <c r="E125" s="10" t="s">
        <v>662</v>
      </c>
    </row>
    <row r="126" spans="1:5" ht="69">
      <c r="A126" s="2" t="s">
        <v>494</v>
      </c>
      <c r="B126" s="2" t="s">
        <v>661</v>
      </c>
      <c r="C126" s="2" t="s">
        <v>627</v>
      </c>
      <c r="D126" s="2" t="s">
        <v>628</v>
      </c>
      <c r="E126" s="10" t="s">
        <v>662</v>
      </c>
    </row>
    <row r="127" spans="1:5" ht="69">
      <c r="A127" s="2" t="s">
        <v>497</v>
      </c>
      <c r="B127" s="2" t="s">
        <v>632</v>
      </c>
      <c r="C127" s="2" t="s">
        <v>627</v>
      </c>
      <c r="D127" s="2" t="s">
        <v>628</v>
      </c>
      <c r="E127" s="10" t="s">
        <v>663</v>
      </c>
    </row>
    <row r="128" spans="1:5" ht="69">
      <c r="A128" s="2" t="s">
        <v>497</v>
      </c>
      <c r="B128" s="2" t="s">
        <v>633</v>
      </c>
      <c r="C128" s="2" t="s">
        <v>627</v>
      </c>
      <c r="D128" s="2" t="s">
        <v>628</v>
      </c>
      <c r="E128" s="10" t="s">
        <v>663</v>
      </c>
    </row>
    <row r="129" spans="1:5" ht="69">
      <c r="A129" s="2" t="s">
        <v>497</v>
      </c>
      <c r="B129" s="2" t="s">
        <v>642</v>
      </c>
      <c r="C129" s="2" t="s">
        <v>627</v>
      </c>
      <c r="D129" s="2" t="s">
        <v>628</v>
      </c>
      <c r="E129" s="10" t="s">
        <v>663</v>
      </c>
    </row>
    <row r="130" spans="1:5" ht="69">
      <c r="A130" s="2" t="s">
        <v>497</v>
      </c>
      <c r="B130" s="2" t="s">
        <v>643</v>
      </c>
      <c r="C130" s="2" t="s">
        <v>627</v>
      </c>
      <c r="D130" s="2" t="s">
        <v>628</v>
      </c>
      <c r="E130" s="10" t="s">
        <v>663</v>
      </c>
    </row>
    <row r="131" spans="1:5" ht="69">
      <c r="A131" s="2" t="s">
        <v>497</v>
      </c>
      <c r="B131" s="2" t="s">
        <v>661</v>
      </c>
      <c r="C131" s="2" t="s">
        <v>627</v>
      </c>
      <c r="D131" s="2" t="s">
        <v>628</v>
      </c>
      <c r="E131" s="10" t="s">
        <v>663</v>
      </c>
    </row>
    <row r="132" spans="1:5" ht="69">
      <c r="A132" s="2" t="s">
        <v>500</v>
      </c>
      <c r="B132" s="2" t="s">
        <v>632</v>
      </c>
      <c r="C132" s="2" t="s">
        <v>627</v>
      </c>
      <c r="D132" s="2" t="s">
        <v>628</v>
      </c>
      <c r="E132" s="10" t="s">
        <v>664</v>
      </c>
    </row>
    <row r="133" spans="1:5" ht="69">
      <c r="A133" s="2" t="s">
        <v>500</v>
      </c>
      <c r="B133" s="2" t="s">
        <v>633</v>
      </c>
      <c r="C133" s="2" t="s">
        <v>627</v>
      </c>
      <c r="D133" s="2" t="s">
        <v>628</v>
      </c>
      <c r="E133" s="10" t="s">
        <v>664</v>
      </c>
    </row>
    <row r="134" spans="1:5" ht="69">
      <c r="A134" s="2" t="s">
        <v>500</v>
      </c>
      <c r="B134" s="2" t="s">
        <v>642</v>
      </c>
      <c r="C134" s="2" t="s">
        <v>627</v>
      </c>
      <c r="D134" s="2" t="s">
        <v>628</v>
      </c>
      <c r="E134" s="10" t="s">
        <v>664</v>
      </c>
    </row>
    <row r="135" spans="1:5" ht="69">
      <c r="A135" s="2" t="s">
        <v>500</v>
      </c>
      <c r="B135" s="2" t="s">
        <v>643</v>
      </c>
      <c r="C135" s="2" t="s">
        <v>627</v>
      </c>
      <c r="D135" s="2" t="s">
        <v>628</v>
      </c>
      <c r="E135" s="10" t="s">
        <v>664</v>
      </c>
    </row>
    <row r="136" spans="1:5" ht="69">
      <c r="A136" s="2" t="s">
        <v>500</v>
      </c>
      <c r="B136" s="2" t="s">
        <v>661</v>
      </c>
      <c r="C136" s="2" t="s">
        <v>627</v>
      </c>
      <c r="D136" s="2" t="s">
        <v>628</v>
      </c>
      <c r="E136" s="10" t="s">
        <v>664</v>
      </c>
    </row>
    <row r="137" spans="1:5" ht="69">
      <c r="A137" s="2" t="s">
        <v>503</v>
      </c>
      <c r="B137" s="2" t="s">
        <v>632</v>
      </c>
      <c r="C137" s="2" t="s">
        <v>627</v>
      </c>
      <c r="D137" s="2" t="s">
        <v>628</v>
      </c>
      <c r="E137" s="10" t="s">
        <v>665</v>
      </c>
    </row>
    <row r="138" spans="1:5" ht="69">
      <c r="A138" s="2" t="s">
        <v>503</v>
      </c>
      <c r="B138" s="2" t="s">
        <v>633</v>
      </c>
      <c r="C138" s="2" t="s">
        <v>627</v>
      </c>
      <c r="D138" s="2" t="s">
        <v>628</v>
      </c>
      <c r="E138" s="10" t="s">
        <v>665</v>
      </c>
    </row>
    <row r="139" spans="1:5" ht="69">
      <c r="A139" s="2" t="s">
        <v>503</v>
      </c>
      <c r="B139" s="2" t="s">
        <v>642</v>
      </c>
      <c r="C139" s="2" t="s">
        <v>627</v>
      </c>
      <c r="D139" s="2" t="s">
        <v>628</v>
      </c>
      <c r="E139" s="10" t="s">
        <v>665</v>
      </c>
    </row>
    <row r="140" spans="1:5" ht="69">
      <c r="A140" s="2" t="s">
        <v>503</v>
      </c>
      <c r="B140" s="2" t="s">
        <v>643</v>
      </c>
      <c r="C140" s="2" t="s">
        <v>627</v>
      </c>
      <c r="D140" s="2" t="s">
        <v>628</v>
      </c>
      <c r="E140" s="10" t="s">
        <v>665</v>
      </c>
    </row>
    <row r="141" spans="1:5" ht="69">
      <c r="A141" s="2" t="s">
        <v>503</v>
      </c>
      <c r="B141" s="2" t="s">
        <v>661</v>
      </c>
      <c r="C141" s="2" t="s">
        <v>627</v>
      </c>
      <c r="D141" s="2" t="s">
        <v>628</v>
      </c>
      <c r="E141" s="10" t="s">
        <v>665</v>
      </c>
    </row>
    <row r="142" spans="1:5" ht="69">
      <c r="A142" s="2" t="s">
        <v>506</v>
      </c>
      <c r="B142" s="2" t="s">
        <v>632</v>
      </c>
      <c r="C142" s="2" t="s">
        <v>627</v>
      </c>
      <c r="D142" s="2" t="s">
        <v>628</v>
      </c>
      <c r="E142" s="10" t="s">
        <v>666</v>
      </c>
    </row>
    <row r="143" spans="1:5" ht="69">
      <c r="A143" s="2" t="s">
        <v>506</v>
      </c>
      <c r="B143" s="2" t="s">
        <v>633</v>
      </c>
      <c r="C143" s="2" t="s">
        <v>627</v>
      </c>
      <c r="D143" s="2" t="s">
        <v>628</v>
      </c>
      <c r="E143" s="10" t="s">
        <v>666</v>
      </c>
    </row>
    <row r="144" spans="1:5" ht="69">
      <c r="A144" s="2" t="s">
        <v>506</v>
      </c>
      <c r="B144" s="2" t="s">
        <v>642</v>
      </c>
      <c r="C144" s="2" t="s">
        <v>627</v>
      </c>
      <c r="D144" s="2" t="s">
        <v>628</v>
      </c>
      <c r="E144" s="10" t="s">
        <v>666</v>
      </c>
    </row>
    <row r="145" spans="1:5" ht="69">
      <c r="A145" s="2" t="s">
        <v>506</v>
      </c>
      <c r="B145" s="2" t="s">
        <v>643</v>
      </c>
      <c r="C145" s="2" t="s">
        <v>627</v>
      </c>
      <c r="D145" s="2" t="s">
        <v>628</v>
      </c>
      <c r="E145" s="10" t="s">
        <v>666</v>
      </c>
    </row>
    <row r="146" spans="1:5" ht="69">
      <c r="A146" s="2" t="s">
        <v>506</v>
      </c>
      <c r="B146" s="2" t="s">
        <v>661</v>
      </c>
      <c r="C146" s="2" t="s">
        <v>627</v>
      </c>
      <c r="D146" s="2" t="s">
        <v>628</v>
      </c>
      <c r="E146" s="10" t="s">
        <v>666</v>
      </c>
    </row>
    <row r="147" spans="1:5" ht="69">
      <c r="A147" s="2" t="s">
        <v>509</v>
      </c>
      <c r="B147" s="2" t="s">
        <v>632</v>
      </c>
      <c r="C147" s="2" t="s">
        <v>627</v>
      </c>
      <c r="D147" s="2" t="s">
        <v>628</v>
      </c>
      <c r="E147" s="10" t="s">
        <v>667</v>
      </c>
    </row>
    <row r="148" spans="1:5" ht="69">
      <c r="A148" s="2" t="s">
        <v>509</v>
      </c>
      <c r="B148" s="2" t="s">
        <v>633</v>
      </c>
      <c r="C148" s="2" t="s">
        <v>627</v>
      </c>
      <c r="D148" s="2" t="s">
        <v>628</v>
      </c>
      <c r="E148" s="10" t="s">
        <v>667</v>
      </c>
    </row>
    <row r="149" spans="1:5" ht="69">
      <c r="A149" s="2" t="s">
        <v>509</v>
      </c>
      <c r="B149" s="2" t="s">
        <v>642</v>
      </c>
      <c r="C149" s="2" t="s">
        <v>627</v>
      </c>
      <c r="D149" s="2" t="s">
        <v>628</v>
      </c>
      <c r="E149" s="10" t="s">
        <v>667</v>
      </c>
    </row>
    <row r="150" spans="1:5" ht="69">
      <c r="A150" s="2" t="s">
        <v>509</v>
      </c>
      <c r="B150" s="2" t="s">
        <v>643</v>
      </c>
      <c r="C150" s="2" t="s">
        <v>627</v>
      </c>
      <c r="D150" s="2" t="s">
        <v>628</v>
      </c>
      <c r="E150" s="10" t="s">
        <v>667</v>
      </c>
    </row>
    <row r="151" spans="1:5" ht="69">
      <c r="A151" s="2" t="s">
        <v>509</v>
      </c>
      <c r="B151" s="2" t="s">
        <v>661</v>
      </c>
      <c r="C151" s="2" t="s">
        <v>627</v>
      </c>
      <c r="D151" s="2" t="s">
        <v>628</v>
      </c>
      <c r="E151" s="10" t="s">
        <v>667</v>
      </c>
    </row>
    <row r="152" spans="1:5" ht="69">
      <c r="A152" s="2" t="s">
        <v>512</v>
      </c>
      <c r="B152" s="2" t="s">
        <v>632</v>
      </c>
      <c r="C152" s="2" t="s">
        <v>627</v>
      </c>
      <c r="D152" s="2" t="s">
        <v>628</v>
      </c>
      <c r="E152" s="10" t="s">
        <v>668</v>
      </c>
    </row>
    <row r="153" spans="1:5" ht="69">
      <c r="A153" s="2" t="s">
        <v>512</v>
      </c>
      <c r="B153" s="2" t="s">
        <v>633</v>
      </c>
      <c r="C153" s="2" t="s">
        <v>627</v>
      </c>
      <c r="D153" s="2" t="s">
        <v>628</v>
      </c>
      <c r="E153" s="10" t="s">
        <v>668</v>
      </c>
    </row>
    <row r="154" spans="1:5" ht="69">
      <c r="A154" s="2" t="s">
        <v>512</v>
      </c>
      <c r="B154" s="2" t="s">
        <v>642</v>
      </c>
      <c r="C154" s="2" t="s">
        <v>627</v>
      </c>
      <c r="D154" s="2" t="s">
        <v>628</v>
      </c>
      <c r="E154" s="10" t="s">
        <v>668</v>
      </c>
    </row>
    <row r="155" spans="1:5" ht="69">
      <c r="A155" s="2" t="s">
        <v>512</v>
      </c>
      <c r="B155" s="2" t="s">
        <v>643</v>
      </c>
      <c r="C155" s="2" t="s">
        <v>627</v>
      </c>
      <c r="D155" s="2" t="s">
        <v>628</v>
      </c>
      <c r="E155" s="10" t="s">
        <v>668</v>
      </c>
    </row>
    <row r="156" spans="1:5" ht="69">
      <c r="A156" s="2" t="s">
        <v>512</v>
      </c>
      <c r="B156" s="2" t="s">
        <v>661</v>
      </c>
      <c r="C156" s="2" t="s">
        <v>627</v>
      </c>
      <c r="D156" s="2" t="s">
        <v>628</v>
      </c>
      <c r="E156" s="10" t="s">
        <v>668</v>
      </c>
    </row>
    <row r="157" spans="1:5" ht="69">
      <c r="A157" s="2" t="s">
        <v>515</v>
      </c>
      <c r="B157" s="2" t="s">
        <v>633</v>
      </c>
      <c r="C157" s="2" t="s">
        <v>627</v>
      </c>
      <c r="D157" s="2" t="s">
        <v>628</v>
      </c>
      <c r="E157" s="10" t="s">
        <v>669</v>
      </c>
    </row>
    <row r="158" spans="1:5" ht="69">
      <c r="A158" s="2" t="s">
        <v>515</v>
      </c>
      <c r="B158" s="2" t="s">
        <v>642</v>
      </c>
      <c r="C158" s="2" t="s">
        <v>627</v>
      </c>
      <c r="D158" s="2" t="s">
        <v>628</v>
      </c>
      <c r="E158" s="10" t="s">
        <v>669</v>
      </c>
    </row>
    <row r="159" spans="1:5" ht="69">
      <c r="A159" s="2" t="s">
        <v>515</v>
      </c>
      <c r="B159" s="2" t="s">
        <v>643</v>
      </c>
      <c r="C159" s="2" t="s">
        <v>627</v>
      </c>
      <c r="D159" s="2" t="s">
        <v>628</v>
      </c>
      <c r="E159" s="10" t="s">
        <v>669</v>
      </c>
    </row>
    <row r="160" spans="1:5" ht="69">
      <c r="A160" s="2" t="s">
        <v>515</v>
      </c>
      <c r="B160" s="2" t="s">
        <v>661</v>
      </c>
      <c r="C160" s="2" t="s">
        <v>627</v>
      </c>
      <c r="D160" s="2" t="s">
        <v>628</v>
      </c>
      <c r="E160" s="10" t="s">
        <v>669</v>
      </c>
    </row>
    <row r="161" spans="1:5" ht="69">
      <c r="A161" s="2" t="s">
        <v>515</v>
      </c>
      <c r="B161" s="2" t="s">
        <v>670</v>
      </c>
      <c r="C161" s="2" t="s">
        <v>627</v>
      </c>
      <c r="D161" s="2" t="s">
        <v>628</v>
      </c>
      <c r="E161" s="10" t="s">
        <v>669</v>
      </c>
    </row>
    <row r="162" spans="1:5" ht="69">
      <c r="A162" s="2" t="s">
        <v>518</v>
      </c>
      <c r="B162" s="2" t="s">
        <v>633</v>
      </c>
      <c r="C162" s="2" t="s">
        <v>627</v>
      </c>
      <c r="D162" s="2" t="s">
        <v>628</v>
      </c>
      <c r="E162" s="10" t="s">
        <v>671</v>
      </c>
    </row>
    <row r="163" spans="1:5" ht="69">
      <c r="A163" s="2" t="s">
        <v>518</v>
      </c>
      <c r="B163" s="2" t="s">
        <v>642</v>
      </c>
      <c r="C163" s="2" t="s">
        <v>627</v>
      </c>
      <c r="D163" s="2" t="s">
        <v>628</v>
      </c>
      <c r="E163" s="10" t="s">
        <v>671</v>
      </c>
    </row>
    <row r="164" spans="1:5" ht="69">
      <c r="A164" s="2" t="s">
        <v>518</v>
      </c>
      <c r="B164" s="2" t="s">
        <v>643</v>
      </c>
      <c r="C164" s="2" t="s">
        <v>627</v>
      </c>
      <c r="D164" s="2" t="s">
        <v>628</v>
      </c>
      <c r="E164" s="10" t="s">
        <v>671</v>
      </c>
    </row>
    <row r="165" spans="1:5" ht="69">
      <c r="A165" s="2" t="s">
        <v>518</v>
      </c>
      <c r="B165" s="2" t="s">
        <v>661</v>
      </c>
      <c r="C165" s="2" t="s">
        <v>627</v>
      </c>
      <c r="D165" s="2" t="s">
        <v>628</v>
      </c>
      <c r="E165" s="10" t="s">
        <v>671</v>
      </c>
    </row>
    <row r="166" spans="1:5" ht="69">
      <c r="A166" s="2" t="s">
        <v>518</v>
      </c>
      <c r="B166" s="2" t="s">
        <v>670</v>
      </c>
      <c r="C166" s="2" t="s">
        <v>627</v>
      </c>
      <c r="D166" s="2" t="s">
        <v>628</v>
      </c>
      <c r="E166" s="10" t="s">
        <v>671</v>
      </c>
    </row>
    <row r="167" spans="1:5" ht="69">
      <c r="A167" s="2" t="s">
        <v>521</v>
      </c>
      <c r="B167" s="2" t="s">
        <v>633</v>
      </c>
      <c r="C167" s="2" t="s">
        <v>627</v>
      </c>
      <c r="D167" s="2" t="s">
        <v>628</v>
      </c>
      <c r="E167" s="10" t="s">
        <v>672</v>
      </c>
    </row>
    <row r="168" spans="1:5" ht="69">
      <c r="A168" s="2" t="s">
        <v>521</v>
      </c>
      <c r="B168" s="2" t="s">
        <v>642</v>
      </c>
      <c r="C168" s="2" t="s">
        <v>627</v>
      </c>
      <c r="D168" s="2" t="s">
        <v>628</v>
      </c>
      <c r="E168" s="10" t="s">
        <v>672</v>
      </c>
    </row>
    <row r="169" spans="1:5" ht="69">
      <c r="A169" s="2" t="s">
        <v>521</v>
      </c>
      <c r="B169" s="2" t="s">
        <v>643</v>
      </c>
      <c r="C169" s="2" t="s">
        <v>627</v>
      </c>
      <c r="D169" s="2" t="s">
        <v>628</v>
      </c>
      <c r="E169" s="10" t="s">
        <v>672</v>
      </c>
    </row>
    <row r="170" spans="1:5" ht="69">
      <c r="A170" s="2" t="s">
        <v>521</v>
      </c>
      <c r="B170" s="2" t="s">
        <v>661</v>
      </c>
      <c r="C170" s="2" t="s">
        <v>627</v>
      </c>
      <c r="D170" s="2" t="s">
        <v>628</v>
      </c>
      <c r="E170" s="10" t="s">
        <v>672</v>
      </c>
    </row>
    <row r="171" spans="1:5" ht="69">
      <c r="A171" s="2" t="s">
        <v>521</v>
      </c>
      <c r="B171" s="2" t="s">
        <v>670</v>
      </c>
      <c r="C171" s="2" t="s">
        <v>627</v>
      </c>
      <c r="D171" s="2" t="s">
        <v>628</v>
      </c>
      <c r="E171" s="10" t="s">
        <v>672</v>
      </c>
    </row>
    <row r="172" spans="1:5" ht="69">
      <c r="A172" s="2" t="s">
        <v>524</v>
      </c>
      <c r="B172" s="2" t="s">
        <v>633</v>
      </c>
      <c r="C172" s="2" t="s">
        <v>627</v>
      </c>
      <c r="D172" s="2" t="s">
        <v>628</v>
      </c>
      <c r="E172" s="10" t="s">
        <v>673</v>
      </c>
    </row>
    <row r="173" spans="1:5" ht="69">
      <c r="A173" s="2" t="s">
        <v>524</v>
      </c>
      <c r="B173" s="2" t="s">
        <v>642</v>
      </c>
      <c r="C173" s="2" t="s">
        <v>627</v>
      </c>
      <c r="D173" s="2" t="s">
        <v>628</v>
      </c>
      <c r="E173" s="10" t="s">
        <v>673</v>
      </c>
    </row>
    <row r="174" spans="1:5" ht="69">
      <c r="A174" s="2" t="s">
        <v>524</v>
      </c>
      <c r="B174" s="2" t="s">
        <v>643</v>
      </c>
      <c r="C174" s="2" t="s">
        <v>627</v>
      </c>
      <c r="D174" s="2" t="s">
        <v>628</v>
      </c>
      <c r="E174" s="10" t="s">
        <v>673</v>
      </c>
    </row>
    <row r="175" spans="1:5" ht="69">
      <c r="A175" s="2" t="s">
        <v>524</v>
      </c>
      <c r="B175" s="2" t="s">
        <v>661</v>
      </c>
      <c r="C175" s="2" t="s">
        <v>627</v>
      </c>
      <c r="D175" s="2" t="s">
        <v>628</v>
      </c>
      <c r="E175" s="10" t="s">
        <v>673</v>
      </c>
    </row>
    <row r="176" spans="1:5" ht="69">
      <c r="A176" s="2" t="s">
        <v>524</v>
      </c>
      <c r="B176" s="2" t="s">
        <v>670</v>
      </c>
      <c r="C176" s="2" t="s">
        <v>627</v>
      </c>
      <c r="D176" s="2" t="s">
        <v>628</v>
      </c>
      <c r="E176" s="10" t="s">
        <v>673</v>
      </c>
    </row>
    <row r="177" spans="1:5" ht="69">
      <c r="A177" s="2" t="s">
        <v>527</v>
      </c>
      <c r="B177" s="2" t="s">
        <v>633</v>
      </c>
      <c r="C177" s="2" t="s">
        <v>627</v>
      </c>
      <c r="D177" s="2" t="s">
        <v>628</v>
      </c>
      <c r="E177" s="10" t="s">
        <v>674</v>
      </c>
    </row>
    <row r="178" spans="1:5" ht="69">
      <c r="A178" s="2" t="s">
        <v>527</v>
      </c>
      <c r="B178" s="2" t="s">
        <v>642</v>
      </c>
      <c r="C178" s="2" t="s">
        <v>627</v>
      </c>
      <c r="D178" s="2" t="s">
        <v>628</v>
      </c>
      <c r="E178" s="10" t="s">
        <v>674</v>
      </c>
    </row>
    <row r="179" spans="1:5" ht="69">
      <c r="A179" s="2" t="s">
        <v>527</v>
      </c>
      <c r="B179" s="2" t="s">
        <v>643</v>
      </c>
      <c r="C179" s="2" t="s">
        <v>627</v>
      </c>
      <c r="D179" s="2" t="s">
        <v>628</v>
      </c>
      <c r="E179" s="10" t="s">
        <v>674</v>
      </c>
    </row>
    <row r="180" spans="1:5" ht="69">
      <c r="A180" s="2" t="s">
        <v>527</v>
      </c>
      <c r="B180" s="2" t="s">
        <v>661</v>
      </c>
      <c r="C180" s="2" t="s">
        <v>627</v>
      </c>
      <c r="D180" s="2" t="s">
        <v>628</v>
      </c>
      <c r="E180" s="10" t="s">
        <v>674</v>
      </c>
    </row>
    <row r="181" spans="1:5" ht="69">
      <c r="A181" s="2" t="s">
        <v>527</v>
      </c>
      <c r="B181" s="2" t="s">
        <v>670</v>
      </c>
      <c r="C181" s="2" t="s">
        <v>627</v>
      </c>
      <c r="D181" s="2" t="s">
        <v>628</v>
      </c>
      <c r="E181" s="10" t="s">
        <v>674</v>
      </c>
    </row>
    <row r="182" spans="1:5" ht="69">
      <c r="A182" s="2" t="s">
        <v>530</v>
      </c>
      <c r="B182" s="2" t="s">
        <v>633</v>
      </c>
      <c r="C182" s="2" t="s">
        <v>627</v>
      </c>
      <c r="D182" s="2" t="s">
        <v>628</v>
      </c>
      <c r="E182" s="10" t="s">
        <v>675</v>
      </c>
    </row>
    <row r="183" spans="1:5" ht="69">
      <c r="A183" s="2" t="s">
        <v>530</v>
      </c>
      <c r="B183" s="2" t="s">
        <v>642</v>
      </c>
      <c r="C183" s="2" t="s">
        <v>627</v>
      </c>
      <c r="D183" s="2" t="s">
        <v>628</v>
      </c>
      <c r="E183" s="10" t="s">
        <v>675</v>
      </c>
    </row>
    <row r="184" spans="1:5" ht="69">
      <c r="A184" s="2" t="s">
        <v>530</v>
      </c>
      <c r="B184" s="2" t="s">
        <v>643</v>
      </c>
      <c r="C184" s="2" t="s">
        <v>627</v>
      </c>
      <c r="D184" s="2" t="s">
        <v>628</v>
      </c>
      <c r="E184" s="10" t="s">
        <v>675</v>
      </c>
    </row>
    <row r="185" spans="1:5" ht="69">
      <c r="A185" s="2" t="s">
        <v>530</v>
      </c>
      <c r="B185" s="2" t="s">
        <v>661</v>
      </c>
      <c r="C185" s="2" t="s">
        <v>627</v>
      </c>
      <c r="D185" s="2" t="s">
        <v>628</v>
      </c>
      <c r="E185" s="10" t="s">
        <v>675</v>
      </c>
    </row>
    <row r="186" spans="1:5" ht="69">
      <c r="A186" s="2" t="s">
        <v>530</v>
      </c>
      <c r="B186" s="2" t="s">
        <v>670</v>
      </c>
      <c r="C186" s="2" t="s">
        <v>627</v>
      </c>
      <c r="D186" s="2" t="s">
        <v>628</v>
      </c>
      <c r="E186" s="10" t="s">
        <v>675</v>
      </c>
    </row>
    <row r="187" spans="1:5" ht="69">
      <c r="A187" s="2" t="s">
        <v>533</v>
      </c>
      <c r="B187" s="2" t="s">
        <v>633</v>
      </c>
      <c r="C187" s="2" t="s">
        <v>627</v>
      </c>
      <c r="D187" s="2" t="s">
        <v>628</v>
      </c>
      <c r="E187" s="10" t="s">
        <v>676</v>
      </c>
    </row>
    <row r="188" spans="1:5" ht="69">
      <c r="A188" s="2" t="s">
        <v>533</v>
      </c>
      <c r="B188" s="2" t="s">
        <v>642</v>
      </c>
      <c r="C188" s="2" t="s">
        <v>627</v>
      </c>
      <c r="D188" s="2" t="s">
        <v>628</v>
      </c>
      <c r="E188" s="10" t="s">
        <v>676</v>
      </c>
    </row>
    <row r="189" spans="1:5" ht="69">
      <c r="A189" s="2" t="s">
        <v>533</v>
      </c>
      <c r="B189" s="2" t="s">
        <v>643</v>
      </c>
      <c r="C189" s="2" t="s">
        <v>627</v>
      </c>
      <c r="D189" s="2" t="s">
        <v>628</v>
      </c>
      <c r="E189" s="10" t="s">
        <v>676</v>
      </c>
    </row>
    <row r="190" spans="1:5" ht="69">
      <c r="A190" s="2" t="s">
        <v>533</v>
      </c>
      <c r="B190" s="2" t="s">
        <v>661</v>
      </c>
      <c r="C190" s="2" t="s">
        <v>627</v>
      </c>
      <c r="D190" s="2" t="s">
        <v>628</v>
      </c>
      <c r="E190" s="10" t="s">
        <v>676</v>
      </c>
    </row>
    <row r="191" spans="1:5" ht="69">
      <c r="A191" s="2" t="s">
        <v>533</v>
      </c>
      <c r="B191" s="2" t="s">
        <v>670</v>
      </c>
      <c r="C191" s="2" t="s">
        <v>627</v>
      </c>
      <c r="D191" s="2" t="s">
        <v>628</v>
      </c>
      <c r="E191" s="10" t="s">
        <v>676</v>
      </c>
    </row>
    <row r="192" spans="1:5" ht="69">
      <c r="A192" s="2" t="s">
        <v>536</v>
      </c>
      <c r="B192" s="2" t="s">
        <v>633</v>
      </c>
      <c r="C192" s="2" t="s">
        <v>627</v>
      </c>
      <c r="D192" s="2" t="s">
        <v>628</v>
      </c>
      <c r="E192" s="10" t="s">
        <v>677</v>
      </c>
    </row>
    <row r="193" spans="1:5" ht="69">
      <c r="A193" s="2" t="s">
        <v>536</v>
      </c>
      <c r="B193" s="2" t="s">
        <v>642</v>
      </c>
      <c r="C193" s="2" t="s">
        <v>627</v>
      </c>
      <c r="D193" s="2" t="s">
        <v>628</v>
      </c>
      <c r="E193" s="10" t="s">
        <v>677</v>
      </c>
    </row>
    <row r="194" spans="1:5" ht="69">
      <c r="A194" s="2" t="s">
        <v>536</v>
      </c>
      <c r="B194" s="2" t="s">
        <v>643</v>
      </c>
      <c r="C194" s="2" t="s">
        <v>627</v>
      </c>
      <c r="D194" s="2" t="s">
        <v>628</v>
      </c>
      <c r="E194" s="10" t="s">
        <v>677</v>
      </c>
    </row>
    <row r="195" spans="1:5" ht="69">
      <c r="A195" s="2" t="s">
        <v>536</v>
      </c>
      <c r="B195" s="2" t="s">
        <v>661</v>
      </c>
      <c r="C195" s="2" t="s">
        <v>627</v>
      </c>
      <c r="D195" s="2" t="s">
        <v>628</v>
      </c>
      <c r="E195" s="10" t="s">
        <v>677</v>
      </c>
    </row>
    <row r="196" spans="1:5" ht="69">
      <c r="A196" s="2" t="s">
        <v>536</v>
      </c>
      <c r="B196" s="2" t="s">
        <v>670</v>
      </c>
      <c r="C196" s="2" t="s">
        <v>627</v>
      </c>
      <c r="D196" s="2" t="s">
        <v>628</v>
      </c>
      <c r="E196" s="10" t="s">
        <v>677</v>
      </c>
    </row>
    <row r="197" spans="1:5" ht="69">
      <c r="A197" s="2" t="s">
        <v>539</v>
      </c>
      <c r="B197" s="2" t="s">
        <v>633</v>
      </c>
      <c r="C197" s="2" t="s">
        <v>627</v>
      </c>
      <c r="D197" s="2" t="s">
        <v>628</v>
      </c>
      <c r="E197" s="10" t="s">
        <v>678</v>
      </c>
    </row>
    <row r="198" spans="1:5" ht="69">
      <c r="A198" s="2" t="s">
        <v>539</v>
      </c>
      <c r="B198" s="2" t="s">
        <v>643</v>
      </c>
      <c r="C198" s="2" t="s">
        <v>627</v>
      </c>
      <c r="D198" s="2" t="s">
        <v>628</v>
      </c>
      <c r="E198" s="10" t="s">
        <v>678</v>
      </c>
    </row>
    <row r="199" spans="1:5" ht="69">
      <c r="A199" s="2" t="s">
        <v>539</v>
      </c>
      <c r="B199" s="2" t="s">
        <v>661</v>
      </c>
      <c r="C199" s="2" t="s">
        <v>627</v>
      </c>
      <c r="D199" s="2" t="s">
        <v>628</v>
      </c>
      <c r="E199" s="10" t="s">
        <v>678</v>
      </c>
    </row>
    <row r="200" spans="1:5" ht="69">
      <c r="A200" s="2" t="s">
        <v>539</v>
      </c>
      <c r="B200" s="2" t="s">
        <v>670</v>
      </c>
      <c r="C200" s="2" t="s">
        <v>627</v>
      </c>
      <c r="D200" s="2" t="s">
        <v>628</v>
      </c>
      <c r="E200" s="10" t="s">
        <v>678</v>
      </c>
    </row>
    <row r="201" spans="1:5" ht="69">
      <c r="A201" s="2" t="s">
        <v>539</v>
      </c>
      <c r="B201" s="2" t="s">
        <v>679</v>
      </c>
      <c r="C201" s="2" t="s">
        <v>627</v>
      </c>
      <c r="D201" s="2" t="s">
        <v>628</v>
      </c>
      <c r="E201" s="10" t="s">
        <v>678</v>
      </c>
    </row>
    <row r="202" spans="1:5" ht="69">
      <c r="A202" s="2" t="s">
        <v>542</v>
      </c>
      <c r="B202" s="2" t="s">
        <v>633</v>
      </c>
      <c r="C202" s="2" t="s">
        <v>627</v>
      </c>
      <c r="D202" s="2" t="s">
        <v>628</v>
      </c>
      <c r="E202" s="10" t="s">
        <v>680</v>
      </c>
    </row>
    <row r="203" spans="1:5" ht="69">
      <c r="A203" s="2" t="s">
        <v>542</v>
      </c>
      <c r="B203" s="2" t="s">
        <v>643</v>
      </c>
      <c r="C203" s="2" t="s">
        <v>627</v>
      </c>
      <c r="D203" s="2" t="s">
        <v>628</v>
      </c>
      <c r="E203" s="10" t="s">
        <v>680</v>
      </c>
    </row>
    <row r="204" spans="1:5" ht="69">
      <c r="A204" s="2" t="s">
        <v>542</v>
      </c>
      <c r="B204" s="2" t="s">
        <v>661</v>
      </c>
      <c r="C204" s="2" t="s">
        <v>627</v>
      </c>
      <c r="D204" s="2" t="s">
        <v>628</v>
      </c>
      <c r="E204" s="10" t="s">
        <v>680</v>
      </c>
    </row>
    <row r="205" spans="1:5" ht="69">
      <c r="A205" s="2" t="s">
        <v>542</v>
      </c>
      <c r="B205" s="2" t="s">
        <v>670</v>
      </c>
      <c r="C205" s="2" t="s">
        <v>627</v>
      </c>
      <c r="D205" s="2" t="s">
        <v>628</v>
      </c>
      <c r="E205" s="10" t="s">
        <v>680</v>
      </c>
    </row>
    <row r="206" spans="1:5" ht="69">
      <c r="A206" s="2" t="s">
        <v>542</v>
      </c>
      <c r="B206" s="2" t="s">
        <v>679</v>
      </c>
      <c r="C206" s="2" t="s">
        <v>627</v>
      </c>
      <c r="D206" s="2" t="s">
        <v>628</v>
      </c>
      <c r="E206" s="10" t="s">
        <v>680</v>
      </c>
    </row>
    <row r="207" spans="1:5" ht="69">
      <c r="A207" s="2" t="s">
        <v>545</v>
      </c>
      <c r="B207" s="2" t="s">
        <v>633</v>
      </c>
      <c r="C207" s="2" t="s">
        <v>627</v>
      </c>
      <c r="D207" s="2" t="s">
        <v>628</v>
      </c>
      <c r="E207" s="10" t="s">
        <v>681</v>
      </c>
    </row>
    <row r="208" spans="1:5" ht="69">
      <c r="A208" s="2" t="s">
        <v>545</v>
      </c>
      <c r="B208" s="2" t="s">
        <v>643</v>
      </c>
      <c r="C208" s="2" t="s">
        <v>627</v>
      </c>
      <c r="D208" s="2" t="s">
        <v>628</v>
      </c>
      <c r="E208" s="10" t="s">
        <v>681</v>
      </c>
    </row>
    <row r="209" spans="1:5" ht="69">
      <c r="A209" s="2" t="s">
        <v>545</v>
      </c>
      <c r="B209" s="2" t="s">
        <v>661</v>
      </c>
      <c r="C209" s="2" t="s">
        <v>627</v>
      </c>
      <c r="D209" s="2" t="s">
        <v>628</v>
      </c>
      <c r="E209" s="10" t="s">
        <v>681</v>
      </c>
    </row>
    <row r="210" spans="1:5" ht="69">
      <c r="A210" s="2" t="s">
        <v>545</v>
      </c>
      <c r="B210" s="2" t="s">
        <v>670</v>
      </c>
      <c r="C210" s="2" t="s">
        <v>627</v>
      </c>
      <c r="D210" s="2" t="s">
        <v>628</v>
      </c>
      <c r="E210" s="10" t="s">
        <v>681</v>
      </c>
    </row>
    <row r="211" spans="1:5" ht="69">
      <c r="A211" s="2" t="s">
        <v>545</v>
      </c>
      <c r="B211" s="2" t="s">
        <v>679</v>
      </c>
      <c r="C211" s="2" t="s">
        <v>627</v>
      </c>
      <c r="D211" s="2" t="s">
        <v>628</v>
      </c>
      <c r="E211" s="10" t="s">
        <v>681</v>
      </c>
    </row>
    <row r="212" spans="1:5" ht="69">
      <c r="A212" s="2" t="s">
        <v>548</v>
      </c>
      <c r="B212" s="2" t="s">
        <v>633</v>
      </c>
      <c r="C212" s="2" t="s">
        <v>627</v>
      </c>
      <c r="D212" s="2" t="s">
        <v>628</v>
      </c>
      <c r="E212" s="10" t="s">
        <v>682</v>
      </c>
    </row>
    <row r="213" spans="1:5" ht="69">
      <c r="A213" s="2" t="s">
        <v>548</v>
      </c>
      <c r="B213" s="2" t="s">
        <v>643</v>
      </c>
      <c r="C213" s="2" t="s">
        <v>627</v>
      </c>
      <c r="D213" s="2" t="s">
        <v>628</v>
      </c>
      <c r="E213" s="10" t="s">
        <v>682</v>
      </c>
    </row>
    <row r="214" spans="1:5" ht="69">
      <c r="A214" s="2" t="s">
        <v>548</v>
      </c>
      <c r="B214" s="2" t="s">
        <v>661</v>
      </c>
      <c r="C214" s="2" t="s">
        <v>627</v>
      </c>
      <c r="D214" s="2" t="s">
        <v>628</v>
      </c>
      <c r="E214" s="10" t="s">
        <v>682</v>
      </c>
    </row>
    <row r="215" spans="1:5" ht="69">
      <c r="A215" s="2" t="s">
        <v>548</v>
      </c>
      <c r="B215" s="2" t="s">
        <v>670</v>
      </c>
      <c r="C215" s="2" t="s">
        <v>627</v>
      </c>
      <c r="D215" s="2" t="s">
        <v>628</v>
      </c>
      <c r="E215" s="10" t="s">
        <v>682</v>
      </c>
    </row>
    <row r="216" spans="1:5" ht="69">
      <c r="A216" s="2" t="s">
        <v>548</v>
      </c>
      <c r="B216" s="2" t="s">
        <v>679</v>
      </c>
      <c r="C216" s="2" t="s">
        <v>627</v>
      </c>
      <c r="D216" s="2" t="s">
        <v>628</v>
      </c>
      <c r="E216" s="10" t="s">
        <v>682</v>
      </c>
    </row>
    <row r="217" spans="1:5" ht="69">
      <c r="A217" s="2" t="s">
        <v>551</v>
      </c>
      <c r="B217" s="2" t="s">
        <v>633</v>
      </c>
      <c r="C217" s="2" t="s">
        <v>627</v>
      </c>
      <c r="D217" s="2" t="s">
        <v>628</v>
      </c>
      <c r="E217" s="10" t="s">
        <v>683</v>
      </c>
    </row>
    <row r="218" spans="1:5" ht="69">
      <c r="A218" s="2" t="s">
        <v>551</v>
      </c>
      <c r="B218" s="2" t="s">
        <v>643</v>
      </c>
      <c r="C218" s="2" t="s">
        <v>627</v>
      </c>
      <c r="D218" s="2" t="s">
        <v>628</v>
      </c>
      <c r="E218" s="10" t="s">
        <v>683</v>
      </c>
    </row>
    <row r="219" spans="1:5" ht="69">
      <c r="A219" s="2" t="s">
        <v>551</v>
      </c>
      <c r="B219" s="2" t="s">
        <v>661</v>
      </c>
      <c r="C219" s="2" t="s">
        <v>627</v>
      </c>
      <c r="D219" s="2" t="s">
        <v>628</v>
      </c>
      <c r="E219" s="10" t="s">
        <v>683</v>
      </c>
    </row>
    <row r="220" spans="1:5" ht="69">
      <c r="A220" s="2" t="s">
        <v>551</v>
      </c>
      <c r="B220" s="2" t="s">
        <v>670</v>
      </c>
      <c r="C220" s="2" t="s">
        <v>627</v>
      </c>
      <c r="D220" s="2" t="s">
        <v>628</v>
      </c>
      <c r="E220" s="10" t="s">
        <v>683</v>
      </c>
    </row>
    <row r="221" spans="1:5" ht="69">
      <c r="A221" s="2" t="s">
        <v>551</v>
      </c>
      <c r="B221" s="2" t="s">
        <v>679</v>
      </c>
      <c r="C221" s="2" t="s">
        <v>627</v>
      </c>
      <c r="D221" s="2" t="s">
        <v>628</v>
      </c>
      <c r="E221" s="10" t="s">
        <v>683</v>
      </c>
    </row>
    <row r="222" spans="1:5" ht="69">
      <c r="A222" s="2" t="s">
        <v>554</v>
      </c>
      <c r="B222" s="2" t="s">
        <v>633</v>
      </c>
      <c r="C222" s="2" t="s">
        <v>627</v>
      </c>
      <c r="D222" s="2" t="s">
        <v>628</v>
      </c>
      <c r="E222" s="10" t="s">
        <v>684</v>
      </c>
    </row>
    <row r="223" spans="1:5" ht="69">
      <c r="A223" s="2" t="s">
        <v>554</v>
      </c>
      <c r="B223" s="2" t="s">
        <v>643</v>
      </c>
      <c r="C223" s="2" t="s">
        <v>627</v>
      </c>
      <c r="D223" s="2" t="s">
        <v>628</v>
      </c>
      <c r="E223" s="10" t="s">
        <v>684</v>
      </c>
    </row>
    <row r="224" spans="1:5" ht="69">
      <c r="A224" s="2" t="s">
        <v>554</v>
      </c>
      <c r="B224" s="2" t="s">
        <v>661</v>
      </c>
      <c r="C224" s="2" t="s">
        <v>627</v>
      </c>
      <c r="D224" s="2" t="s">
        <v>628</v>
      </c>
      <c r="E224" s="10" t="s">
        <v>684</v>
      </c>
    </row>
    <row r="225" spans="1:5" ht="69">
      <c r="A225" s="2" t="s">
        <v>554</v>
      </c>
      <c r="B225" s="2" t="s">
        <v>670</v>
      </c>
      <c r="C225" s="2" t="s">
        <v>627</v>
      </c>
      <c r="D225" s="2" t="s">
        <v>628</v>
      </c>
      <c r="E225" s="10" t="s">
        <v>684</v>
      </c>
    </row>
    <row r="226" spans="1:5" ht="69">
      <c r="A226" s="2" t="s">
        <v>554</v>
      </c>
      <c r="B226" s="2" t="s">
        <v>679</v>
      </c>
      <c r="C226" s="2" t="s">
        <v>627</v>
      </c>
      <c r="D226" s="2" t="s">
        <v>628</v>
      </c>
      <c r="E226" s="10" t="s">
        <v>684</v>
      </c>
    </row>
    <row r="227" spans="1:5" ht="69">
      <c r="A227" s="2" t="s">
        <v>557</v>
      </c>
      <c r="B227" s="2" t="s">
        <v>633</v>
      </c>
      <c r="C227" s="2" t="s">
        <v>627</v>
      </c>
      <c r="D227" s="2" t="s">
        <v>628</v>
      </c>
      <c r="E227" s="10" t="s">
        <v>685</v>
      </c>
    </row>
    <row r="228" spans="1:5" ht="69">
      <c r="A228" s="2" t="s">
        <v>557</v>
      </c>
      <c r="B228" s="2" t="s">
        <v>643</v>
      </c>
      <c r="C228" s="2" t="s">
        <v>627</v>
      </c>
      <c r="D228" s="2" t="s">
        <v>628</v>
      </c>
      <c r="E228" s="10" t="s">
        <v>685</v>
      </c>
    </row>
    <row r="229" spans="1:5" ht="69">
      <c r="A229" s="2" t="s">
        <v>557</v>
      </c>
      <c r="B229" s="2" t="s">
        <v>661</v>
      </c>
      <c r="C229" s="2" t="s">
        <v>627</v>
      </c>
      <c r="D229" s="2" t="s">
        <v>628</v>
      </c>
      <c r="E229" s="10" t="s">
        <v>685</v>
      </c>
    </row>
    <row r="230" spans="1:5" ht="69">
      <c r="A230" s="2" t="s">
        <v>557</v>
      </c>
      <c r="B230" s="2" t="s">
        <v>670</v>
      </c>
      <c r="C230" s="2" t="s">
        <v>627</v>
      </c>
      <c r="D230" s="2" t="s">
        <v>628</v>
      </c>
      <c r="E230" s="10" t="s">
        <v>685</v>
      </c>
    </row>
    <row r="231" spans="1:5" ht="69">
      <c r="A231" s="2" t="s">
        <v>557</v>
      </c>
      <c r="B231" s="2" t="s">
        <v>679</v>
      </c>
      <c r="C231" s="2" t="s">
        <v>627</v>
      </c>
      <c r="D231" s="2" t="s">
        <v>628</v>
      </c>
      <c r="E231" s="10" t="s">
        <v>685</v>
      </c>
    </row>
    <row r="232" spans="1:5" ht="69">
      <c r="A232" s="2" t="s">
        <v>560</v>
      </c>
      <c r="B232" s="2" t="s">
        <v>633</v>
      </c>
      <c r="C232" s="2" t="s">
        <v>627</v>
      </c>
      <c r="D232" s="2" t="s">
        <v>628</v>
      </c>
      <c r="E232" s="10" t="s">
        <v>686</v>
      </c>
    </row>
    <row r="233" spans="1:5" ht="69">
      <c r="A233" s="2" t="s">
        <v>560</v>
      </c>
      <c r="B233" s="2" t="s">
        <v>643</v>
      </c>
      <c r="C233" s="2" t="s">
        <v>627</v>
      </c>
      <c r="D233" s="2" t="s">
        <v>628</v>
      </c>
      <c r="E233" s="10" t="s">
        <v>686</v>
      </c>
    </row>
    <row r="234" spans="1:5" ht="69">
      <c r="A234" s="2" t="s">
        <v>560</v>
      </c>
      <c r="B234" s="2" t="s">
        <v>661</v>
      </c>
      <c r="C234" s="2" t="s">
        <v>627</v>
      </c>
      <c r="D234" s="2" t="s">
        <v>628</v>
      </c>
      <c r="E234" s="10" t="s">
        <v>686</v>
      </c>
    </row>
    <row r="235" spans="1:5" ht="69">
      <c r="A235" s="2" t="s">
        <v>560</v>
      </c>
      <c r="B235" s="2" t="s">
        <v>670</v>
      </c>
      <c r="C235" s="2" t="s">
        <v>627</v>
      </c>
      <c r="D235" s="2" t="s">
        <v>628</v>
      </c>
      <c r="E235" s="10" t="s">
        <v>686</v>
      </c>
    </row>
    <row r="236" spans="1:5" ht="69">
      <c r="A236" s="2" t="s">
        <v>560</v>
      </c>
      <c r="B236" s="2" t="s">
        <v>679</v>
      </c>
      <c r="C236" s="2" t="s">
        <v>627</v>
      </c>
      <c r="D236" s="2" t="s">
        <v>628</v>
      </c>
      <c r="E236" s="10" t="s">
        <v>686</v>
      </c>
    </row>
    <row r="237" spans="1:5" ht="69">
      <c r="A237" s="2" t="s">
        <v>563</v>
      </c>
      <c r="B237" s="2" t="s">
        <v>633</v>
      </c>
      <c r="C237" s="2" t="s">
        <v>627</v>
      </c>
      <c r="D237" s="2" t="s">
        <v>628</v>
      </c>
      <c r="E237" s="10" t="s">
        <v>687</v>
      </c>
    </row>
    <row r="238" spans="1:5" ht="69">
      <c r="A238" s="2" t="s">
        <v>563</v>
      </c>
      <c r="B238" s="2" t="s">
        <v>643</v>
      </c>
      <c r="C238" s="2" t="s">
        <v>627</v>
      </c>
      <c r="D238" s="2" t="s">
        <v>628</v>
      </c>
      <c r="E238" s="10" t="s">
        <v>687</v>
      </c>
    </row>
    <row r="239" spans="1:5" ht="69">
      <c r="A239" s="2" t="s">
        <v>563</v>
      </c>
      <c r="B239" s="2" t="s">
        <v>661</v>
      </c>
      <c r="C239" s="2" t="s">
        <v>627</v>
      </c>
      <c r="D239" s="2" t="s">
        <v>628</v>
      </c>
      <c r="E239" s="10" t="s">
        <v>687</v>
      </c>
    </row>
    <row r="240" spans="1:5" ht="69">
      <c r="A240" s="2" t="s">
        <v>563</v>
      </c>
      <c r="B240" s="2" t="s">
        <v>670</v>
      </c>
      <c r="C240" s="2" t="s">
        <v>627</v>
      </c>
      <c r="D240" s="2" t="s">
        <v>628</v>
      </c>
      <c r="E240" s="10" t="s">
        <v>687</v>
      </c>
    </row>
    <row r="241" spans="1:5" ht="69">
      <c r="A241" s="2" t="s">
        <v>563</v>
      </c>
      <c r="B241" s="2" t="s">
        <v>679</v>
      </c>
      <c r="C241" s="2" t="s">
        <v>627</v>
      </c>
      <c r="D241" s="2" t="s">
        <v>628</v>
      </c>
      <c r="E241" s="10" t="s">
        <v>687</v>
      </c>
    </row>
    <row r="242" spans="1:5" ht="69">
      <c r="A242" s="2" t="s">
        <v>566</v>
      </c>
      <c r="B242" s="2" t="s">
        <v>633</v>
      </c>
      <c r="C242" s="2" t="s">
        <v>627</v>
      </c>
      <c r="D242" s="2" t="s">
        <v>628</v>
      </c>
      <c r="E242" s="10" t="s">
        <v>688</v>
      </c>
    </row>
    <row r="243" spans="1:5" ht="69">
      <c r="A243" s="2" t="s">
        <v>566</v>
      </c>
      <c r="B243" s="2" t="s">
        <v>643</v>
      </c>
      <c r="C243" s="2" t="s">
        <v>627</v>
      </c>
      <c r="D243" s="2" t="s">
        <v>628</v>
      </c>
      <c r="E243" s="10" t="s">
        <v>688</v>
      </c>
    </row>
    <row r="244" spans="1:5" ht="69">
      <c r="A244" s="2" t="s">
        <v>566</v>
      </c>
      <c r="B244" s="2" t="s">
        <v>661</v>
      </c>
      <c r="C244" s="2" t="s">
        <v>627</v>
      </c>
      <c r="D244" s="2" t="s">
        <v>628</v>
      </c>
      <c r="E244" s="10" t="s">
        <v>688</v>
      </c>
    </row>
    <row r="245" spans="1:5" ht="69">
      <c r="A245" s="2" t="s">
        <v>566</v>
      </c>
      <c r="B245" s="2" t="s">
        <v>670</v>
      </c>
      <c r="C245" s="2" t="s">
        <v>627</v>
      </c>
      <c r="D245" s="2" t="s">
        <v>628</v>
      </c>
      <c r="E245" s="10" t="s">
        <v>688</v>
      </c>
    </row>
    <row r="246" spans="1:5" ht="69">
      <c r="A246" s="2" t="s">
        <v>566</v>
      </c>
      <c r="B246" s="2" t="s">
        <v>679</v>
      </c>
      <c r="C246" s="2" t="s">
        <v>627</v>
      </c>
      <c r="D246" s="2" t="s">
        <v>628</v>
      </c>
      <c r="E246" s="10" t="s">
        <v>688</v>
      </c>
    </row>
    <row r="247" spans="1:5" ht="69">
      <c r="A247" s="2" t="s">
        <v>569</v>
      </c>
      <c r="B247" s="2" t="s">
        <v>633</v>
      </c>
      <c r="C247" s="2" t="s">
        <v>627</v>
      </c>
      <c r="D247" s="2" t="s">
        <v>628</v>
      </c>
      <c r="E247" s="10" t="s">
        <v>689</v>
      </c>
    </row>
    <row r="248" spans="1:5" ht="69">
      <c r="A248" s="2" t="s">
        <v>569</v>
      </c>
      <c r="B248" s="2" t="s">
        <v>643</v>
      </c>
      <c r="C248" s="2" t="s">
        <v>627</v>
      </c>
      <c r="D248" s="2" t="s">
        <v>628</v>
      </c>
      <c r="E248" s="10" t="s">
        <v>689</v>
      </c>
    </row>
    <row r="249" spans="1:5" ht="69">
      <c r="A249" s="2" t="s">
        <v>569</v>
      </c>
      <c r="B249" s="2" t="s">
        <v>661</v>
      </c>
      <c r="C249" s="2" t="s">
        <v>627</v>
      </c>
      <c r="D249" s="2" t="s">
        <v>628</v>
      </c>
      <c r="E249" s="10" t="s">
        <v>689</v>
      </c>
    </row>
    <row r="250" spans="1:5" ht="69">
      <c r="A250" s="2" t="s">
        <v>569</v>
      </c>
      <c r="B250" s="2" t="s">
        <v>670</v>
      </c>
      <c r="C250" s="2" t="s">
        <v>627</v>
      </c>
      <c r="D250" s="2" t="s">
        <v>628</v>
      </c>
      <c r="E250" s="10" t="s">
        <v>689</v>
      </c>
    </row>
    <row r="251" spans="1:5" ht="69">
      <c r="A251" s="2" t="s">
        <v>569</v>
      </c>
      <c r="B251" s="2" t="s">
        <v>679</v>
      </c>
      <c r="C251" s="2" t="s">
        <v>627</v>
      </c>
      <c r="D251" s="2" t="s">
        <v>628</v>
      </c>
      <c r="E251" s="10" t="s">
        <v>689</v>
      </c>
    </row>
    <row r="252" spans="1:5" ht="69">
      <c r="A252" s="2" t="s">
        <v>572</v>
      </c>
      <c r="B252" s="2" t="s">
        <v>633</v>
      </c>
      <c r="C252" s="2" t="s">
        <v>627</v>
      </c>
      <c r="D252" s="2" t="s">
        <v>628</v>
      </c>
      <c r="E252" s="10" t="s">
        <v>690</v>
      </c>
    </row>
    <row r="253" spans="1:5" ht="69">
      <c r="A253" s="2" t="s">
        <v>572</v>
      </c>
      <c r="B253" s="2" t="s">
        <v>643</v>
      </c>
      <c r="C253" s="2" t="s">
        <v>627</v>
      </c>
      <c r="D253" s="2" t="s">
        <v>628</v>
      </c>
      <c r="E253" s="10" t="s">
        <v>690</v>
      </c>
    </row>
    <row r="254" spans="1:5" ht="69">
      <c r="A254" s="2" t="s">
        <v>572</v>
      </c>
      <c r="B254" s="2" t="s">
        <v>661</v>
      </c>
      <c r="C254" s="2" t="s">
        <v>627</v>
      </c>
      <c r="D254" s="2" t="s">
        <v>628</v>
      </c>
      <c r="E254" s="10" t="s">
        <v>690</v>
      </c>
    </row>
    <row r="255" spans="1:5" ht="69">
      <c r="A255" s="2" t="s">
        <v>572</v>
      </c>
      <c r="B255" s="2" t="s">
        <v>670</v>
      </c>
      <c r="C255" s="2" t="s">
        <v>627</v>
      </c>
      <c r="D255" s="2" t="s">
        <v>628</v>
      </c>
      <c r="E255" s="10" t="s">
        <v>690</v>
      </c>
    </row>
    <row r="256" spans="1:5" ht="69">
      <c r="A256" s="2" t="s">
        <v>572</v>
      </c>
      <c r="B256" s="2" t="s">
        <v>679</v>
      </c>
      <c r="C256" s="2" t="s">
        <v>627</v>
      </c>
      <c r="D256" s="2" t="s">
        <v>628</v>
      </c>
      <c r="E256" s="10" t="s">
        <v>690</v>
      </c>
    </row>
    <row r="257" spans="1:5" ht="69">
      <c r="A257" s="2" t="s">
        <v>575</v>
      </c>
      <c r="B257" s="2" t="s">
        <v>633</v>
      </c>
      <c r="C257" s="2" t="s">
        <v>627</v>
      </c>
      <c r="D257" s="2" t="s">
        <v>628</v>
      </c>
      <c r="E257" s="10" t="s">
        <v>691</v>
      </c>
    </row>
    <row r="258" spans="1:5" ht="69">
      <c r="A258" s="2" t="s">
        <v>575</v>
      </c>
      <c r="B258" s="2" t="s">
        <v>643</v>
      </c>
      <c r="C258" s="2" t="s">
        <v>627</v>
      </c>
      <c r="D258" s="2" t="s">
        <v>628</v>
      </c>
      <c r="E258" s="10" t="s">
        <v>691</v>
      </c>
    </row>
    <row r="259" spans="1:5" ht="69">
      <c r="A259" s="2" t="s">
        <v>575</v>
      </c>
      <c r="B259" s="2" t="s">
        <v>661</v>
      </c>
      <c r="C259" s="2" t="s">
        <v>627</v>
      </c>
      <c r="D259" s="2" t="s">
        <v>628</v>
      </c>
      <c r="E259" s="10" t="s">
        <v>691</v>
      </c>
    </row>
    <row r="260" spans="1:5" ht="69">
      <c r="A260" s="2" t="s">
        <v>575</v>
      </c>
      <c r="B260" s="2" t="s">
        <v>670</v>
      </c>
      <c r="C260" s="2" t="s">
        <v>627</v>
      </c>
      <c r="D260" s="2" t="s">
        <v>628</v>
      </c>
      <c r="E260" s="10" t="s">
        <v>691</v>
      </c>
    </row>
    <row r="261" spans="1:5" ht="69">
      <c r="A261" s="2" t="s">
        <v>575</v>
      </c>
      <c r="B261" s="2" t="s">
        <v>679</v>
      </c>
      <c r="C261" s="2" t="s">
        <v>627</v>
      </c>
      <c r="D261" s="2" t="s">
        <v>628</v>
      </c>
      <c r="E261" s="10" t="s">
        <v>691</v>
      </c>
    </row>
    <row r="262" spans="1:5" ht="69">
      <c r="A262" s="2" t="s">
        <v>578</v>
      </c>
      <c r="B262" s="2" t="s">
        <v>633</v>
      </c>
      <c r="C262" s="2" t="s">
        <v>627</v>
      </c>
      <c r="D262" s="2" t="s">
        <v>628</v>
      </c>
      <c r="E262" s="10" t="s">
        <v>692</v>
      </c>
    </row>
    <row r="263" spans="1:5" ht="69">
      <c r="A263" s="2" t="s">
        <v>578</v>
      </c>
      <c r="B263" s="2" t="s">
        <v>643</v>
      </c>
      <c r="C263" s="2" t="s">
        <v>627</v>
      </c>
      <c r="D263" s="2" t="s">
        <v>628</v>
      </c>
      <c r="E263" s="10" t="s">
        <v>692</v>
      </c>
    </row>
    <row r="264" spans="1:5" ht="69">
      <c r="A264" s="2" t="s">
        <v>578</v>
      </c>
      <c r="B264" s="2" t="s">
        <v>661</v>
      </c>
      <c r="C264" s="2" t="s">
        <v>627</v>
      </c>
      <c r="D264" s="2" t="s">
        <v>628</v>
      </c>
      <c r="E264" s="10" t="s">
        <v>692</v>
      </c>
    </row>
    <row r="265" spans="1:5" ht="69">
      <c r="A265" s="2" t="s">
        <v>578</v>
      </c>
      <c r="B265" s="2" t="s">
        <v>670</v>
      </c>
      <c r="C265" s="2" t="s">
        <v>627</v>
      </c>
      <c r="D265" s="2" t="s">
        <v>628</v>
      </c>
      <c r="E265" s="10" t="s">
        <v>692</v>
      </c>
    </row>
    <row r="266" spans="1:5" ht="69">
      <c r="A266" s="2" t="s">
        <v>578</v>
      </c>
      <c r="B266" s="2" t="s">
        <v>679</v>
      </c>
      <c r="C266" s="2" t="s">
        <v>627</v>
      </c>
      <c r="D266" s="2" t="s">
        <v>628</v>
      </c>
      <c r="E266" s="10" t="s">
        <v>692</v>
      </c>
    </row>
    <row r="267" spans="1:5" ht="69">
      <c r="A267" s="2" t="s">
        <v>581</v>
      </c>
      <c r="B267" s="2" t="s">
        <v>633</v>
      </c>
      <c r="C267" s="2" t="s">
        <v>627</v>
      </c>
      <c r="D267" s="2" t="s">
        <v>628</v>
      </c>
      <c r="E267" s="10" t="s">
        <v>693</v>
      </c>
    </row>
    <row r="268" spans="1:5" ht="69">
      <c r="A268" s="2" t="s">
        <v>581</v>
      </c>
      <c r="B268" s="2" t="s">
        <v>643</v>
      </c>
      <c r="C268" s="2" t="s">
        <v>627</v>
      </c>
      <c r="D268" s="2" t="s">
        <v>628</v>
      </c>
      <c r="E268" s="10" t="s">
        <v>693</v>
      </c>
    </row>
    <row r="269" spans="1:5" ht="69">
      <c r="A269" s="2" t="s">
        <v>581</v>
      </c>
      <c r="B269" s="2" t="s">
        <v>661</v>
      </c>
      <c r="C269" s="2" t="s">
        <v>627</v>
      </c>
      <c r="D269" s="2" t="s">
        <v>628</v>
      </c>
      <c r="E269" s="10" t="s">
        <v>693</v>
      </c>
    </row>
    <row r="270" spans="1:5" ht="69">
      <c r="A270" s="2" t="s">
        <v>581</v>
      </c>
      <c r="B270" s="2" t="s">
        <v>670</v>
      </c>
      <c r="C270" s="2" t="s">
        <v>627</v>
      </c>
      <c r="D270" s="2" t="s">
        <v>628</v>
      </c>
      <c r="E270" s="10" t="s">
        <v>693</v>
      </c>
    </row>
    <row r="271" spans="1:5" ht="69">
      <c r="A271" s="2" t="s">
        <v>581</v>
      </c>
      <c r="B271" s="2" t="s">
        <v>679</v>
      </c>
      <c r="C271" s="2" t="s">
        <v>627</v>
      </c>
      <c r="D271" s="2" t="s">
        <v>628</v>
      </c>
      <c r="E271" s="10" t="s">
        <v>693</v>
      </c>
    </row>
    <row r="272" spans="1:5" ht="69">
      <c r="A272" s="2" t="s">
        <v>584</v>
      </c>
      <c r="B272" s="2" t="s">
        <v>633</v>
      </c>
      <c r="C272" s="2" t="s">
        <v>627</v>
      </c>
      <c r="D272" s="2" t="s">
        <v>628</v>
      </c>
      <c r="E272" s="10" t="s">
        <v>694</v>
      </c>
    </row>
    <row r="273" spans="1:5" ht="69">
      <c r="A273" s="2" t="s">
        <v>584</v>
      </c>
      <c r="B273" s="2" t="s">
        <v>643</v>
      </c>
      <c r="C273" s="2" t="s">
        <v>627</v>
      </c>
      <c r="D273" s="2" t="s">
        <v>628</v>
      </c>
      <c r="E273" s="10" t="s">
        <v>694</v>
      </c>
    </row>
    <row r="274" spans="1:5" ht="69">
      <c r="A274" s="2" t="s">
        <v>584</v>
      </c>
      <c r="B274" s="2" t="s">
        <v>661</v>
      </c>
      <c r="C274" s="2" t="s">
        <v>627</v>
      </c>
      <c r="D274" s="2" t="s">
        <v>628</v>
      </c>
      <c r="E274" s="10" t="s">
        <v>694</v>
      </c>
    </row>
    <row r="275" spans="1:5" ht="69">
      <c r="A275" s="2" t="s">
        <v>584</v>
      </c>
      <c r="B275" s="2" t="s">
        <v>670</v>
      </c>
      <c r="C275" s="2" t="s">
        <v>627</v>
      </c>
      <c r="D275" s="2" t="s">
        <v>628</v>
      </c>
      <c r="E275" s="10" t="s">
        <v>694</v>
      </c>
    </row>
    <row r="276" spans="1:5" ht="69">
      <c r="A276" s="2" t="s">
        <v>584</v>
      </c>
      <c r="B276" s="2" t="s">
        <v>679</v>
      </c>
      <c r="C276" s="2" t="s">
        <v>627</v>
      </c>
      <c r="D276" s="2" t="s">
        <v>628</v>
      </c>
      <c r="E276" s="10" t="s">
        <v>694</v>
      </c>
    </row>
    <row r="277" spans="1:5" ht="69">
      <c r="A277" s="2" t="s">
        <v>587</v>
      </c>
      <c r="B277" s="2" t="s">
        <v>643</v>
      </c>
      <c r="C277" s="2" t="s">
        <v>627</v>
      </c>
      <c r="D277" s="2" t="s">
        <v>628</v>
      </c>
      <c r="E277" s="10" t="s">
        <v>695</v>
      </c>
    </row>
    <row r="278" spans="1:5" ht="69">
      <c r="A278" s="2" t="s">
        <v>587</v>
      </c>
      <c r="B278" s="2" t="s">
        <v>661</v>
      </c>
      <c r="C278" s="2" t="s">
        <v>627</v>
      </c>
      <c r="D278" s="2" t="s">
        <v>628</v>
      </c>
      <c r="E278" s="10" t="s">
        <v>695</v>
      </c>
    </row>
    <row r="279" spans="1:5" ht="69">
      <c r="A279" s="2" t="s">
        <v>587</v>
      </c>
      <c r="B279" s="2" t="s">
        <v>670</v>
      </c>
      <c r="C279" s="2" t="s">
        <v>627</v>
      </c>
      <c r="D279" s="2" t="s">
        <v>628</v>
      </c>
      <c r="E279" s="10" t="s">
        <v>695</v>
      </c>
    </row>
    <row r="280" spans="1:5" ht="69">
      <c r="A280" s="2" t="s">
        <v>587</v>
      </c>
      <c r="B280" s="2" t="s">
        <v>679</v>
      </c>
      <c r="C280" s="2" t="s">
        <v>627</v>
      </c>
      <c r="D280" s="2" t="s">
        <v>628</v>
      </c>
      <c r="E280" s="10" t="s">
        <v>695</v>
      </c>
    </row>
    <row r="281" spans="1:5" ht="69">
      <c r="A281" s="2" t="s">
        <v>587</v>
      </c>
      <c r="B281" s="2" t="s">
        <v>696</v>
      </c>
      <c r="C281" s="2" t="s">
        <v>627</v>
      </c>
      <c r="D281" s="2" t="s">
        <v>628</v>
      </c>
      <c r="E281" s="10" t="s">
        <v>695</v>
      </c>
    </row>
    <row r="282" spans="1:5" ht="69">
      <c r="A282" s="2" t="s">
        <v>590</v>
      </c>
      <c r="B282" s="2" t="s">
        <v>643</v>
      </c>
      <c r="C282" s="2" t="s">
        <v>627</v>
      </c>
      <c r="D282" s="2" t="s">
        <v>628</v>
      </c>
      <c r="E282" s="10" t="s">
        <v>697</v>
      </c>
    </row>
    <row r="283" spans="1:5" ht="69">
      <c r="A283" s="2" t="s">
        <v>590</v>
      </c>
      <c r="B283" s="2" t="s">
        <v>661</v>
      </c>
      <c r="C283" s="2" t="s">
        <v>627</v>
      </c>
      <c r="D283" s="2" t="s">
        <v>628</v>
      </c>
      <c r="E283" s="10" t="s">
        <v>697</v>
      </c>
    </row>
    <row r="284" spans="1:5" ht="69">
      <c r="A284" s="2" t="s">
        <v>590</v>
      </c>
      <c r="B284" s="2" t="s">
        <v>670</v>
      </c>
      <c r="C284" s="2" t="s">
        <v>627</v>
      </c>
      <c r="D284" s="2" t="s">
        <v>628</v>
      </c>
      <c r="E284" s="10" t="s">
        <v>697</v>
      </c>
    </row>
    <row r="285" spans="1:5" ht="69">
      <c r="A285" s="2" t="s">
        <v>590</v>
      </c>
      <c r="B285" s="2" t="s">
        <v>679</v>
      </c>
      <c r="C285" s="2" t="s">
        <v>627</v>
      </c>
      <c r="D285" s="2" t="s">
        <v>628</v>
      </c>
      <c r="E285" s="10" t="s">
        <v>697</v>
      </c>
    </row>
    <row r="286" spans="1:5" ht="69">
      <c r="A286" s="2" t="s">
        <v>590</v>
      </c>
      <c r="B286" s="2" t="s">
        <v>696</v>
      </c>
      <c r="C286" s="2" t="s">
        <v>627</v>
      </c>
      <c r="D286" s="2" t="s">
        <v>628</v>
      </c>
      <c r="E286" s="10" t="s">
        <v>697</v>
      </c>
    </row>
    <row r="287" spans="1:5" ht="69">
      <c r="A287" s="2" t="s">
        <v>593</v>
      </c>
      <c r="B287" s="2" t="s">
        <v>643</v>
      </c>
      <c r="C287" s="2" t="s">
        <v>627</v>
      </c>
      <c r="D287" s="2" t="s">
        <v>628</v>
      </c>
      <c r="E287" s="10" t="s">
        <v>698</v>
      </c>
    </row>
    <row r="288" spans="1:5" ht="69">
      <c r="A288" s="2" t="s">
        <v>593</v>
      </c>
      <c r="B288" s="2" t="s">
        <v>661</v>
      </c>
      <c r="C288" s="2" t="s">
        <v>627</v>
      </c>
      <c r="D288" s="2" t="s">
        <v>628</v>
      </c>
      <c r="E288" s="10" t="s">
        <v>698</v>
      </c>
    </row>
    <row r="289" spans="1:5" ht="69">
      <c r="A289" s="2" t="s">
        <v>593</v>
      </c>
      <c r="B289" s="2" t="s">
        <v>670</v>
      </c>
      <c r="C289" s="2" t="s">
        <v>627</v>
      </c>
      <c r="D289" s="2" t="s">
        <v>628</v>
      </c>
      <c r="E289" s="10" t="s">
        <v>698</v>
      </c>
    </row>
    <row r="290" spans="1:5" ht="69">
      <c r="A290" s="2" t="s">
        <v>593</v>
      </c>
      <c r="B290" s="2" t="s">
        <v>679</v>
      </c>
      <c r="C290" s="2" t="s">
        <v>627</v>
      </c>
      <c r="D290" s="2" t="s">
        <v>628</v>
      </c>
      <c r="E290" s="10" t="s">
        <v>698</v>
      </c>
    </row>
    <row r="291" spans="1:5" ht="69">
      <c r="A291" s="2" t="s">
        <v>593</v>
      </c>
      <c r="B291" s="2" t="s">
        <v>696</v>
      </c>
      <c r="C291" s="2" t="s">
        <v>627</v>
      </c>
      <c r="D291" s="2" t="s">
        <v>628</v>
      </c>
      <c r="E291" s="10" t="s">
        <v>698</v>
      </c>
    </row>
    <row r="292" spans="1:5" ht="69">
      <c r="A292" s="2" t="s">
        <v>596</v>
      </c>
      <c r="B292" s="2" t="s">
        <v>643</v>
      </c>
      <c r="C292" s="2" t="s">
        <v>627</v>
      </c>
      <c r="D292" s="2" t="s">
        <v>628</v>
      </c>
      <c r="E292" s="10" t="s">
        <v>699</v>
      </c>
    </row>
    <row r="293" spans="1:5" ht="69">
      <c r="A293" s="2" t="s">
        <v>596</v>
      </c>
      <c r="B293" s="2" t="s">
        <v>661</v>
      </c>
      <c r="C293" s="2" t="s">
        <v>627</v>
      </c>
      <c r="D293" s="2" t="s">
        <v>628</v>
      </c>
      <c r="E293" s="10" t="s">
        <v>699</v>
      </c>
    </row>
    <row r="294" spans="1:5" ht="69">
      <c r="A294" s="2" t="s">
        <v>596</v>
      </c>
      <c r="B294" s="2" t="s">
        <v>670</v>
      </c>
      <c r="C294" s="2" t="s">
        <v>627</v>
      </c>
      <c r="D294" s="2" t="s">
        <v>628</v>
      </c>
      <c r="E294" s="10" t="s">
        <v>699</v>
      </c>
    </row>
    <row r="295" spans="1:5" ht="69">
      <c r="A295" s="2" t="s">
        <v>596</v>
      </c>
      <c r="B295" s="2" t="s">
        <v>679</v>
      </c>
      <c r="C295" s="2" t="s">
        <v>627</v>
      </c>
      <c r="D295" s="2" t="s">
        <v>628</v>
      </c>
      <c r="E295" s="10" t="s">
        <v>699</v>
      </c>
    </row>
    <row r="296" spans="1:5" ht="69">
      <c r="A296" s="2" t="s">
        <v>596</v>
      </c>
      <c r="B296" s="2" t="s">
        <v>696</v>
      </c>
      <c r="C296" s="2" t="s">
        <v>627</v>
      </c>
      <c r="D296" s="2" t="s">
        <v>628</v>
      </c>
      <c r="E296" s="10" t="s">
        <v>699</v>
      </c>
    </row>
    <row r="297" spans="1:5" ht="69">
      <c r="A297" s="2" t="s">
        <v>599</v>
      </c>
      <c r="B297" s="2" t="s">
        <v>643</v>
      </c>
      <c r="C297" s="2" t="s">
        <v>627</v>
      </c>
      <c r="D297" s="2" t="s">
        <v>628</v>
      </c>
      <c r="E297" s="10" t="s">
        <v>700</v>
      </c>
    </row>
    <row r="298" spans="1:5" ht="69">
      <c r="A298" s="2" t="s">
        <v>599</v>
      </c>
      <c r="B298" s="2" t="s">
        <v>661</v>
      </c>
      <c r="C298" s="2" t="s">
        <v>627</v>
      </c>
      <c r="D298" s="2" t="s">
        <v>628</v>
      </c>
      <c r="E298" s="10" t="s">
        <v>700</v>
      </c>
    </row>
    <row r="299" spans="1:5" ht="69">
      <c r="A299" s="2" t="s">
        <v>599</v>
      </c>
      <c r="B299" s="2" t="s">
        <v>670</v>
      </c>
      <c r="C299" s="2" t="s">
        <v>627</v>
      </c>
      <c r="D299" s="2" t="s">
        <v>628</v>
      </c>
      <c r="E299" s="10" t="s">
        <v>700</v>
      </c>
    </row>
    <row r="300" spans="1:5" ht="69">
      <c r="A300" s="2" t="s">
        <v>599</v>
      </c>
      <c r="B300" s="2" t="s">
        <v>679</v>
      </c>
      <c r="C300" s="2" t="s">
        <v>627</v>
      </c>
      <c r="D300" s="2" t="s">
        <v>628</v>
      </c>
      <c r="E300" s="10" t="s">
        <v>700</v>
      </c>
    </row>
    <row r="301" spans="1:5" ht="69">
      <c r="A301" s="2" t="s">
        <v>599</v>
      </c>
      <c r="B301" s="2" t="s">
        <v>696</v>
      </c>
      <c r="C301" s="2" t="s">
        <v>627</v>
      </c>
      <c r="D301" s="2" t="s">
        <v>628</v>
      </c>
      <c r="E301" s="10" t="s">
        <v>700</v>
      </c>
    </row>
    <row r="302" spans="1:5" ht="69">
      <c r="A302" s="2" t="s">
        <v>602</v>
      </c>
      <c r="B302" s="2" t="s">
        <v>643</v>
      </c>
      <c r="C302" s="2" t="s">
        <v>627</v>
      </c>
      <c r="D302" s="2" t="s">
        <v>628</v>
      </c>
      <c r="E302" s="10" t="s">
        <v>701</v>
      </c>
    </row>
    <row r="303" spans="1:5" ht="69">
      <c r="A303" s="2" t="s">
        <v>602</v>
      </c>
      <c r="B303" s="2" t="s">
        <v>661</v>
      </c>
      <c r="C303" s="2" t="s">
        <v>627</v>
      </c>
      <c r="D303" s="2" t="s">
        <v>628</v>
      </c>
      <c r="E303" s="10" t="s">
        <v>701</v>
      </c>
    </row>
    <row r="304" spans="1:5" ht="69">
      <c r="A304" s="2" t="s">
        <v>602</v>
      </c>
      <c r="B304" s="2" t="s">
        <v>670</v>
      </c>
      <c r="C304" s="2" t="s">
        <v>627</v>
      </c>
      <c r="D304" s="2" t="s">
        <v>628</v>
      </c>
      <c r="E304" s="10" t="s">
        <v>701</v>
      </c>
    </row>
    <row r="305" spans="1:5" ht="69">
      <c r="A305" s="2" t="s">
        <v>602</v>
      </c>
      <c r="B305" s="2" t="s">
        <v>679</v>
      </c>
      <c r="C305" s="2" t="s">
        <v>627</v>
      </c>
      <c r="D305" s="2" t="s">
        <v>628</v>
      </c>
      <c r="E305" s="10" t="s">
        <v>701</v>
      </c>
    </row>
    <row r="306" spans="1:5" ht="69">
      <c r="A306" s="2" t="s">
        <v>602</v>
      </c>
      <c r="B306" s="2" t="s">
        <v>696</v>
      </c>
      <c r="C306" s="2" t="s">
        <v>627</v>
      </c>
      <c r="D306" s="2" t="s">
        <v>628</v>
      </c>
      <c r="E306" s="10" t="s">
        <v>701</v>
      </c>
    </row>
    <row r="307" spans="1:5" ht="69">
      <c r="A307" s="2" t="s">
        <v>605</v>
      </c>
      <c r="B307" s="2" t="s">
        <v>643</v>
      </c>
      <c r="C307" s="2" t="s">
        <v>627</v>
      </c>
      <c r="D307" s="2" t="s">
        <v>628</v>
      </c>
      <c r="E307" s="10" t="s">
        <v>702</v>
      </c>
    </row>
    <row r="308" spans="1:5" ht="69">
      <c r="A308" s="2" t="s">
        <v>605</v>
      </c>
      <c r="B308" s="2" t="s">
        <v>661</v>
      </c>
      <c r="C308" s="2" t="s">
        <v>627</v>
      </c>
      <c r="D308" s="2" t="s">
        <v>628</v>
      </c>
      <c r="E308" s="10" t="s">
        <v>702</v>
      </c>
    </row>
    <row r="309" spans="1:5" ht="69">
      <c r="A309" s="2" t="s">
        <v>605</v>
      </c>
      <c r="B309" s="2" t="s">
        <v>670</v>
      </c>
      <c r="C309" s="2" t="s">
        <v>627</v>
      </c>
      <c r="D309" s="2" t="s">
        <v>628</v>
      </c>
      <c r="E309" s="10" t="s">
        <v>702</v>
      </c>
    </row>
    <row r="310" spans="1:5" ht="69">
      <c r="A310" s="2" t="s">
        <v>605</v>
      </c>
      <c r="B310" s="2" t="s">
        <v>679</v>
      </c>
      <c r="C310" s="2" t="s">
        <v>627</v>
      </c>
      <c r="D310" s="2" t="s">
        <v>628</v>
      </c>
      <c r="E310" s="10" t="s">
        <v>702</v>
      </c>
    </row>
    <row r="311" spans="1:5" ht="69">
      <c r="A311" s="2" t="s">
        <v>605</v>
      </c>
      <c r="B311" s="2" t="s">
        <v>696</v>
      </c>
      <c r="C311" s="2" t="s">
        <v>627</v>
      </c>
      <c r="D311" s="2" t="s">
        <v>628</v>
      </c>
      <c r="E311" s="10" t="s">
        <v>702</v>
      </c>
    </row>
    <row r="312" spans="1:5" ht="69">
      <c r="A312" s="2" t="s">
        <v>608</v>
      </c>
      <c r="B312" s="2" t="s">
        <v>643</v>
      </c>
      <c r="C312" s="2" t="s">
        <v>627</v>
      </c>
      <c r="D312" s="2" t="s">
        <v>628</v>
      </c>
      <c r="E312" s="10" t="s">
        <v>703</v>
      </c>
    </row>
    <row r="313" spans="1:5" ht="69">
      <c r="A313" s="2" t="s">
        <v>608</v>
      </c>
      <c r="B313" s="2" t="s">
        <v>661</v>
      </c>
      <c r="C313" s="2" t="s">
        <v>627</v>
      </c>
      <c r="D313" s="2" t="s">
        <v>628</v>
      </c>
      <c r="E313" s="10" t="s">
        <v>703</v>
      </c>
    </row>
    <row r="314" spans="1:5" ht="69">
      <c r="A314" s="2" t="s">
        <v>608</v>
      </c>
      <c r="B314" s="2" t="s">
        <v>670</v>
      </c>
      <c r="C314" s="2" t="s">
        <v>627</v>
      </c>
      <c r="D314" s="2" t="s">
        <v>628</v>
      </c>
      <c r="E314" s="10" t="s">
        <v>703</v>
      </c>
    </row>
    <row r="315" spans="1:5" ht="69">
      <c r="A315" s="2" t="s">
        <v>608</v>
      </c>
      <c r="B315" s="2" t="s">
        <v>679</v>
      </c>
      <c r="C315" s="2" t="s">
        <v>627</v>
      </c>
      <c r="D315" s="2" t="s">
        <v>628</v>
      </c>
      <c r="E315" s="10" t="s">
        <v>703</v>
      </c>
    </row>
    <row r="316" spans="1:5" ht="69">
      <c r="A316" s="2" t="s">
        <v>608</v>
      </c>
      <c r="B316" s="2" t="s">
        <v>696</v>
      </c>
      <c r="C316" s="2" t="s">
        <v>627</v>
      </c>
      <c r="D316" s="2" t="s">
        <v>628</v>
      </c>
      <c r="E316" s="10" t="s">
        <v>703</v>
      </c>
    </row>
    <row r="317" spans="1:5" ht="69">
      <c r="A317" s="2" t="s">
        <v>611</v>
      </c>
      <c r="B317" s="2" t="s">
        <v>643</v>
      </c>
      <c r="C317" s="2" t="s">
        <v>627</v>
      </c>
      <c r="D317" s="2" t="s">
        <v>628</v>
      </c>
      <c r="E317" s="10" t="s">
        <v>704</v>
      </c>
    </row>
    <row r="318" spans="1:5" ht="69">
      <c r="A318" s="2" t="s">
        <v>611</v>
      </c>
      <c r="B318" s="2" t="s">
        <v>661</v>
      </c>
      <c r="C318" s="2" t="s">
        <v>627</v>
      </c>
      <c r="D318" s="2" t="s">
        <v>628</v>
      </c>
      <c r="E318" s="10" t="s">
        <v>704</v>
      </c>
    </row>
    <row r="319" spans="1:5" ht="69">
      <c r="A319" s="2" t="s">
        <v>611</v>
      </c>
      <c r="B319" s="2" t="s">
        <v>670</v>
      </c>
      <c r="C319" s="2" t="s">
        <v>627</v>
      </c>
      <c r="D319" s="2" t="s">
        <v>628</v>
      </c>
      <c r="E319" s="10" t="s">
        <v>704</v>
      </c>
    </row>
    <row r="320" spans="1:5" ht="69">
      <c r="A320" s="2" t="s">
        <v>611</v>
      </c>
      <c r="B320" s="2" t="s">
        <v>679</v>
      </c>
      <c r="C320" s="2" t="s">
        <v>627</v>
      </c>
      <c r="D320" s="2" t="s">
        <v>628</v>
      </c>
      <c r="E320" s="10" t="s">
        <v>704</v>
      </c>
    </row>
    <row r="321" spans="1:5" ht="69">
      <c r="A321" s="2" t="s">
        <v>611</v>
      </c>
      <c r="B321" s="2" t="s">
        <v>696</v>
      </c>
      <c r="C321" s="2" t="s">
        <v>627</v>
      </c>
      <c r="D321" s="2" t="s">
        <v>628</v>
      </c>
      <c r="E321" s="10" t="s">
        <v>704</v>
      </c>
    </row>
    <row r="322" spans="1:5" ht="69">
      <c r="A322" s="2" t="s">
        <v>614</v>
      </c>
      <c r="B322" s="2" t="s">
        <v>643</v>
      </c>
      <c r="C322" s="2" t="s">
        <v>627</v>
      </c>
      <c r="D322" s="2" t="s">
        <v>628</v>
      </c>
      <c r="E322" s="10" t="s">
        <v>705</v>
      </c>
    </row>
    <row r="323" spans="1:5" ht="69">
      <c r="A323" s="2" t="s">
        <v>614</v>
      </c>
      <c r="B323" s="2" t="s">
        <v>661</v>
      </c>
      <c r="C323" s="2" t="s">
        <v>627</v>
      </c>
      <c r="D323" s="2" t="s">
        <v>628</v>
      </c>
      <c r="E323" s="10" t="s">
        <v>705</v>
      </c>
    </row>
    <row r="324" spans="1:5" ht="69">
      <c r="A324" s="2" t="s">
        <v>614</v>
      </c>
      <c r="B324" s="2" t="s">
        <v>670</v>
      </c>
      <c r="C324" s="2" t="s">
        <v>627</v>
      </c>
      <c r="D324" s="2" t="s">
        <v>628</v>
      </c>
      <c r="E324" s="10" t="s">
        <v>705</v>
      </c>
    </row>
    <row r="325" spans="1:5" ht="69">
      <c r="A325" s="2" t="s">
        <v>614</v>
      </c>
      <c r="B325" s="2" t="s">
        <v>679</v>
      </c>
      <c r="C325" s="2" t="s">
        <v>627</v>
      </c>
      <c r="D325" s="2" t="s">
        <v>628</v>
      </c>
      <c r="E325" s="10" t="s">
        <v>705</v>
      </c>
    </row>
    <row r="326" spans="1:5" ht="69">
      <c r="A326" s="2" t="s">
        <v>614</v>
      </c>
      <c r="B326" s="2" t="s">
        <v>696</v>
      </c>
      <c r="C326" s="2" t="s">
        <v>627</v>
      </c>
      <c r="D326" s="2" t="s">
        <v>628</v>
      </c>
      <c r="E326" s="10" t="s">
        <v>705</v>
      </c>
    </row>
    <row r="327" spans="1:5" ht="69">
      <c r="A327" s="2" t="s">
        <v>617</v>
      </c>
      <c r="B327" s="2" t="s">
        <v>643</v>
      </c>
      <c r="C327" s="2" t="s">
        <v>627</v>
      </c>
      <c r="D327" s="2" t="s">
        <v>628</v>
      </c>
      <c r="E327" s="10" t="s">
        <v>706</v>
      </c>
    </row>
    <row r="328" spans="1:5" ht="69">
      <c r="A328" s="2" t="s">
        <v>617</v>
      </c>
      <c r="B328" s="2" t="s">
        <v>661</v>
      </c>
      <c r="C328" s="2" t="s">
        <v>627</v>
      </c>
      <c r="D328" s="2" t="s">
        <v>628</v>
      </c>
      <c r="E328" s="10" t="s">
        <v>706</v>
      </c>
    </row>
    <row r="329" spans="1:5" ht="69">
      <c r="A329" s="2" t="s">
        <v>617</v>
      </c>
      <c r="B329" s="2" t="s">
        <v>670</v>
      </c>
      <c r="C329" s="2" t="s">
        <v>627</v>
      </c>
      <c r="D329" s="2" t="s">
        <v>628</v>
      </c>
      <c r="E329" s="10" t="s">
        <v>706</v>
      </c>
    </row>
    <row r="330" spans="1:5" ht="69">
      <c r="A330" s="2" t="s">
        <v>617</v>
      </c>
      <c r="B330" s="2" t="s">
        <v>679</v>
      </c>
      <c r="C330" s="2" t="s">
        <v>627</v>
      </c>
      <c r="D330" s="2" t="s">
        <v>628</v>
      </c>
      <c r="E330" s="10" t="s">
        <v>706</v>
      </c>
    </row>
    <row r="331" spans="1:5" ht="69">
      <c r="A331" s="2" t="s">
        <v>617</v>
      </c>
      <c r="B331" s="2" t="s">
        <v>696</v>
      </c>
      <c r="C331" s="2" t="s">
        <v>627</v>
      </c>
      <c r="D331" s="2" t="s">
        <v>628</v>
      </c>
      <c r="E331" s="10" t="s">
        <v>706</v>
      </c>
    </row>
    <row r="332" spans="1:5" ht="69">
      <c r="A332" s="2" t="s">
        <v>620</v>
      </c>
      <c r="B332" s="2" t="s">
        <v>643</v>
      </c>
      <c r="C332" s="2" t="s">
        <v>627</v>
      </c>
      <c r="D332" s="2" t="s">
        <v>628</v>
      </c>
      <c r="E332" s="10" t="s">
        <v>707</v>
      </c>
    </row>
    <row r="333" spans="1:5" ht="69">
      <c r="A333" s="2" t="s">
        <v>620</v>
      </c>
      <c r="B333" s="2" t="s">
        <v>661</v>
      </c>
      <c r="C333" s="2" t="s">
        <v>627</v>
      </c>
      <c r="D333" s="2" t="s">
        <v>628</v>
      </c>
      <c r="E333" s="10" t="s">
        <v>707</v>
      </c>
    </row>
    <row r="334" spans="1:5" ht="69">
      <c r="A334" s="2" t="s">
        <v>620</v>
      </c>
      <c r="B334" s="2" t="s">
        <v>670</v>
      </c>
      <c r="C334" s="2" t="s">
        <v>627</v>
      </c>
      <c r="D334" s="2" t="s">
        <v>628</v>
      </c>
      <c r="E334" s="10" t="s">
        <v>707</v>
      </c>
    </row>
    <row r="335" spans="1:5" ht="69">
      <c r="A335" s="2" t="s">
        <v>620</v>
      </c>
      <c r="B335" s="2" t="s">
        <v>679</v>
      </c>
      <c r="C335" s="2" t="s">
        <v>627</v>
      </c>
      <c r="D335" s="2" t="s">
        <v>628</v>
      </c>
      <c r="E335" s="10" t="s">
        <v>707</v>
      </c>
    </row>
    <row r="336" spans="1:5" ht="69">
      <c r="A336" s="43" t="s">
        <v>620</v>
      </c>
      <c r="B336" s="43" t="s">
        <v>696</v>
      </c>
      <c r="C336" s="43" t="s">
        <v>627</v>
      </c>
      <c r="D336" s="43" t="s">
        <v>628</v>
      </c>
      <c r="E336" s="45" t="s">
        <v>707</v>
      </c>
    </row>
    <row r="337" spans="1:5">
      <c r="A337" t="s">
        <v>1143</v>
      </c>
      <c r="B337" t="s">
        <v>643</v>
      </c>
      <c r="C337" t="s">
        <v>627</v>
      </c>
      <c r="D337" t="s">
        <v>628</v>
      </c>
      <c r="E337" t="s">
        <v>1146</v>
      </c>
    </row>
    <row r="338" spans="1:5">
      <c r="A338" t="s">
        <v>1143</v>
      </c>
      <c r="B338" t="s">
        <v>661</v>
      </c>
      <c r="C338" t="s">
        <v>627</v>
      </c>
      <c r="D338" t="s">
        <v>628</v>
      </c>
      <c r="E338" t="s">
        <v>1146</v>
      </c>
    </row>
    <row r="339" spans="1:5">
      <c r="A339" t="s">
        <v>1143</v>
      </c>
      <c r="B339" t="s">
        <v>670</v>
      </c>
      <c r="C339" t="s">
        <v>627</v>
      </c>
      <c r="D339" t="s">
        <v>628</v>
      </c>
      <c r="E339" t="s">
        <v>1146</v>
      </c>
    </row>
    <row r="340" spans="1:5">
      <c r="A340" t="s">
        <v>1143</v>
      </c>
      <c r="B340" t="s">
        <v>679</v>
      </c>
      <c r="C340" t="s">
        <v>627</v>
      </c>
      <c r="D340" t="s">
        <v>628</v>
      </c>
      <c r="E340" t="s">
        <v>1146</v>
      </c>
    </row>
    <row r="341" spans="1:5">
      <c r="A341" t="s">
        <v>1143</v>
      </c>
      <c r="B341" t="s">
        <v>696</v>
      </c>
      <c r="C341" t="s">
        <v>627</v>
      </c>
      <c r="D341" t="s">
        <v>628</v>
      </c>
      <c r="E341" t="s">
        <v>1146</v>
      </c>
    </row>
    <row r="342" spans="1:5">
      <c r="A342" t="s">
        <v>1176</v>
      </c>
      <c r="B342" t="s">
        <v>643</v>
      </c>
      <c r="C342" t="s">
        <v>627</v>
      </c>
      <c r="D342" t="s">
        <v>628</v>
      </c>
      <c r="E342" t="s">
        <v>1178</v>
      </c>
    </row>
    <row r="343" spans="1:5">
      <c r="A343" t="s">
        <v>1176</v>
      </c>
      <c r="B343" t="s">
        <v>661</v>
      </c>
      <c r="C343" t="s">
        <v>627</v>
      </c>
      <c r="D343" t="s">
        <v>628</v>
      </c>
      <c r="E343" t="s">
        <v>1178</v>
      </c>
    </row>
    <row r="344" spans="1:5">
      <c r="A344" t="s">
        <v>1176</v>
      </c>
      <c r="B344" t="s">
        <v>670</v>
      </c>
      <c r="C344" t="s">
        <v>627</v>
      </c>
      <c r="D344" t="s">
        <v>628</v>
      </c>
      <c r="E344" t="s">
        <v>1178</v>
      </c>
    </row>
    <row r="345" spans="1:5">
      <c r="A345" t="s">
        <v>1176</v>
      </c>
      <c r="B345" t="s">
        <v>679</v>
      </c>
      <c r="C345" t="s">
        <v>627</v>
      </c>
      <c r="D345" t="s">
        <v>628</v>
      </c>
      <c r="E345" t="s">
        <v>1178</v>
      </c>
    </row>
    <row r="346" spans="1:5">
      <c r="A346" t="s">
        <v>1176</v>
      </c>
      <c r="B346" t="s">
        <v>696</v>
      </c>
      <c r="C346" t="s">
        <v>627</v>
      </c>
      <c r="D346" t="s">
        <v>628</v>
      </c>
      <c r="E346" t="s">
        <v>1178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6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16" customWidth="1"/>
    <col min="4" max="4" width="25" customWidth="1"/>
    <col min="5" max="5" width="22" customWidth="1"/>
    <col min="6" max="6" width="76" customWidth="1"/>
  </cols>
  <sheetData>
    <row r="1" spans="1:6" ht="31.95" customHeight="1">
      <c r="A1" s="46" t="s">
        <v>0</v>
      </c>
      <c r="B1" s="46" t="s">
        <v>623</v>
      </c>
      <c r="C1" s="46" t="s">
        <v>708</v>
      </c>
      <c r="D1" s="46" t="s">
        <v>709</v>
      </c>
      <c r="E1" s="46" t="s">
        <v>710</v>
      </c>
      <c r="F1" s="46" t="s">
        <v>13</v>
      </c>
    </row>
    <row r="2" spans="1:6" ht="14.4">
      <c r="A2" s="42" t="s">
        <v>307</v>
      </c>
      <c r="B2" s="42"/>
      <c r="C2" s="42" t="s">
        <v>17</v>
      </c>
      <c r="D2" s="42" t="s">
        <v>711</v>
      </c>
      <c r="E2" s="42" t="s">
        <v>712</v>
      </c>
      <c r="F2" s="44" t="s">
        <v>713</v>
      </c>
    </row>
    <row r="3" spans="1:6" ht="41.4">
      <c r="A3" s="2" t="s">
        <v>422</v>
      </c>
      <c r="B3" s="2" t="s">
        <v>626</v>
      </c>
      <c r="C3" s="2" t="s">
        <v>714</v>
      </c>
      <c r="D3" s="2" t="s">
        <v>715</v>
      </c>
      <c r="E3" s="2" t="s">
        <v>716</v>
      </c>
      <c r="F3" s="10" t="s">
        <v>717</v>
      </c>
    </row>
    <row r="4" spans="1:6" ht="41.4">
      <c r="A4" s="2" t="s">
        <v>422</v>
      </c>
      <c r="B4" s="2" t="s">
        <v>630</v>
      </c>
      <c r="C4" s="2" t="s">
        <v>714</v>
      </c>
      <c r="D4" s="2" t="s">
        <v>715</v>
      </c>
      <c r="E4" s="2" t="s">
        <v>716</v>
      </c>
      <c r="F4" s="10" t="s">
        <v>717</v>
      </c>
    </row>
    <row r="5" spans="1:6" ht="41.4">
      <c r="A5" s="2" t="s">
        <v>422</v>
      </c>
      <c r="B5" s="2" t="s">
        <v>631</v>
      </c>
      <c r="C5" s="2" t="s">
        <v>714</v>
      </c>
      <c r="D5" s="2" t="s">
        <v>715</v>
      </c>
      <c r="E5" s="2" t="s">
        <v>716</v>
      </c>
      <c r="F5" s="10" t="s">
        <v>717</v>
      </c>
    </row>
    <row r="6" spans="1:6" ht="41.4">
      <c r="A6" s="2" t="s">
        <v>422</v>
      </c>
      <c r="B6" s="2" t="s">
        <v>632</v>
      </c>
      <c r="C6" s="2" t="s">
        <v>714</v>
      </c>
      <c r="D6" s="2" t="s">
        <v>715</v>
      </c>
      <c r="E6" s="2" t="s">
        <v>716</v>
      </c>
      <c r="F6" s="10" t="s">
        <v>717</v>
      </c>
    </row>
    <row r="7" spans="1:6" ht="41.4">
      <c r="A7" s="2" t="s">
        <v>422</v>
      </c>
      <c r="B7" s="2" t="s">
        <v>633</v>
      </c>
      <c r="C7" s="2" t="s">
        <v>714</v>
      </c>
      <c r="D7" s="2" t="s">
        <v>715</v>
      </c>
      <c r="E7" s="2" t="s">
        <v>716</v>
      </c>
      <c r="F7" s="10" t="s">
        <v>717</v>
      </c>
    </row>
    <row r="8" spans="1:6" ht="41.4">
      <c r="A8" s="2" t="s">
        <v>425</v>
      </c>
      <c r="B8" s="2" t="s">
        <v>626</v>
      </c>
      <c r="C8" s="2" t="s">
        <v>718</v>
      </c>
      <c r="D8" s="2" t="s">
        <v>715</v>
      </c>
      <c r="E8" s="2" t="s">
        <v>716</v>
      </c>
      <c r="F8" s="10" t="s">
        <v>719</v>
      </c>
    </row>
    <row r="9" spans="1:6" ht="41.4">
      <c r="A9" s="2" t="s">
        <v>425</v>
      </c>
      <c r="B9" s="2" t="s">
        <v>630</v>
      </c>
      <c r="C9" s="2" t="s">
        <v>718</v>
      </c>
      <c r="D9" s="2" t="s">
        <v>715</v>
      </c>
      <c r="E9" s="2" t="s">
        <v>716</v>
      </c>
      <c r="F9" s="10" t="s">
        <v>719</v>
      </c>
    </row>
    <row r="10" spans="1:6" ht="41.4">
      <c r="A10" s="2" t="s">
        <v>425</v>
      </c>
      <c r="B10" s="2" t="s">
        <v>631</v>
      </c>
      <c r="C10" s="2" t="s">
        <v>718</v>
      </c>
      <c r="D10" s="2" t="s">
        <v>715</v>
      </c>
      <c r="E10" s="2" t="s">
        <v>716</v>
      </c>
      <c r="F10" s="10" t="s">
        <v>719</v>
      </c>
    </row>
    <row r="11" spans="1:6" ht="41.4">
      <c r="A11" s="2" t="s">
        <v>425</v>
      </c>
      <c r="B11" s="2" t="s">
        <v>632</v>
      </c>
      <c r="C11" s="2" t="s">
        <v>718</v>
      </c>
      <c r="D11" s="2" t="s">
        <v>715</v>
      </c>
      <c r="E11" s="2" t="s">
        <v>716</v>
      </c>
      <c r="F11" s="10" t="s">
        <v>719</v>
      </c>
    </row>
    <row r="12" spans="1:6" ht="41.4">
      <c r="A12" s="2" t="s">
        <v>425</v>
      </c>
      <c r="B12" s="2" t="s">
        <v>633</v>
      </c>
      <c r="C12" s="2" t="s">
        <v>718</v>
      </c>
      <c r="D12" s="2" t="s">
        <v>715</v>
      </c>
      <c r="E12" s="2" t="s">
        <v>716</v>
      </c>
      <c r="F12" s="10" t="s">
        <v>719</v>
      </c>
    </row>
    <row r="13" spans="1:6" ht="41.4">
      <c r="A13" s="2" t="s">
        <v>428</v>
      </c>
      <c r="B13" s="2" t="s">
        <v>626</v>
      </c>
      <c r="C13" s="2" t="s">
        <v>714</v>
      </c>
      <c r="D13" s="2" t="s">
        <v>715</v>
      </c>
      <c r="E13" s="2" t="s">
        <v>716</v>
      </c>
      <c r="F13" s="10" t="s">
        <v>720</v>
      </c>
    </row>
    <row r="14" spans="1:6" ht="41.4">
      <c r="A14" s="2" t="s">
        <v>428</v>
      </c>
      <c r="B14" s="2" t="s">
        <v>630</v>
      </c>
      <c r="C14" s="2" t="s">
        <v>714</v>
      </c>
      <c r="D14" s="2" t="s">
        <v>715</v>
      </c>
      <c r="E14" s="2" t="s">
        <v>716</v>
      </c>
      <c r="F14" s="10" t="s">
        <v>720</v>
      </c>
    </row>
    <row r="15" spans="1:6" ht="41.4">
      <c r="A15" s="2" t="s">
        <v>428</v>
      </c>
      <c r="B15" s="2" t="s">
        <v>631</v>
      </c>
      <c r="C15" s="2" t="s">
        <v>714</v>
      </c>
      <c r="D15" s="2" t="s">
        <v>715</v>
      </c>
      <c r="E15" s="2" t="s">
        <v>716</v>
      </c>
      <c r="F15" s="10" t="s">
        <v>720</v>
      </c>
    </row>
    <row r="16" spans="1:6" ht="41.4">
      <c r="A16" s="2" t="s">
        <v>428</v>
      </c>
      <c r="B16" s="2" t="s">
        <v>632</v>
      </c>
      <c r="C16" s="2" t="s">
        <v>714</v>
      </c>
      <c r="D16" s="2" t="s">
        <v>715</v>
      </c>
      <c r="E16" s="2" t="s">
        <v>716</v>
      </c>
      <c r="F16" s="10" t="s">
        <v>720</v>
      </c>
    </row>
    <row r="17" spans="1:6" ht="41.4">
      <c r="A17" s="2" t="s">
        <v>428</v>
      </c>
      <c r="B17" s="2" t="s">
        <v>633</v>
      </c>
      <c r="C17" s="2" t="s">
        <v>714</v>
      </c>
      <c r="D17" s="2" t="s">
        <v>715</v>
      </c>
      <c r="E17" s="2" t="s">
        <v>716</v>
      </c>
      <c r="F17" s="10" t="s">
        <v>720</v>
      </c>
    </row>
    <row r="18" spans="1:6" ht="41.4">
      <c r="A18" s="2" t="s">
        <v>431</v>
      </c>
      <c r="B18" s="2" t="s">
        <v>626</v>
      </c>
      <c r="C18" s="2" t="s">
        <v>714</v>
      </c>
      <c r="D18" s="2" t="s">
        <v>715</v>
      </c>
      <c r="E18" s="2" t="s">
        <v>716</v>
      </c>
      <c r="F18" s="10" t="s">
        <v>721</v>
      </c>
    </row>
    <row r="19" spans="1:6" ht="41.4">
      <c r="A19" s="2" t="s">
        <v>431</v>
      </c>
      <c r="B19" s="2" t="s">
        <v>630</v>
      </c>
      <c r="C19" s="2" t="s">
        <v>718</v>
      </c>
      <c r="D19" s="2" t="s">
        <v>722</v>
      </c>
      <c r="E19" s="2" t="s">
        <v>716</v>
      </c>
      <c r="F19" s="10" t="s">
        <v>721</v>
      </c>
    </row>
    <row r="20" spans="1:6" ht="41.4">
      <c r="A20" s="2" t="s">
        <v>431</v>
      </c>
      <c r="B20" s="2" t="s">
        <v>631</v>
      </c>
      <c r="C20" s="2" t="s">
        <v>714</v>
      </c>
      <c r="D20" s="2" t="s">
        <v>715</v>
      </c>
      <c r="E20" s="2" t="s">
        <v>716</v>
      </c>
      <c r="F20" s="10" t="s">
        <v>721</v>
      </c>
    </row>
    <row r="21" spans="1:6" ht="41.4">
      <c r="A21" s="2" t="s">
        <v>431</v>
      </c>
      <c r="B21" s="2" t="s">
        <v>632</v>
      </c>
      <c r="C21" s="2" t="s">
        <v>714</v>
      </c>
      <c r="D21" s="2" t="s">
        <v>715</v>
      </c>
      <c r="E21" s="2" t="s">
        <v>716</v>
      </c>
      <c r="F21" s="10" t="s">
        <v>721</v>
      </c>
    </row>
    <row r="22" spans="1:6" ht="41.4">
      <c r="A22" s="2" t="s">
        <v>431</v>
      </c>
      <c r="B22" s="2" t="s">
        <v>633</v>
      </c>
      <c r="C22" s="2" t="s">
        <v>714</v>
      </c>
      <c r="D22" s="2" t="s">
        <v>715</v>
      </c>
      <c r="E22" s="2" t="s">
        <v>716</v>
      </c>
      <c r="F22" s="10" t="s">
        <v>721</v>
      </c>
    </row>
    <row r="23" spans="1:6" ht="41.4">
      <c r="A23" s="2" t="s">
        <v>434</v>
      </c>
      <c r="B23" s="2" t="s">
        <v>626</v>
      </c>
      <c r="C23" s="2" t="s">
        <v>718</v>
      </c>
      <c r="D23" s="2" t="s">
        <v>715</v>
      </c>
      <c r="E23" s="2" t="s">
        <v>716</v>
      </c>
      <c r="F23" s="10" t="s">
        <v>723</v>
      </c>
    </row>
    <row r="24" spans="1:6" ht="41.4">
      <c r="A24" s="2" t="s">
        <v>434</v>
      </c>
      <c r="B24" s="2" t="s">
        <v>630</v>
      </c>
      <c r="C24" s="2" t="s">
        <v>718</v>
      </c>
      <c r="D24" s="2" t="s">
        <v>715</v>
      </c>
      <c r="E24" s="2" t="s">
        <v>716</v>
      </c>
      <c r="F24" s="10" t="s">
        <v>723</v>
      </c>
    </row>
    <row r="25" spans="1:6" ht="41.4">
      <c r="A25" s="2" t="s">
        <v>434</v>
      </c>
      <c r="B25" s="2" t="s">
        <v>631</v>
      </c>
      <c r="C25" s="2" t="s">
        <v>718</v>
      </c>
      <c r="D25" s="2" t="s">
        <v>715</v>
      </c>
      <c r="E25" s="2" t="s">
        <v>716</v>
      </c>
      <c r="F25" s="10" t="s">
        <v>723</v>
      </c>
    </row>
    <row r="26" spans="1:6" ht="41.4">
      <c r="A26" s="2" t="s">
        <v>434</v>
      </c>
      <c r="B26" s="2" t="s">
        <v>632</v>
      </c>
      <c r="C26" s="2" t="s">
        <v>718</v>
      </c>
      <c r="D26" s="2" t="s">
        <v>715</v>
      </c>
      <c r="E26" s="2" t="s">
        <v>716</v>
      </c>
      <c r="F26" s="10" t="s">
        <v>723</v>
      </c>
    </row>
    <row r="27" spans="1:6" ht="41.4">
      <c r="A27" s="2" t="s">
        <v>434</v>
      </c>
      <c r="B27" s="2" t="s">
        <v>633</v>
      </c>
      <c r="C27" s="2" t="s">
        <v>718</v>
      </c>
      <c r="D27" s="2" t="s">
        <v>722</v>
      </c>
      <c r="E27" s="2" t="s">
        <v>716</v>
      </c>
      <c r="F27" s="10" t="s">
        <v>723</v>
      </c>
    </row>
    <row r="28" spans="1:6" ht="41.4">
      <c r="A28" s="2" t="s">
        <v>437</v>
      </c>
      <c r="B28" s="2" t="s">
        <v>630</v>
      </c>
      <c r="C28" s="2" t="s">
        <v>718</v>
      </c>
      <c r="D28" s="2" t="s">
        <v>715</v>
      </c>
      <c r="E28" s="2" t="s">
        <v>716</v>
      </c>
      <c r="F28" s="10" t="s">
        <v>724</v>
      </c>
    </row>
    <row r="29" spans="1:6" ht="41.4">
      <c r="A29" s="2" t="s">
        <v>437</v>
      </c>
      <c r="B29" s="2" t="s">
        <v>631</v>
      </c>
      <c r="C29" s="2" t="s">
        <v>718</v>
      </c>
      <c r="D29" s="2" t="s">
        <v>715</v>
      </c>
      <c r="E29" s="2" t="s">
        <v>716</v>
      </c>
      <c r="F29" s="10" t="s">
        <v>724</v>
      </c>
    </row>
    <row r="30" spans="1:6" ht="41.4">
      <c r="A30" s="2" t="s">
        <v>437</v>
      </c>
      <c r="B30" s="2" t="s">
        <v>632</v>
      </c>
      <c r="C30" s="2" t="s">
        <v>718</v>
      </c>
      <c r="D30" s="2" t="s">
        <v>715</v>
      </c>
      <c r="E30" s="2" t="s">
        <v>716</v>
      </c>
      <c r="F30" s="10" t="s">
        <v>724</v>
      </c>
    </row>
    <row r="31" spans="1:6" ht="41.4">
      <c r="A31" s="2" t="s">
        <v>437</v>
      </c>
      <c r="B31" s="2" t="s">
        <v>633</v>
      </c>
      <c r="C31" s="2" t="s">
        <v>718</v>
      </c>
      <c r="D31" s="2" t="s">
        <v>715</v>
      </c>
      <c r="E31" s="2" t="s">
        <v>716</v>
      </c>
      <c r="F31" s="10" t="s">
        <v>724</v>
      </c>
    </row>
    <row r="32" spans="1:6" ht="41.4">
      <c r="A32" s="2" t="s">
        <v>440</v>
      </c>
      <c r="B32" s="2" t="s">
        <v>631</v>
      </c>
      <c r="C32" s="2" t="s">
        <v>714</v>
      </c>
      <c r="D32" s="2" t="s">
        <v>715</v>
      </c>
      <c r="E32" s="2" t="s">
        <v>716</v>
      </c>
      <c r="F32" s="10" t="s">
        <v>725</v>
      </c>
    </row>
    <row r="33" spans="1:6" ht="41.4">
      <c r="A33" s="2" t="s">
        <v>440</v>
      </c>
      <c r="B33" s="2" t="s">
        <v>632</v>
      </c>
      <c r="C33" s="2" t="s">
        <v>714</v>
      </c>
      <c r="D33" s="2" t="s">
        <v>715</v>
      </c>
      <c r="E33" s="2" t="s">
        <v>716</v>
      </c>
      <c r="F33" s="10" t="s">
        <v>725</v>
      </c>
    </row>
    <row r="34" spans="1:6" ht="41.4">
      <c r="A34" s="2" t="s">
        <v>440</v>
      </c>
      <c r="B34" s="2" t="s">
        <v>633</v>
      </c>
      <c r="C34" s="2" t="s">
        <v>714</v>
      </c>
      <c r="D34" s="2" t="s">
        <v>715</v>
      </c>
      <c r="E34" s="2" t="s">
        <v>716</v>
      </c>
      <c r="F34" s="10" t="s">
        <v>725</v>
      </c>
    </row>
    <row r="35" spans="1:6" ht="41.4">
      <c r="A35" s="2" t="s">
        <v>440</v>
      </c>
      <c r="B35" s="2" t="s">
        <v>642</v>
      </c>
      <c r="C35" s="2" t="s">
        <v>714</v>
      </c>
      <c r="D35" s="2" t="s">
        <v>715</v>
      </c>
      <c r="E35" s="2" t="s">
        <v>716</v>
      </c>
      <c r="F35" s="10" t="s">
        <v>725</v>
      </c>
    </row>
    <row r="36" spans="1:6" ht="41.4">
      <c r="A36" s="2" t="s">
        <v>440</v>
      </c>
      <c r="B36" s="2" t="s">
        <v>643</v>
      </c>
      <c r="C36" s="2" t="s">
        <v>714</v>
      </c>
      <c r="D36" s="2" t="s">
        <v>715</v>
      </c>
      <c r="E36" s="2" t="s">
        <v>716</v>
      </c>
      <c r="F36" s="10" t="s">
        <v>725</v>
      </c>
    </row>
    <row r="37" spans="1:6" ht="41.4">
      <c r="A37" s="2" t="s">
        <v>443</v>
      </c>
      <c r="B37" s="2" t="s">
        <v>631</v>
      </c>
      <c r="C37" s="2" t="s">
        <v>714</v>
      </c>
      <c r="D37" s="2" t="s">
        <v>715</v>
      </c>
      <c r="E37" s="2" t="s">
        <v>716</v>
      </c>
      <c r="F37" s="10" t="s">
        <v>726</v>
      </c>
    </row>
    <row r="38" spans="1:6" ht="41.4">
      <c r="A38" s="2" t="s">
        <v>443</v>
      </c>
      <c r="B38" s="2" t="s">
        <v>632</v>
      </c>
      <c r="C38" s="2" t="s">
        <v>714</v>
      </c>
      <c r="D38" s="2" t="s">
        <v>715</v>
      </c>
      <c r="E38" s="2" t="s">
        <v>716</v>
      </c>
      <c r="F38" s="10" t="s">
        <v>726</v>
      </c>
    </row>
    <row r="39" spans="1:6" ht="41.4">
      <c r="A39" s="2" t="s">
        <v>443</v>
      </c>
      <c r="B39" s="2" t="s">
        <v>633</v>
      </c>
      <c r="C39" s="2" t="s">
        <v>714</v>
      </c>
      <c r="D39" s="2" t="s">
        <v>715</v>
      </c>
      <c r="E39" s="2" t="s">
        <v>716</v>
      </c>
      <c r="F39" s="10" t="s">
        <v>726</v>
      </c>
    </row>
    <row r="40" spans="1:6" ht="41.4">
      <c r="A40" s="2" t="s">
        <v>443</v>
      </c>
      <c r="B40" s="2" t="s">
        <v>642</v>
      </c>
      <c r="C40" s="2" t="s">
        <v>714</v>
      </c>
      <c r="D40" s="2" t="s">
        <v>715</v>
      </c>
      <c r="E40" s="2" t="s">
        <v>716</v>
      </c>
      <c r="F40" s="10" t="s">
        <v>726</v>
      </c>
    </row>
    <row r="41" spans="1:6" ht="41.4">
      <c r="A41" s="2" t="s">
        <v>443</v>
      </c>
      <c r="B41" s="2" t="s">
        <v>643</v>
      </c>
      <c r="C41" s="2" t="s">
        <v>714</v>
      </c>
      <c r="D41" s="2" t="s">
        <v>715</v>
      </c>
      <c r="E41" s="2" t="s">
        <v>716</v>
      </c>
      <c r="F41" s="10" t="s">
        <v>726</v>
      </c>
    </row>
    <row r="42" spans="1:6" ht="41.4">
      <c r="A42" s="2" t="s">
        <v>446</v>
      </c>
      <c r="B42" s="2" t="s">
        <v>631</v>
      </c>
      <c r="C42" s="2" t="s">
        <v>714</v>
      </c>
      <c r="D42" s="2" t="s">
        <v>715</v>
      </c>
      <c r="E42" s="2" t="s">
        <v>716</v>
      </c>
      <c r="F42" s="10" t="s">
        <v>727</v>
      </c>
    </row>
    <row r="43" spans="1:6" ht="41.4">
      <c r="A43" s="2" t="s">
        <v>446</v>
      </c>
      <c r="B43" s="2" t="s">
        <v>632</v>
      </c>
      <c r="C43" s="2" t="s">
        <v>714</v>
      </c>
      <c r="D43" s="2" t="s">
        <v>715</v>
      </c>
      <c r="E43" s="2" t="s">
        <v>716</v>
      </c>
      <c r="F43" s="10" t="s">
        <v>727</v>
      </c>
    </row>
    <row r="44" spans="1:6" ht="41.4">
      <c r="A44" s="2" t="s">
        <v>446</v>
      </c>
      <c r="B44" s="2" t="s">
        <v>633</v>
      </c>
      <c r="C44" s="2" t="s">
        <v>714</v>
      </c>
      <c r="D44" s="2" t="s">
        <v>715</v>
      </c>
      <c r="E44" s="2" t="s">
        <v>716</v>
      </c>
      <c r="F44" s="10" t="s">
        <v>727</v>
      </c>
    </row>
    <row r="45" spans="1:6" ht="41.4">
      <c r="A45" s="2" t="s">
        <v>446</v>
      </c>
      <c r="B45" s="2" t="s">
        <v>642</v>
      </c>
      <c r="C45" s="2" t="s">
        <v>714</v>
      </c>
      <c r="D45" s="2" t="s">
        <v>715</v>
      </c>
      <c r="E45" s="2" t="s">
        <v>716</v>
      </c>
      <c r="F45" s="10" t="s">
        <v>727</v>
      </c>
    </row>
    <row r="46" spans="1:6" ht="41.4">
      <c r="A46" s="2" t="s">
        <v>446</v>
      </c>
      <c r="B46" s="2" t="s">
        <v>643</v>
      </c>
      <c r="C46" s="2" t="s">
        <v>714</v>
      </c>
      <c r="D46" s="2" t="s">
        <v>715</v>
      </c>
      <c r="E46" s="2" t="s">
        <v>716</v>
      </c>
      <c r="F46" s="10" t="s">
        <v>727</v>
      </c>
    </row>
    <row r="47" spans="1:6" ht="41.4">
      <c r="A47" s="2" t="s">
        <v>449</v>
      </c>
      <c r="B47" s="2" t="s">
        <v>631</v>
      </c>
      <c r="C47" s="2" t="s">
        <v>714</v>
      </c>
      <c r="D47" s="2" t="s">
        <v>715</v>
      </c>
      <c r="E47" s="2" t="s">
        <v>716</v>
      </c>
      <c r="F47" s="10" t="s">
        <v>728</v>
      </c>
    </row>
    <row r="48" spans="1:6" ht="41.4">
      <c r="A48" s="2" t="s">
        <v>449</v>
      </c>
      <c r="B48" s="2" t="s">
        <v>632</v>
      </c>
      <c r="C48" s="2" t="s">
        <v>714</v>
      </c>
      <c r="D48" s="2" t="s">
        <v>715</v>
      </c>
      <c r="E48" s="2" t="s">
        <v>716</v>
      </c>
      <c r="F48" s="10" t="s">
        <v>728</v>
      </c>
    </row>
    <row r="49" spans="1:6" ht="41.4">
      <c r="A49" s="2" t="s">
        <v>449</v>
      </c>
      <c r="B49" s="2" t="s">
        <v>633</v>
      </c>
      <c r="C49" s="2" t="s">
        <v>714</v>
      </c>
      <c r="D49" s="2" t="s">
        <v>715</v>
      </c>
      <c r="E49" s="2" t="s">
        <v>716</v>
      </c>
      <c r="F49" s="10" t="s">
        <v>728</v>
      </c>
    </row>
    <row r="50" spans="1:6" ht="41.4">
      <c r="A50" s="2" t="s">
        <v>449</v>
      </c>
      <c r="B50" s="2" t="s">
        <v>642</v>
      </c>
      <c r="C50" s="2" t="s">
        <v>729</v>
      </c>
      <c r="D50" s="2" t="s">
        <v>730</v>
      </c>
      <c r="E50" s="2" t="s">
        <v>716</v>
      </c>
      <c r="F50" s="10" t="s">
        <v>728</v>
      </c>
    </row>
    <row r="51" spans="1:6" ht="41.4">
      <c r="A51" s="2" t="s">
        <v>449</v>
      </c>
      <c r="B51" s="2" t="s">
        <v>643</v>
      </c>
      <c r="C51" s="2" t="s">
        <v>714</v>
      </c>
      <c r="D51" s="2" t="s">
        <v>715</v>
      </c>
      <c r="E51" s="2" t="s">
        <v>716</v>
      </c>
      <c r="F51" s="10" t="s">
        <v>728</v>
      </c>
    </row>
    <row r="52" spans="1:6" ht="41.4">
      <c r="A52" s="2" t="s">
        <v>452</v>
      </c>
      <c r="B52" s="2" t="s">
        <v>631</v>
      </c>
      <c r="C52" s="2" t="s">
        <v>714</v>
      </c>
      <c r="D52" s="2" t="s">
        <v>722</v>
      </c>
      <c r="E52" s="2" t="s">
        <v>716</v>
      </c>
      <c r="F52" s="10" t="s">
        <v>731</v>
      </c>
    </row>
    <row r="53" spans="1:6" ht="41.4">
      <c r="A53" s="2" t="s">
        <v>452</v>
      </c>
      <c r="B53" s="2" t="s">
        <v>632</v>
      </c>
      <c r="C53" s="2" t="s">
        <v>729</v>
      </c>
      <c r="D53" s="2" t="s">
        <v>715</v>
      </c>
      <c r="E53" s="2" t="s">
        <v>716</v>
      </c>
      <c r="F53" s="10" t="s">
        <v>731</v>
      </c>
    </row>
    <row r="54" spans="1:6" ht="41.4">
      <c r="A54" s="2" t="s">
        <v>452</v>
      </c>
      <c r="B54" s="2" t="s">
        <v>633</v>
      </c>
      <c r="C54" s="2" t="s">
        <v>729</v>
      </c>
      <c r="D54" s="2" t="s">
        <v>715</v>
      </c>
      <c r="E54" s="2" t="s">
        <v>716</v>
      </c>
      <c r="F54" s="10" t="s">
        <v>731</v>
      </c>
    </row>
    <row r="55" spans="1:6" ht="41.4">
      <c r="A55" s="2" t="s">
        <v>452</v>
      </c>
      <c r="B55" s="2" t="s">
        <v>642</v>
      </c>
      <c r="C55" s="2" t="s">
        <v>729</v>
      </c>
      <c r="D55" s="2" t="s">
        <v>715</v>
      </c>
      <c r="E55" s="2" t="s">
        <v>716</v>
      </c>
      <c r="F55" s="10" t="s">
        <v>731</v>
      </c>
    </row>
    <row r="56" spans="1:6" ht="41.4">
      <c r="A56" s="2" t="s">
        <v>452</v>
      </c>
      <c r="B56" s="2" t="s">
        <v>643</v>
      </c>
      <c r="C56" s="2" t="s">
        <v>729</v>
      </c>
      <c r="D56" s="2" t="s">
        <v>715</v>
      </c>
      <c r="E56" s="2" t="s">
        <v>716</v>
      </c>
      <c r="F56" s="10" t="s">
        <v>731</v>
      </c>
    </row>
    <row r="57" spans="1:6" ht="41.4">
      <c r="A57" s="2" t="s">
        <v>455</v>
      </c>
      <c r="B57" s="2" t="s">
        <v>631</v>
      </c>
      <c r="C57" s="2" t="s">
        <v>729</v>
      </c>
      <c r="D57" s="2" t="s">
        <v>715</v>
      </c>
      <c r="E57" s="2" t="s">
        <v>716</v>
      </c>
      <c r="F57" s="10" t="s">
        <v>732</v>
      </c>
    </row>
    <row r="58" spans="1:6" ht="41.4">
      <c r="A58" s="2" t="s">
        <v>455</v>
      </c>
      <c r="B58" s="2" t="s">
        <v>632</v>
      </c>
      <c r="C58" s="2" t="s">
        <v>729</v>
      </c>
      <c r="D58" s="2" t="s">
        <v>715</v>
      </c>
      <c r="E58" s="2" t="s">
        <v>716</v>
      </c>
      <c r="F58" s="10" t="s">
        <v>732</v>
      </c>
    </row>
    <row r="59" spans="1:6" ht="41.4">
      <c r="A59" s="2" t="s">
        <v>455</v>
      </c>
      <c r="B59" s="2" t="s">
        <v>633</v>
      </c>
      <c r="C59" s="2" t="s">
        <v>729</v>
      </c>
      <c r="D59" s="2" t="s">
        <v>715</v>
      </c>
      <c r="E59" s="2" t="s">
        <v>716</v>
      </c>
      <c r="F59" s="10" t="s">
        <v>732</v>
      </c>
    </row>
    <row r="60" spans="1:6" ht="41.4">
      <c r="A60" s="2" t="s">
        <v>455</v>
      </c>
      <c r="B60" s="2" t="s">
        <v>642</v>
      </c>
      <c r="C60" s="2" t="s">
        <v>729</v>
      </c>
      <c r="D60" s="2" t="s">
        <v>730</v>
      </c>
      <c r="E60" s="2" t="s">
        <v>716</v>
      </c>
      <c r="F60" s="10" t="s">
        <v>732</v>
      </c>
    </row>
    <row r="61" spans="1:6" ht="41.4">
      <c r="A61" s="2" t="s">
        <v>455</v>
      </c>
      <c r="B61" s="2" t="s">
        <v>643</v>
      </c>
      <c r="C61" s="2" t="s">
        <v>729</v>
      </c>
      <c r="D61" s="2" t="s">
        <v>730</v>
      </c>
      <c r="E61" s="2" t="s">
        <v>716</v>
      </c>
      <c r="F61" s="10" t="s">
        <v>732</v>
      </c>
    </row>
    <row r="62" spans="1:6" ht="41.4">
      <c r="A62" s="2" t="s">
        <v>458</v>
      </c>
      <c r="B62" s="2" t="s">
        <v>631</v>
      </c>
      <c r="C62" s="2" t="s">
        <v>729</v>
      </c>
      <c r="D62" s="2" t="s">
        <v>715</v>
      </c>
      <c r="E62" s="2" t="s">
        <v>716</v>
      </c>
      <c r="F62" s="10" t="s">
        <v>733</v>
      </c>
    </row>
    <row r="63" spans="1:6" ht="41.4">
      <c r="A63" s="2" t="s">
        <v>458</v>
      </c>
      <c r="B63" s="2" t="s">
        <v>632</v>
      </c>
      <c r="C63" s="2" t="s">
        <v>729</v>
      </c>
      <c r="D63" s="2" t="s">
        <v>715</v>
      </c>
      <c r="E63" s="2" t="s">
        <v>716</v>
      </c>
      <c r="F63" s="10" t="s">
        <v>733</v>
      </c>
    </row>
    <row r="64" spans="1:6" ht="41.4">
      <c r="A64" s="2" t="s">
        <v>458</v>
      </c>
      <c r="B64" s="2" t="s">
        <v>633</v>
      </c>
      <c r="C64" s="2" t="s">
        <v>729</v>
      </c>
      <c r="D64" s="2" t="s">
        <v>715</v>
      </c>
      <c r="E64" s="2" t="s">
        <v>716</v>
      </c>
      <c r="F64" s="10" t="s">
        <v>733</v>
      </c>
    </row>
    <row r="65" spans="1:6" ht="41.4">
      <c r="A65" s="2" t="s">
        <v>458</v>
      </c>
      <c r="B65" s="2" t="s">
        <v>642</v>
      </c>
      <c r="C65" s="2" t="s">
        <v>729</v>
      </c>
      <c r="D65" s="2" t="s">
        <v>730</v>
      </c>
      <c r="E65" s="2" t="s">
        <v>716</v>
      </c>
      <c r="F65" s="10" t="s">
        <v>733</v>
      </c>
    </row>
    <row r="66" spans="1:6" ht="41.4">
      <c r="A66" s="2" t="s">
        <v>458</v>
      </c>
      <c r="B66" s="2" t="s">
        <v>643</v>
      </c>
      <c r="C66" s="2" t="s">
        <v>729</v>
      </c>
      <c r="D66" s="2" t="s">
        <v>730</v>
      </c>
      <c r="E66" s="2" t="s">
        <v>716</v>
      </c>
      <c r="F66" s="10" t="s">
        <v>733</v>
      </c>
    </row>
    <row r="67" spans="1:6" ht="41.4">
      <c r="A67" s="2" t="s">
        <v>461</v>
      </c>
      <c r="B67" s="2" t="s">
        <v>631</v>
      </c>
      <c r="C67" s="2" t="s">
        <v>729</v>
      </c>
      <c r="D67" s="2" t="s">
        <v>715</v>
      </c>
      <c r="E67" s="2" t="s">
        <v>716</v>
      </c>
      <c r="F67" s="10" t="s">
        <v>734</v>
      </c>
    </row>
    <row r="68" spans="1:6" ht="41.4">
      <c r="A68" s="2" t="s">
        <v>461</v>
      </c>
      <c r="B68" s="2" t="s">
        <v>632</v>
      </c>
      <c r="C68" s="2" t="s">
        <v>729</v>
      </c>
      <c r="D68" s="2" t="s">
        <v>715</v>
      </c>
      <c r="E68" s="2" t="s">
        <v>716</v>
      </c>
      <c r="F68" s="10" t="s">
        <v>734</v>
      </c>
    </row>
    <row r="69" spans="1:6" ht="41.4">
      <c r="A69" s="2" t="s">
        <v>461</v>
      </c>
      <c r="B69" s="2" t="s">
        <v>633</v>
      </c>
      <c r="C69" s="2" t="s">
        <v>729</v>
      </c>
      <c r="D69" s="2" t="s">
        <v>715</v>
      </c>
      <c r="E69" s="2" t="s">
        <v>716</v>
      </c>
      <c r="F69" s="10" t="s">
        <v>734</v>
      </c>
    </row>
    <row r="70" spans="1:6" ht="41.4">
      <c r="A70" s="2" t="s">
        <v>461</v>
      </c>
      <c r="B70" s="2" t="s">
        <v>642</v>
      </c>
      <c r="C70" s="2" t="s">
        <v>729</v>
      </c>
      <c r="D70" s="2" t="s">
        <v>730</v>
      </c>
      <c r="E70" s="2" t="s">
        <v>716</v>
      </c>
      <c r="F70" s="10" t="s">
        <v>734</v>
      </c>
    </row>
    <row r="71" spans="1:6" ht="41.4">
      <c r="A71" s="2" t="s">
        <v>461</v>
      </c>
      <c r="B71" s="2" t="s">
        <v>643</v>
      </c>
      <c r="C71" s="2" t="s">
        <v>729</v>
      </c>
      <c r="D71" s="2" t="s">
        <v>715</v>
      </c>
      <c r="E71" s="2" t="s">
        <v>716</v>
      </c>
      <c r="F71" s="10" t="s">
        <v>734</v>
      </c>
    </row>
    <row r="72" spans="1:6" ht="41.4">
      <c r="A72" s="2" t="s">
        <v>464</v>
      </c>
      <c r="B72" s="2" t="s">
        <v>631</v>
      </c>
      <c r="C72" s="2" t="s">
        <v>729</v>
      </c>
      <c r="D72" s="2" t="s">
        <v>715</v>
      </c>
      <c r="E72" s="2" t="s">
        <v>716</v>
      </c>
      <c r="F72" s="10" t="s">
        <v>735</v>
      </c>
    </row>
    <row r="73" spans="1:6" ht="41.4">
      <c r="A73" s="2" t="s">
        <v>464</v>
      </c>
      <c r="B73" s="2" t="s">
        <v>632</v>
      </c>
      <c r="C73" s="2" t="s">
        <v>729</v>
      </c>
      <c r="D73" s="2" t="s">
        <v>715</v>
      </c>
      <c r="E73" s="2" t="s">
        <v>716</v>
      </c>
      <c r="F73" s="10" t="s">
        <v>735</v>
      </c>
    </row>
    <row r="74" spans="1:6" ht="41.4">
      <c r="A74" s="2" t="s">
        <v>464</v>
      </c>
      <c r="B74" s="2" t="s">
        <v>633</v>
      </c>
      <c r="C74" s="2" t="s">
        <v>729</v>
      </c>
      <c r="D74" s="2" t="s">
        <v>715</v>
      </c>
      <c r="E74" s="2" t="s">
        <v>716</v>
      </c>
      <c r="F74" s="10" t="s">
        <v>735</v>
      </c>
    </row>
    <row r="75" spans="1:6" ht="41.4">
      <c r="A75" s="2" t="s">
        <v>464</v>
      </c>
      <c r="B75" s="2" t="s">
        <v>642</v>
      </c>
      <c r="C75" s="2" t="s">
        <v>729</v>
      </c>
      <c r="D75" s="2" t="s">
        <v>715</v>
      </c>
      <c r="E75" s="2" t="s">
        <v>716</v>
      </c>
      <c r="F75" s="10" t="s">
        <v>735</v>
      </c>
    </row>
    <row r="76" spans="1:6" ht="41.4">
      <c r="A76" s="2" t="s">
        <v>464</v>
      </c>
      <c r="B76" s="2" t="s">
        <v>643</v>
      </c>
      <c r="C76" s="2" t="s">
        <v>729</v>
      </c>
      <c r="D76" s="2" t="s">
        <v>715</v>
      </c>
      <c r="E76" s="2" t="s">
        <v>716</v>
      </c>
      <c r="F76" s="10" t="s">
        <v>735</v>
      </c>
    </row>
    <row r="77" spans="1:6" ht="41.4">
      <c r="A77" s="2" t="s">
        <v>467</v>
      </c>
      <c r="B77" s="2" t="s">
        <v>631</v>
      </c>
      <c r="C77" s="2" t="s">
        <v>729</v>
      </c>
      <c r="D77" s="2" t="s">
        <v>722</v>
      </c>
      <c r="E77" s="2" t="s">
        <v>716</v>
      </c>
      <c r="F77" s="10" t="s">
        <v>736</v>
      </c>
    </row>
    <row r="78" spans="1:6" ht="41.4">
      <c r="A78" s="2" t="s">
        <v>467</v>
      </c>
      <c r="B78" s="2" t="s">
        <v>632</v>
      </c>
      <c r="C78" s="2" t="s">
        <v>729</v>
      </c>
      <c r="D78" s="2" t="s">
        <v>715</v>
      </c>
      <c r="E78" s="2" t="s">
        <v>716</v>
      </c>
      <c r="F78" s="10" t="s">
        <v>736</v>
      </c>
    </row>
    <row r="79" spans="1:6" ht="41.4">
      <c r="A79" s="2" t="s">
        <v>467</v>
      </c>
      <c r="B79" s="2" t="s">
        <v>633</v>
      </c>
      <c r="C79" s="2" t="s">
        <v>729</v>
      </c>
      <c r="D79" s="2" t="s">
        <v>715</v>
      </c>
      <c r="E79" s="2" t="s">
        <v>716</v>
      </c>
      <c r="F79" s="10" t="s">
        <v>736</v>
      </c>
    </row>
    <row r="80" spans="1:6" ht="41.4">
      <c r="A80" s="2" t="s">
        <v>467</v>
      </c>
      <c r="B80" s="2" t="s">
        <v>642</v>
      </c>
      <c r="C80" s="2" t="s">
        <v>729</v>
      </c>
      <c r="D80" s="2" t="s">
        <v>715</v>
      </c>
      <c r="E80" s="2" t="s">
        <v>716</v>
      </c>
      <c r="F80" s="10" t="s">
        <v>736</v>
      </c>
    </row>
    <row r="81" spans="1:6" ht="41.4">
      <c r="A81" s="2" t="s">
        <v>467</v>
      </c>
      <c r="B81" s="2" t="s">
        <v>643</v>
      </c>
      <c r="C81" s="2" t="s">
        <v>729</v>
      </c>
      <c r="D81" s="2" t="s">
        <v>715</v>
      </c>
      <c r="E81" s="2" t="s">
        <v>716</v>
      </c>
      <c r="F81" s="10" t="s">
        <v>736</v>
      </c>
    </row>
    <row r="82" spans="1:6" ht="41.4">
      <c r="A82" s="2" t="s">
        <v>470</v>
      </c>
      <c r="B82" s="2" t="s">
        <v>631</v>
      </c>
      <c r="C82" s="2" t="s">
        <v>729</v>
      </c>
      <c r="D82" s="2" t="s">
        <v>715</v>
      </c>
      <c r="E82" s="2" t="s">
        <v>716</v>
      </c>
      <c r="F82" s="10" t="s">
        <v>737</v>
      </c>
    </row>
    <row r="83" spans="1:6" ht="41.4">
      <c r="A83" s="2" t="s">
        <v>470</v>
      </c>
      <c r="B83" s="2" t="s">
        <v>632</v>
      </c>
      <c r="C83" s="2" t="s">
        <v>729</v>
      </c>
      <c r="D83" s="2" t="s">
        <v>715</v>
      </c>
      <c r="E83" s="2" t="s">
        <v>716</v>
      </c>
      <c r="F83" s="10" t="s">
        <v>737</v>
      </c>
    </row>
    <row r="84" spans="1:6" ht="41.4">
      <c r="A84" s="2" t="s">
        <v>470</v>
      </c>
      <c r="B84" s="2" t="s">
        <v>633</v>
      </c>
      <c r="C84" s="2" t="s">
        <v>729</v>
      </c>
      <c r="D84" s="2" t="s">
        <v>715</v>
      </c>
      <c r="E84" s="2" t="s">
        <v>716</v>
      </c>
      <c r="F84" s="10" t="s">
        <v>737</v>
      </c>
    </row>
    <row r="85" spans="1:6" ht="41.4">
      <c r="A85" s="2" t="s">
        <v>470</v>
      </c>
      <c r="B85" s="2" t="s">
        <v>642</v>
      </c>
      <c r="C85" s="2" t="s">
        <v>729</v>
      </c>
      <c r="D85" s="2" t="s">
        <v>715</v>
      </c>
      <c r="E85" s="2" t="s">
        <v>716</v>
      </c>
      <c r="F85" s="10" t="s">
        <v>737</v>
      </c>
    </row>
    <row r="86" spans="1:6" ht="41.4">
      <c r="A86" s="2" t="s">
        <v>470</v>
      </c>
      <c r="B86" s="2" t="s">
        <v>643</v>
      </c>
      <c r="C86" s="2" t="s">
        <v>729</v>
      </c>
      <c r="D86" s="2" t="s">
        <v>715</v>
      </c>
      <c r="E86" s="2" t="s">
        <v>716</v>
      </c>
      <c r="F86" s="10" t="s">
        <v>737</v>
      </c>
    </row>
    <row r="87" spans="1:6" ht="41.4">
      <c r="A87" s="2" t="s">
        <v>473</v>
      </c>
      <c r="B87" s="2" t="s">
        <v>631</v>
      </c>
      <c r="C87" s="2" t="s">
        <v>729</v>
      </c>
      <c r="D87" s="2" t="s">
        <v>715</v>
      </c>
      <c r="E87" s="2" t="s">
        <v>716</v>
      </c>
      <c r="F87" s="10" t="s">
        <v>738</v>
      </c>
    </row>
    <row r="88" spans="1:6" ht="41.4">
      <c r="A88" s="2" t="s">
        <v>473</v>
      </c>
      <c r="B88" s="2" t="s">
        <v>632</v>
      </c>
      <c r="C88" s="2" t="s">
        <v>729</v>
      </c>
      <c r="D88" s="2" t="s">
        <v>715</v>
      </c>
      <c r="E88" s="2" t="s">
        <v>716</v>
      </c>
      <c r="F88" s="10" t="s">
        <v>738</v>
      </c>
    </row>
    <row r="89" spans="1:6" ht="41.4">
      <c r="A89" s="2" t="s">
        <v>473</v>
      </c>
      <c r="B89" s="2" t="s">
        <v>633</v>
      </c>
      <c r="C89" s="2" t="s">
        <v>729</v>
      </c>
      <c r="D89" s="2" t="s">
        <v>715</v>
      </c>
      <c r="E89" s="2" t="s">
        <v>716</v>
      </c>
      <c r="F89" s="10" t="s">
        <v>738</v>
      </c>
    </row>
    <row r="90" spans="1:6" ht="41.4">
      <c r="A90" s="2" t="s">
        <v>473</v>
      </c>
      <c r="B90" s="2" t="s">
        <v>642</v>
      </c>
      <c r="C90" s="2" t="s">
        <v>729</v>
      </c>
      <c r="D90" s="2" t="s">
        <v>715</v>
      </c>
      <c r="E90" s="2" t="s">
        <v>716</v>
      </c>
      <c r="F90" s="10" t="s">
        <v>738</v>
      </c>
    </row>
    <row r="91" spans="1:6" ht="41.4">
      <c r="A91" s="2" t="s">
        <v>473</v>
      </c>
      <c r="B91" s="2" t="s">
        <v>643</v>
      </c>
      <c r="C91" s="2" t="s">
        <v>729</v>
      </c>
      <c r="D91" s="2" t="s">
        <v>715</v>
      </c>
      <c r="E91" s="2" t="s">
        <v>716</v>
      </c>
      <c r="F91" s="10" t="s">
        <v>738</v>
      </c>
    </row>
    <row r="92" spans="1:6" ht="41.4">
      <c r="A92" s="2" t="s">
        <v>476</v>
      </c>
      <c r="B92" s="2" t="s">
        <v>631</v>
      </c>
      <c r="C92" s="2" t="s">
        <v>729</v>
      </c>
      <c r="D92" s="2" t="s">
        <v>715</v>
      </c>
      <c r="E92" s="2" t="s">
        <v>716</v>
      </c>
      <c r="F92" s="10" t="s">
        <v>739</v>
      </c>
    </row>
    <row r="93" spans="1:6" ht="41.4">
      <c r="A93" s="2" t="s">
        <v>476</v>
      </c>
      <c r="B93" s="2" t="s">
        <v>632</v>
      </c>
      <c r="C93" s="2" t="s">
        <v>729</v>
      </c>
      <c r="D93" s="2" t="s">
        <v>715</v>
      </c>
      <c r="E93" s="2" t="s">
        <v>716</v>
      </c>
      <c r="F93" s="10" t="s">
        <v>739</v>
      </c>
    </row>
    <row r="94" spans="1:6" ht="41.4">
      <c r="A94" s="2" t="s">
        <v>476</v>
      </c>
      <c r="B94" s="2" t="s">
        <v>633</v>
      </c>
      <c r="C94" s="2" t="s">
        <v>729</v>
      </c>
      <c r="D94" s="2" t="s">
        <v>715</v>
      </c>
      <c r="E94" s="2" t="s">
        <v>716</v>
      </c>
      <c r="F94" s="10" t="s">
        <v>739</v>
      </c>
    </row>
    <row r="95" spans="1:6" ht="41.4">
      <c r="A95" s="2" t="s">
        <v>476</v>
      </c>
      <c r="B95" s="2" t="s">
        <v>642</v>
      </c>
      <c r="C95" s="2" t="s">
        <v>729</v>
      </c>
      <c r="D95" s="2" t="s">
        <v>715</v>
      </c>
      <c r="E95" s="2" t="s">
        <v>716</v>
      </c>
      <c r="F95" s="10" t="s">
        <v>739</v>
      </c>
    </row>
    <row r="96" spans="1:6" ht="41.4">
      <c r="A96" s="2" t="s">
        <v>476</v>
      </c>
      <c r="B96" s="2" t="s">
        <v>643</v>
      </c>
      <c r="C96" s="2" t="s">
        <v>729</v>
      </c>
      <c r="D96" s="2" t="s">
        <v>715</v>
      </c>
      <c r="E96" s="2" t="s">
        <v>716</v>
      </c>
      <c r="F96" s="10" t="s">
        <v>739</v>
      </c>
    </row>
    <row r="97" spans="1:6" ht="41.4">
      <c r="A97" s="2" t="s">
        <v>479</v>
      </c>
      <c r="B97" s="2" t="s">
        <v>631</v>
      </c>
      <c r="C97" s="2" t="s">
        <v>729</v>
      </c>
      <c r="D97" s="2" t="s">
        <v>715</v>
      </c>
      <c r="E97" s="2" t="s">
        <v>716</v>
      </c>
      <c r="F97" s="10" t="s">
        <v>740</v>
      </c>
    </row>
    <row r="98" spans="1:6" ht="41.4">
      <c r="A98" s="2" t="s">
        <v>479</v>
      </c>
      <c r="B98" s="2" t="s">
        <v>632</v>
      </c>
      <c r="C98" s="2" t="s">
        <v>729</v>
      </c>
      <c r="D98" s="2" t="s">
        <v>715</v>
      </c>
      <c r="E98" s="2" t="s">
        <v>716</v>
      </c>
      <c r="F98" s="10" t="s">
        <v>740</v>
      </c>
    </row>
    <row r="99" spans="1:6" ht="41.4">
      <c r="A99" s="2" t="s">
        <v>479</v>
      </c>
      <c r="B99" s="2" t="s">
        <v>633</v>
      </c>
      <c r="C99" s="2" t="s">
        <v>729</v>
      </c>
      <c r="D99" s="2" t="s">
        <v>722</v>
      </c>
      <c r="E99" s="2" t="s">
        <v>716</v>
      </c>
      <c r="F99" s="10" t="s">
        <v>740</v>
      </c>
    </row>
    <row r="100" spans="1:6" ht="41.4">
      <c r="A100" s="2" t="s">
        <v>479</v>
      </c>
      <c r="B100" s="2" t="s">
        <v>642</v>
      </c>
      <c r="C100" s="2" t="s">
        <v>729</v>
      </c>
      <c r="D100" s="2" t="s">
        <v>715</v>
      </c>
      <c r="E100" s="2" t="s">
        <v>716</v>
      </c>
      <c r="F100" s="10" t="s">
        <v>740</v>
      </c>
    </row>
    <row r="101" spans="1:6" ht="41.4">
      <c r="A101" s="2" t="s">
        <v>479</v>
      </c>
      <c r="B101" s="2" t="s">
        <v>643</v>
      </c>
      <c r="C101" s="2" t="s">
        <v>729</v>
      </c>
      <c r="D101" s="2" t="s">
        <v>715</v>
      </c>
      <c r="E101" s="2" t="s">
        <v>716</v>
      </c>
      <c r="F101" s="10" t="s">
        <v>740</v>
      </c>
    </row>
    <row r="102" spans="1:6" ht="41.4">
      <c r="A102" s="2" t="s">
        <v>482</v>
      </c>
      <c r="B102" s="2" t="s">
        <v>631</v>
      </c>
      <c r="C102" s="2" t="s">
        <v>729</v>
      </c>
      <c r="D102" s="2" t="s">
        <v>715</v>
      </c>
      <c r="E102" s="2" t="s">
        <v>716</v>
      </c>
      <c r="F102" s="10" t="s">
        <v>741</v>
      </c>
    </row>
    <row r="103" spans="1:6" ht="41.4">
      <c r="A103" s="2" t="s">
        <v>482</v>
      </c>
      <c r="B103" s="2" t="s">
        <v>632</v>
      </c>
      <c r="C103" s="2" t="s">
        <v>729</v>
      </c>
      <c r="D103" s="2" t="s">
        <v>715</v>
      </c>
      <c r="E103" s="2" t="s">
        <v>716</v>
      </c>
      <c r="F103" s="10" t="s">
        <v>741</v>
      </c>
    </row>
    <row r="104" spans="1:6" ht="41.4">
      <c r="A104" s="2" t="s">
        <v>482</v>
      </c>
      <c r="B104" s="2" t="s">
        <v>633</v>
      </c>
      <c r="C104" s="2" t="s">
        <v>729</v>
      </c>
      <c r="D104" s="2" t="s">
        <v>715</v>
      </c>
      <c r="E104" s="2" t="s">
        <v>716</v>
      </c>
      <c r="F104" s="10" t="s">
        <v>741</v>
      </c>
    </row>
    <row r="105" spans="1:6" ht="41.4">
      <c r="A105" s="2" t="s">
        <v>482</v>
      </c>
      <c r="B105" s="2" t="s">
        <v>642</v>
      </c>
      <c r="C105" s="2" t="s">
        <v>729</v>
      </c>
      <c r="D105" s="2" t="s">
        <v>715</v>
      </c>
      <c r="E105" s="2" t="s">
        <v>716</v>
      </c>
      <c r="F105" s="10" t="s">
        <v>741</v>
      </c>
    </row>
    <row r="106" spans="1:6" ht="41.4">
      <c r="A106" s="2" t="s">
        <v>482</v>
      </c>
      <c r="B106" s="2" t="s">
        <v>643</v>
      </c>
      <c r="C106" s="2" t="s">
        <v>729</v>
      </c>
      <c r="D106" s="2" t="s">
        <v>715</v>
      </c>
      <c r="E106" s="2" t="s">
        <v>716</v>
      </c>
      <c r="F106" s="10" t="s">
        <v>741</v>
      </c>
    </row>
    <row r="107" spans="1:6" ht="41.4">
      <c r="A107" s="2" t="s">
        <v>485</v>
      </c>
      <c r="B107" s="2" t="s">
        <v>631</v>
      </c>
      <c r="C107" s="2" t="s">
        <v>714</v>
      </c>
      <c r="D107" s="2" t="s">
        <v>715</v>
      </c>
      <c r="E107" s="2" t="s">
        <v>716</v>
      </c>
      <c r="F107" s="10" t="s">
        <v>742</v>
      </c>
    </row>
    <row r="108" spans="1:6" ht="41.4">
      <c r="A108" s="2" t="s">
        <v>485</v>
      </c>
      <c r="B108" s="2" t="s">
        <v>632</v>
      </c>
      <c r="C108" s="2" t="s">
        <v>714</v>
      </c>
      <c r="D108" s="2" t="s">
        <v>715</v>
      </c>
      <c r="E108" s="2" t="s">
        <v>716</v>
      </c>
      <c r="F108" s="10" t="s">
        <v>742</v>
      </c>
    </row>
    <row r="109" spans="1:6" ht="41.4">
      <c r="A109" s="2" t="s">
        <v>485</v>
      </c>
      <c r="B109" s="2" t="s">
        <v>633</v>
      </c>
      <c r="C109" s="2" t="s">
        <v>714</v>
      </c>
      <c r="D109" s="2" t="s">
        <v>715</v>
      </c>
      <c r="E109" s="2" t="s">
        <v>716</v>
      </c>
      <c r="F109" s="10" t="s">
        <v>742</v>
      </c>
    </row>
    <row r="110" spans="1:6" ht="41.4">
      <c r="A110" s="2" t="s">
        <v>485</v>
      </c>
      <c r="B110" s="2" t="s">
        <v>642</v>
      </c>
      <c r="C110" s="2" t="s">
        <v>714</v>
      </c>
      <c r="D110" s="2" t="s">
        <v>715</v>
      </c>
      <c r="E110" s="2" t="s">
        <v>716</v>
      </c>
      <c r="F110" s="10" t="s">
        <v>742</v>
      </c>
    </row>
    <row r="111" spans="1:6" ht="41.4">
      <c r="A111" s="2" t="s">
        <v>485</v>
      </c>
      <c r="B111" s="2" t="s">
        <v>643</v>
      </c>
      <c r="C111" s="2" t="s">
        <v>729</v>
      </c>
      <c r="D111" s="2" t="s">
        <v>730</v>
      </c>
      <c r="E111" s="2" t="s">
        <v>716</v>
      </c>
      <c r="F111" s="10" t="s">
        <v>742</v>
      </c>
    </row>
    <row r="112" spans="1:6" ht="41.4">
      <c r="A112" s="2" t="s">
        <v>488</v>
      </c>
      <c r="B112" s="2" t="s">
        <v>631</v>
      </c>
      <c r="C112" s="2" t="s">
        <v>714</v>
      </c>
      <c r="D112" s="2" t="s">
        <v>715</v>
      </c>
      <c r="E112" s="2" t="s">
        <v>716</v>
      </c>
      <c r="F112" s="10" t="s">
        <v>743</v>
      </c>
    </row>
    <row r="113" spans="1:6" ht="41.4">
      <c r="A113" s="2" t="s">
        <v>488</v>
      </c>
      <c r="B113" s="2" t="s">
        <v>632</v>
      </c>
      <c r="C113" s="2" t="s">
        <v>714</v>
      </c>
      <c r="D113" s="2" t="s">
        <v>715</v>
      </c>
      <c r="E113" s="2" t="s">
        <v>716</v>
      </c>
      <c r="F113" s="10" t="s">
        <v>743</v>
      </c>
    </row>
    <row r="114" spans="1:6" ht="41.4">
      <c r="A114" s="2" t="s">
        <v>488</v>
      </c>
      <c r="B114" s="2" t="s">
        <v>633</v>
      </c>
      <c r="C114" s="2" t="s">
        <v>714</v>
      </c>
      <c r="D114" s="2" t="s">
        <v>715</v>
      </c>
      <c r="E114" s="2" t="s">
        <v>716</v>
      </c>
      <c r="F114" s="10" t="s">
        <v>743</v>
      </c>
    </row>
    <row r="115" spans="1:6" ht="41.4">
      <c r="A115" s="2" t="s">
        <v>488</v>
      </c>
      <c r="B115" s="2" t="s">
        <v>642</v>
      </c>
      <c r="C115" s="2" t="s">
        <v>729</v>
      </c>
      <c r="D115" s="2" t="s">
        <v>730</v>
      </c>
      <c r="E115" s="2" t="s">
        <v>716</v>
      </c>
      <c r="F115" s="10" t="s">
        <v>743</v>
      </c>
    </row>
    <row r="116" spans="1:6" ht="41.4">
      <c r="A116" s="2" t="s">
        <v>488</v>
      </c>
      <c r="B116" s="2" t="s">
        <v>643</v>
      </c>
      <c r="C116" s="2" t="s">
        <v>729</v>
      </c>
      <c r="D116" s="2" t="s">
        <v>730</v>
      </c>
      <c r="E116" s="2" t="s">
        <v>716</v>
      </c>
      <c r="F116" s="10" t="s">
        <v>743</v>
      </c>
    </row>
    <row r="117" spans="1:6" ht="41.4">
      <c r="A117" s="2" t="s">
        <v>491</v>
      </c>
      <c r="B117" s="2" t="s">
        <v>632</v>
      </c>
      <c r="C117" s="2" t="s">
        <v>729</v>
      </c>
      <c r="D117" s="2" t="s">
        <v>715</v>
      </c>
      <c r="E117" s="2" t="s">
        <v>716</v>
      </c>
      <c r="F117" s="10" t="s">
        <v>744</v>
      </c>
    </row>
    <row r="118" spans="1:6" ht="41.4">
      <c r="A118" s="2" t="s">
        <v>491</v>
      </c>
      <c r="B118" s="2" t="s">
        <v>633</v>
      </c>
      <c r="C118" s="2" t="s">
        <v>729</v>
      </c>
      <c r="D118" s="2" t="s">
        <v>715</v>
      </c>
      <c r="E118" s="2" t="s">
        <v>716</v>
      </c>
      <c r="F118" s="10" t="s">
        <v>744</v>
      </c>
    </row>
    <row r="119" spans="1:6" ht="41.4">
      <c r="A119" s="2" t="s">
        <v>491</v>
      </c>
      <c r="B119" s="2" t="s">
        <v>642</v>
      </c>
      <c r="C119" s="2" t="s">
        <v>729</v>
      </c>
      <c r="D119" s="2" t="s">
        <v>715</v>
      </c>
      <c r="E119" s="2" t="s">
        <v>716</v>
      </c>
      <c r="F119" s="10" t="s">
        <v>744</v>
      </c>
    </row>
    <row r="120" spans="1:6" ht="41.4">
      <c r="A120" s="2" t="s">
        <v>491</v>
      </c>
      <c r="B120" s="2" t="s">
        <v>643</v>
      </c>
      <c r="C120" s="2" t="s">
        <v>729</v>
      </c>
      <c r="D120" s="2" t="s">
        <v>715</v>
      </c>
      <c r="E120" s="2" t="s">
        <v>716</v>
      </c>
      <c r="F120" s="10" t="s">
        <v>744</v>
      </c>
    </row>
    <row r="121" spans="1:6" ht="41.4">
      <c r="A121" s="2" t="s">
        <v>491</v>
      </c>
      <c r="B121" s="2" t="s">
        <v>661</v>
      </c>
      <c r="C121" s="2" t="s">
        <v>729</v>
      </c>
      <c r="D121" s="2" t="s">
        <v>715</v>
      </c>
      <c r="E121" s="2" t="s">
        <v>716</v>
      </c>
      <c r="F121" s="10" t="s">
        <v>744</v>
      </c>
    </row>
    <row r="122" spans="1:6" ht="41.4">
      <c r="A122" s="2" t="s">
        <v>494</v>
      </c>
      <c r="B122" s="2" t="s">
        <v>632</v>
      </c>
      <c r="C122" s="2" t="s">
        <v>714</v>
      </c>
      <c r="D122" s="2" t="s">
        <v>715</v>
      </c>
      <c r="E122" s="2" t="s">
        <v>716</v>
      </c>
      <c r="F122" s="10" t="s">
        <v>745</v>
      </c>
    </row>
    <row r="123" spans="1:6" ht="41.4">
      <c r="A123" s="2" t="s">
        <v>494</v>
      </c>
      <c r="B123" s="2" t="s">
        <v>633</v>
      </c>
      <c r="C123" s="2" t="s">
        <v>714</v>
      </c>
      <c r="D123" s="2" t="s">
        <v>715</v>
      </c>
      <c r="E123" s="2" t="s">
        <v>716</v>
      </c>
      <c r="F123" s="10" t="s">
        <v>745</v>
      </c>
    </row>
    <row r="124" spans="1:6" ht="41.4">
      <c r="A124" s="2" t="s">
        <v>494</v>
      </c>
      <c r="B124" s="2" t="s">
        <v>642</v>
      </c>
      <c r="C124" s="2" t="s">
        <v>714</v>
      </c>
      <c r="D124" s="2" t="s">
        <v>715</v>
      </c>
      <c r="E124" s="2" t="s">
        <v>716</v>
      </c>
      <c r="F124" s="10" t="s">
        <v>745</v>
      </c>
    </row>
    <row r="125" spans="1:6" ht="41.4">
      <c r="A125" s="2" t="s">
        <v>494</v>
      </c>
      <c r="B125" s="2" t="s">
        <v>643</v>
      </c>
      <c r="C125" s="2" t="s">
        <v>714</v>
      </c>
      <c r="D125" s="2" t="s">
        <v>715</v>
      </c>
      <c r="E125" s="2" t="s">
        <v>716</v>
      </c>
      <c r="F125" s="10" t="s">
        <v>745</v>
      </c>
    </row>
    <row r="126" spans="1:6" ht="41.4">
      <c r="A126" s="2" t="s">
        <v>494</v>
      </c>
      <c r="B126" s="2" t="s">
        <v>661</v>
      </c>
      <c r="C126" s="2" t="s">
        <v>714</v>
      </c>
      <c r="D126" s="2" t="s">
        <v>715</v>
      </c>
      <c r="E126" s="2" t="s">
        <v>716</v>
      </c>
      <c r="F126" s="10" t="s">
        <v>745</v>
      </c>
    </row>
    <row r="127" spans="1:6" ht="41.4">
      <c r="A127" s="2" t="s">
        <v>497</v>
      </c>
      <c r="B127" s="2" t="s">
        <v>632</v>
      </c>
      <c r="C127" s="2" t="s">
        <v>714</v>
      </c>
      <c r="D127" s="2" t="s">
        <v>715</v>
      </c>
      <c r="E127" s="2" t="s">
        <v>716</v>
      </c>
      <c r="F127" s="10" t="s">
        <v>746</v>
      </c>
    </row>
    <row r="128" spans="1:6" ht="41.4">
      <c r="A128" s="2" t="s">
        <v>497</v>
      </c>
      <c r="B128" s="2" t="s">
        <v>633</v>
      </c>
      <c r="C128" s="2" t="s">
        <v>714</v>
      </c>
      <c r="D128" s="2" t="s">
        <v>715</v>
      </c>
      <c r="E128" s="2" t="s">
        <v>716</v>
      </c>
      <c r="F128" s="10" t="s">
        <v>746</v>
      </c>
    </row>
    <row r="129" spans="1:6" ht="41.4">
      <c r="A129" s="2" t="s">
        <v>497</v>
      </c>
      <c r="B129" s="2" t="s">
        <v>642</v>
      </c>
      <c r="C129" s="2" t="s">
        <v>714</v>
      </c>
      <c r="D129" s="2" t="s">
        <v>715</v>
      </c>
      <c r="E129" s="2" t="s">
        <v>716</v>
      </c>
      <c r="F129" s="10" t="s">
        <v>746</v>
      </c>
    </row>
    <row r="130" spans="1:6" ht="41.4">
      <c r="A130" s="2" t="s">
        <v>497</v>
      </c>
      <c r="B130" s="2" t="s">
        <v>643</v>
      </c>
      <c r="C130" s="2" t="s">
        <v>714</v>
      </c>
      <c r="D130" s="2" t="s">
        <v>715</v>
      </c>
      <c r="E130" s="2" t="s">
        <v>716</v>
      </c>
      <c r="F130" s="10" t="s">
        <v>746</v>
      </c>
    </row>
    <row r="131" spans="1:6" ht="41.4">
      <c r="A131" s="2" t="s">
        <v>497</v>
      </c>
      <c r="B131" s="2" t="s">
        <v>661</v>
      </c>
      <c r="C131" s="2" t="s">
        <v>714</v>
      </c>
      <c r="D131" s="2" t="s">
        <v>715</v>
      </c>
      <c r="E131" s="2" t="s">
        <v>716</v>
      </c>
      <c r="F131" s="10" t="s">
        <v>746</v>
      </c>
    </row>
    <row r="132" spans="1:6" ht="41.4">
      <c r="A132" s="2" t="s">
        <v>500</v>
      </c>
      <c r="B132" s="2" t="s">
        <v>632</v>
      </c>
      <c r="C132" s="2" t="s">
        <v>718</v>
      </c>
      <c r="D132" s="2" t="s">
        <v>715</v>
      </c>
      <c r="E132" s="2" t="s">
        <v>716</v>
      </c>
      <c r="F132" s="10" t="s">
        <v>747</v>
      </c>
    </row>
    <row r="133" spans="1:6" ht="41.4">
      <c r="A133" s="2" t="s">
        <v>500</v>
      </c>
      <c r="B133" s="2" t="s">
        <v>633</v>
      </c>
      <c r="C133" s="2" t="s">
        <v>718</v>
      </c>
      <c r="D133" s="2" t="s">
        <v>715</v>
      </c>
      <c r="E133" s="2" t="s">
        <v>716</v>
      </c>
      <c r="F133" s="10" t="s">
        <v>747</v>
      </c>
    </row>
    <row r="134" spans="1:6" ht="41.4">
      <c r="A134" s="2" t="s">
        <v>500</v>
      </c>
      <c r="B134" s="2" t="s">
        <v>642</v>
      </c>
      <c r="C134" s="2" t="s">
        <v>714</v>
      </c>
      <c r="D134" s="2" t="s">
        <v>730</v>
      </c>
      <c r="E134" s="2" t="s">
        <v>716</v>
      </c>
      <c r="F134" s="10" t="s">
        <v>747</v>
      </c>
    </row>
    <row r="135" spans="1:6" ht="41.4">
      <c r="A135" s="2" t="s">
        <v>500</v>
      </c>
      <c r="B135" s="2" t="s">
        <v>643</v>
      </c>
      <c r="C135" s="2" t="s">
        <v>718</v>
      </c>
      <c r="D135" s="2" t="s">
        <v>715</v>
      </c>
      <c r="E135" s="2" t="s">
        <v>716</v>
      </c>
      <c r="F135" s="10" t="s">
        <v>747</v>
      </c>
    </row>
    <row r="136" spans="1:6" ht="41.4">
      <c r="A136" s="2" t="s">
        <v>500</v>
      </c>
      <c r="B136" s="2" t="s">
        <v>661</v>
      </c>
      <c r="C136" s="2" t="s">
        <v>714</v>
      </c>
      <c r="D136" s="2" t="s">
        <v>730</v>
      </c>
      <c r="E136" s="2" t="s">
        <v>716</v>
      </c>
      <c r="F136" s="10" t="s">
        <v>747</v>
      </c>
    </row>
    <row r="137" spans="1:6" ht="41.4">
      <c r="A137" s="2" t="s">
        <v>503</v>
      </c>
      <c r="B137" s="2" t="s">
        <v>632</v>
      </c>
      <c r="C137" s="2" t="s">
        <v>718</v>
      </c>
      <c r="D137" s="2" t="s">
        <v>715</v>
      </c>
      <c r="E137" s="2" t="s">
        <v>716</v>
      </c>
      <c r="F137" s="10" t="s">
        <v>748</v>
      </c>
    </row>
    <row r="138" spans="1:6" ht="41.4">
      <c r="A138" s="2" t="s">
        <v>503</v>
      </c>
      <c r="B138" s="2" t="s">
        <v>633</v>
      </c>
      <c r="C138" s="2" t="s">
        <v>718</v>
      </c>
      <c r="D138" s="2" t="s">
        <v>715</v>
      </c>
      <c r="E138" s="2" t="s">
        <v>716</v>
      </c>
      <c r="F138" s="10" t="s">
        <v>748</v>
      </c>
    </row>
    <row r="139" spans="1:6" ht="41.4">
      <c r="A139" s="2" t="s">
        <v>503</v>
      </c>
      <c r="B139" s="2" t="s">
        <v>642</v>
      </c>
      <c r="C139" s="2" t="s">
        <v>714</v>
      </c>
      <c r="D139" s="2" t="s">
        <v>730</v>
      </c>
      <c r="E139" s="2" t="s">
        <v>716</v>
      </c>
      <c r="F139" s="10" t="s">
        <v>748</v>
      </c>
    </row>
    <row r="140" spans="1:6" ht="41.4">
      <c r="A140" s="2" t="s">
        <v>503</v>
      </c>
      <c r="B140" s="2" t="s">
        <v>643</v>
      </c>
      <c r="C140" s="2" t="s">
        <v>718</v>
      </c>
      <c r="D140" s="2" t="s">
        <v>715</v>
      </c>
      <c r="E140" s="2" t="s">
        <v>716</v>
      </c>
      <c r="F140" s="10" t="s">
        <v>748</v>
      </c>
    </row>
    <row r="141" spans="1:6" ht="41.4">
      <c r="A141" s="2" t="s">
        <v>503</v>
      </c>
      <c r="B141" s="2" t="s">
        <v>661</v>
      </c>
      <c r="C141" s="2" t="s">
        <v>714</v>
      </c>
      <c r="D141" s="2" t="s">
        <v>730</v>
      </c>
      <c r="E141" s="2" t="s">
        <v>716</v>
      </c>
      <c r="F141" s="10" t="s">
        <v>748</v>
      </c>
    </row>
    <row r="142" spans="1:6" ht="41.4">
      <c r="A142" s="2" t="s">
        <v>506</v>
      </c>
      <c r="B142" s="2" t="s">
        <v>632</v>
      </c>
      <c r="C142" s="2" t="s">
        <v>718</v>
      </c>
      <c r="D142" s="2" t="s">
        <v>715</v>
      </c>
      <c r="E142" s="2" t="s">
        <v>716</v>
      </c>
      <c r="F142" s="10" t="s">
        <v>749</v>
      </c>
    </row>
    <row r="143" spans="1:6" ht="41.4">
      <c r="A143" s="2" t="s">
        <v>506</v>
      </c>
      <c r="B143" s="2" t="s">
        <v>633</v>
      </c>
      <c r="C143" s="2" t="s">
        <v>718</v>
      </c>
      <c r="D143" s="2" t="s">
        <v>715</v>
      </c>
      <c r="E143" s="2" t="s">
        <v>716</v>
      </c>
      <c r="F143" s="10" t="s">
        <v>749</v>
      </c>
    </row>
    <row r="144" spans="1:6" ht="41.4">
      <c r="A144" s="2" t="s">
        <v>506</v>
      </c>
      <c r="B144" s="2" t="s">
        <v>642</v>
      </c>
      <c r="C144" s="2" t="s">
        <v>714</v>
      </c>
      <c r="D144" s="2" t="s">
        <v>730</v>
      </c>
      <c r="E144" s="2" t="s">
        <v>716</v>
      </c>
      <c r="F144" s="10" t="s">
        <v>749</v>
      </c>
    </row>
    <row r="145" spans="1:6" ht="41.4">
      <c r="A145" s="2" t="s">
        <v>506</v>
      </c>
      <c r="B145" s="2" t="s">
        <v>643</v>
      </c>
      <c r="C145" s="2" t="s">
        <v>718</v>
      </c>
      <c r="D145" s="2" t="s">
        <v>715</v>
      </c>
      <c r="E145" s="2" t="s">
        <v>716</v>
      </c>
      <c r="F145" s="10" t="s">
        <v>749</v>
      </c>
    </row>
    <row r="146" spans="1:6" ht="41.4">
      <c r="A146" s="2" t="s">
        <v>506</v>
      </c>
      <c r="B146" s="2" t="s">
        <v>661</v>
      </c>
      <c r="C146" s="2" t="s">
        <v>718</v>
      </c>
      <c r="D146" s="2" t="s">
        <v>715</v>
      </c>
      <c r="E146" s="2" t="s">
        <v>716</v>
      </c>
      <c r="F146" s="10" t="s">
        <v>749</v>
      </c>
    </row>
    <row r="147" spans="1:6" ht="41.4">
      <c r="A147" s="2" t="s">
        <v>509</v>
      </c>
      <c r="B147" s="2" t="s">
        <v>632</v>
      </c>
      <c r="C147" s="2" t="s">
        <v>718</v>
      </c>
      <c r="D147" s="2" t="s">
        <v>715</v>
      </c>
      <c r="E147" s="2" t="s">
        <v>716</v>
      </c>
      <c r="F147" s="10" t="s">
        <v>750</v>
      </c>
    </row>
    <row r="148" spans="1:6" ht="41.4">
      <c r="A148" s="2" t="s">
        <v>509</v>
      </c>
      <c r="B148" s="2" t="s">
        <v>633</v>
      </c>
      <c r="C148" s="2" t="s">
        <v>718</v>
      </c>
      <c r="D148" s="2" t="s">
        <v>715</v>
      </c>
      <c r="E148" s="2" t="s">
        <v>716</v>
      </c>
      <c r="F148" s="10" t="s">
        <v>750</v>
      </c>
    </row>
    <row r="149" spans="1:6" ht="41.4">
      <c r="A149" s="2" t="s">
        <v>509</v>
      </c>
      <c r="B149" s="2" t="s">
        <v>642</v>
      </c>
      <c r="C149" s="2" t="s">
        <v>714</v>
      </c>
      <c r="D149" s="2" t="s">
        <v>730</v>
      </c>
      <c r="E149" s="2" t="s">
        <v>716</v>
      </c>
      <c r="F149" s="10" t="s">
        <v>750</v>
      </c>
    </row>
    <row r="150" spans="1:6" ht="41.4">
      <c r="A150" s="2" t="s">
        <v>509</v>
      </c>
      <c r="B150" s="2" t="s">
        <v>643</v>
      </c>
      <c r="C150" s="2" t="s">
        <v>718</v>
      </c>
      <c r="D150" s="2" t="s">
        <v>715</v>
      </c>
      <c r="E150" s="2" t="s">
        <v>716</v>
      </c>
      <c r="F150" s="10" t="s">
        <v>750</v>
      </c>
    </row>
    <row r="151" spans="1:6" ht="41.4">
      <c r="A151" s="2" t="s">
        <v>509</v>
      </c>
      <c r="B151" s="2" t="s">
        <v>661</v>
      </c>
      <c r="C151" s="2" t="s">
        <v>718</v>
      </c>
      <c r="D151" s="2" t="s">
        <v>715</v>
      </c>
      <c r="E151" s="2" t="s">
        <v>716</v>
      </c>
      <c r="F151" s="10" t="s">
        <v>750</v>
      </c>
    </row>
    <row r="152" spans="1:6" ht="41.4">
      <c r="A152" s="2" t="s">
        <v>512</v>
      </c>
      <c r="B152" s="2" t="s">
        <v>632</v>
      </c>
      <c r="C152" s="2" t="s">
        <v>718</v>
      </c>
      <c r="D152" s="2" t="s">
        <v>715</v>
      </c>
      <c r="E152" s="2" t="s">
        <v>716</v>
      </c>
      <c r="F152" s="10" t="s">
        <v>751</v>
      </c>
    </row>
    <row r="153" spans="1:6" ht="41.4">
      <c r="A153" s="2" t="s">
        <v>512</v>
      </c>
      <c r="B153" s="2" t="s">
        <v>633</v>
      </c>
      <c r="C153" s="2" t="s">
        <v>718</v>
      </c>
      <c r="D153" s="2" t="s">
        <v>715</v>
      </c>
      <c r="E153" s="2" t="s">
        <v>716</v>
      </c>
      <c r="F153" s="10" t="s">
        <v>751</v>
      </c>
    </row>
    <row r="154" spans="1:6" ht="41.4">
      <c r="A154" s="2" t="s">
        <v>512</v>
      </c>
      <c r="B154" s="2" t="s">
        <v>642</v>
      </c>
      <c r="C154" s="2" t="s">
        <v>718</v>
      </c>
      <c r="D154" s="2" t="s">
        <v>730</v>
      </c>
      <c r="E154" s="2" t="s">
        <v>716</v>
      </c>
      <c r="F154" s="10" t="s">
        <v>751</v>
      </c>
    </row>
    <row r="155" spans="1:6" ht="41.4">
      <c r="A155" s="2" t="s">
        <v>512</v>
      </c>
      <c r="B155" s="2" t="s">
        <v>643</v>
      </c>
      <c r="C155" s="2" t="s">
        <v>718</v>
      </c>
      <c r="D155" s="2" t="s">
        <v>715</v>
      </c>
      <c r="E155" s="2" t="s">
        <v>716</v>
      </c>
      <c r="F155" s="10" t="s">
        <v>751</v>
      </c>
    </row>
    <row r="156" spans="1:6" ht="41.4">
      <c r="A156" s="2" t="s">
        <v>512</v>
      </c>
      <c r="B156" s="2" t="s">
        <v>661</v>
      </c>
      <c r="C156" s="2" t="s">
        <v>718</v>
      </c>
      <c r="D156" s="2" t="s">
        <v>715</v>
      </c>
      <c r="E156" s="2" t="s">
        <v>716</v>
      </c>
      <c r="F156" s="10" t="s">
        <v>751</v>
      </c>
    </row>
    <row r="157" spans="1:6" ht="41.4">
      <c r="A157" s="2" t="s">
        <v>515</v>
      </c>
      <c r="B157" s="2" t="s">
        <v>633</v>
      </c>
      <c r="C157" s="2" t="s">
        <v>718</v>
      </c>
      <c r="D157" s="2" t="s">
        <v>715</v>
      </c>
      <c r="E157" s="2" t="s">
        <v>716</v>
      </c>
      <c r="F157" s="10" t="s">
        <v>752</v>
      </c>
    </row>
    <row r="158" spans="1:6" ht="41.4">
      <c r="A158" s="2" t="s">
        <v>515</v>
      </c>
      <c r="B158" s="2" t="s">
        <v>642</v>
      </c>
      <c r="C158" s="2" t="s">
        <v>718</v>
      </c>
      <c r="D158" s="2" t="s">
        <v>730</v>
      </c>
      <c r="E158" s="2" t="s">
        <v>716</v>
      </c>
      <c r="F158" s="10" t="s">
        <v>752</v>
      </c>
    </row>
    <row r="159" spans="1:6" ht="41.4">
      <c r="A159" s="2" t="s">
        <v>515</v>
      </c>
      <c r="B159" s="2" t="s">
        <v>643</v>
      </c>
      <c r="C159" s="2" t="s">
        <v>718</v>
      </c>
      <c r="D159" s="2" t="s">
        <v>715</v>
      </c>
      <c r="E159" s="2" t="s">
        <v>716</v>
      </c>
      <c r="F159" s="10" t="s">
        <v>752</v>
      </c>
    </row>
    <row r="160" spans="1:6" ht="41.4">
      <c r="A160" s="2" t="s">
        <v>515</v>
      </c>
      <c r="B160" s="2" t="s">
        <v>661</v>
      </c>
      <c r="C160" s="2" t="s">
        <v>718</v>
      </c>
      <c r="D160" s="2" t="s">
        <v>715</v>
      </c>
      <c r="E160" s="2" t="s">
        <v>716</v>
      </c>
      <c r="F160" s="10" t="s">
        <v>752</v>
      </c>
    </row>
    <row r="161" spans="1:6" ht="41.4">
      <c r="A161" s="2" t="s">
        <v>515</v>
      </c>
      <c r="B161" s="2" t="s">
        <v>670</v>
      </c>
      <c r="C161" s="2" t="s">
        <v>718</v>
      </c>
      <c r="D161" s="2" t="s">
        <v>715</v>
      </c>
      <c r="E161" s="2" t="s">
        <v>716</v>
      </c>
      <c r="F161" s="10" t="s">
        <v>752</v>
      </c>
    </row>
    <row r="162" spans="1:6" ht="41.4">
      <c r="A162" s="2" t="s">
        <v>518</v>
      </c>
      <c r="B162" s="2" t="s">
        <v>633</v>
      </c>
      <c r="C162" s="2" t="s">
        <v>718</v>
      </c>
      <c r="D162" s="2" t="s">
        <v>715</v>
      </c>
      <c r="E162" s="2" t="s">
        <v>716</v>
      </c>
      <c r="F162" s="10" t="s">
        <v>753</v>
      </c>
    </row>
    <row r="163" spans="1:6" ht="41.4">
      <c r="A163" s="2" t="s">
        <v>518</v>
      </c>
      <c r="B163" s="2" t="s">
        <v>642</v>
      </c>
      <c r="C163" s="2" t="s">
        <v>718</v>
      </c>
      <c r="D163" s="2" t="s">
        <v>715</v>
      </c>
      <c r="E163" s="2" t="s">
        <v>716</v>
      </c>
      <c r="F163" s="10" t="s">
        <v>753</v>
      </c>
    </row>
    <row r="164" spans="1:6" ht="41.4">
      <c r="A164" s="2" t="s">
        <v>518</v>
      </c>
      <c r="B164" s="2" t="s">
        <v>643</v>
      </c>
      <c r="C164" s="2" t="s">
        <v>718</v>
      </c>
      <c r="D164" s="2" t="s">
        <v>715</v>
      </c>
      <c r="E164" s="2" t="s">
        <v>716</v>
      </c>
      <c r="F164" s="10" t="s">
        <v>753</v>
      </c>
    </row>
    <row r="165" spans="1:6" ht="41.4">
      <c r="A165" s="2" t="s">
        <v>518</v>
      </c>
      <c r="B165" s="2" t="s">
        <v>661</v>
      </c>
      <c r="C165" s="2" t="s">
        <v>718</v>
      </c>
      <c r="D165" s="2" t="s">
        <v>715</v>
      </c>
      <c r="E165" s="2" t="s">
        <v>716</v>
      </c>
      <c r="F165" s="10" t="s">
        <v>753</v>
      </c>
    </row>
    <row r="166" spans="1:6" ht="41.4">
      <c r="A166" s="2" t="s">
        <v>518</v>
      </c>
      <c r="B166" s="2" t="s">
        <v>670</v>
      </c>
      <c r="C166" s="2" t="s">
        <v>718</v>
      </c>
      <c r="D166" s="2" t="s">
        <v>715</v>
      </c>
      <c r="E166" s="2" t="s">
        <v>716</v>
      </c>
      <c r="F166" s="10" t="s">
        <v>753</v>
      </c>
    </row>
    <row r="167" spans="1:6" ht="41.4">
      <c r="A167" s="2" t="s">
        <v>521</v>
      </c>
      <c r="B167" s="2" t="s">
        <v>633</v>
      </c>
      <c r="C167" s="2" t="s">
        <v>718</v>
      </c>
      <c r="D167" s="2" t="s">
        <v>722</v>
      </c>
      <c r="E167" s="2" t="s">
        <v>716</v>
      </c>
      <c r="F167" s="10" t="s">
        <v>754</v>
      </c>
    </row>
    <row r="168" spans="1:6" ht="41.4">
      <c r="A168" s="2" t="s">
        <v>521</v>
      </c>
      <c r="B168" s="2" t="s">
        <v>642</v>
      </c>
      <c r="C168" s="2" t="s">
        <v>718</v>
      </c>
      <c r="D168" s="2" t="s">
        <v>715</v>
      </c>
      <c r="E168" s="2" t="s">
        <v>716</v>
      </c>
      <c r="F168" s="10" t="s">
        <v>754</v>
      </c>
    </row>
    <row r="169" spans="1:6" ht="41.4">
      <c r="A169" s="2" t="s">
        <v>521</v>
      </c>
      <c r="B169" s="2" t="s">
        <v>643</v>
      </c>
      <c r="C169" s="2" t="s">
        <v>718</v>
      </c>
      <c r="D169" s="2" t="s">
        <v>715</v>
      </c>
      <c r="E169" s="2" t="s">
        <v>716</v>
      </c>
      <c r="F169" s="10" t="s">
        <v>754</v>
      </c>
    </row>
    <row r="170" spans="1:6" ht="41.4">
      <c r="A170" s="2" t="s">
        <v>521</v>
      </c>
      <c r="B170" s="2" t="s">
        <v>661</v>
      </c>
      <c r="C170" s="2" t="s">
        <v>718</v>
      </c>
      <c r="D170" s="2" t="s">
        <v>715</v>
      </c>
      <c r="E170" s="2" t="s">
        <v>716</v>
      </c>
      <c r="F170" s="10" t="s">
        <v>754</v>
      </c>
    </row>
    <row r="171" spans="1:6" ht="41.4">
      <c r="A171" s="2" t="s">
        <v>521</v>
      </c>
      <c r="B171" s="2" t="s">
        <v>670</v>
      </c>
      <c r="C171" s="2" t="s">
        <v>718</v>
      </c>
      <c r="D171" s="2" t="s">
        <v>715</v>
      </c>
      <c r="E171" s="2" t="s">
        <v>716</v>
      </c>
      <c r="F171" s="10" t="s">
        <v>754</v>
      </c>
    </row>
    <row r="172" spans="1:6" ht="41.4">
      <c r="A172" s="2" t="s">
        <v>524</v>
      </c>
      <c r="B172" s="2" t="s">
        <v>633</v>
      </c>
      <c r="C172" s="2" t="s">
        <v>718</v>
      </c>
      <c r="D172" s="2" t="s">
        <v>715</v>
      </c>
      <c r="E172" s="2" t="s">
        <v>716</v>
      </c>
      <c r="F172" s="10" t="s">
        <v>755</v>
      </c>
    </row>
    <row r="173" spans="1:6" ht="41.4">
      <c r="A173" s="2" t="s">
        <v>524</v>
      </c>
      <c r="B173" s="2" t="s">
        <v>642</v>
      </c>
      <c r="C173" s="2" t="s">
        <v>718</v>
      </c>
      <c r="D173" s="2" t="s">
        <v>715</v>
      </c>
      <c r="E173" s="2" t="s">
        <v>716</v>
      </c>
      <c r="F173" s="10" t="s">
        <v>755</v>
      </c>
    </row>
    <row r="174" spans="1:6" ht="41.4">
      <c r="A174" s="2" t="s">
        <v>524</v>
      </c>
      <c r="B174" s="2" t="s">
        <v>643</v>
      </c>
      <c r="C174" s="2" t="s">
        <v>718</v>
      </c>
      <c r="D174" s="2" t="s">
        <v>715</v>
      </c>
      <c r="E174" s="2" t="s">
        <v>716</v>
      </c>
      <c r="F174" s="10" t="s">
        <v>755</v>
      </c>
    </row>
    <row r="175" spans="1:6" ht="41.4">
      <c r="A175" s="2" t="s">
        <v>524</v>
      </c>
      <c r="B175" s="2" t="s">
        <v>661</v>
      </c>
      <c r="C175" s="2" t="s">
        <v>718</v>
      </c>
      <c r="D175" s="2" t="s">
        <v>715</v>
      </c>
      <c r="E175" s="2" t="s">
        <v>716</v>
      </c>
      <c r="F175" s="10" t="s">
        <v>755</v>
      </c>
    </row>
    <row r="176" spans="1:6" ht="41.4">
      <c r="A176" s="2" t="s">
        <v>524</v>
      </c>
      <c r="B176" s="2" t="s">
        <v>670</v>
      </c>
      <c r="C176" s="2" t="s">
        <v>718</v>
      </c>
      <c r="D176" s="2" t="s">
        <v>715</v>
      </c>
      <c r="E176" s="2" t="s">
        <v>716</v>
      </c>
      <c r="F176" s="10" t="s">
        <v>755</v>
      </c>
    </row>
    <row r="177" spans="1:6" ht="41.4">
      <c r="A177" s="2" t="s">
        <v>527</v>
      </c>
      <c r="B177" s="2" t="s">
        <v>633</v>
      </c>
      <c r="C177" s="2" t="s">
        <v>718</v>
      </c>
      <c r="D177" s="2" t="s">
        <v>715</v>
      </c>
      <c r="E177" s="2" t="s">
        <v>716</v>
      </c>
      <c r="F177" s="10" t="s">
        <v>756</v>
      </c>
    </row>
    <row r="178" spans="1:6" ht="41.4">
      <c r="A178" s="2" t="s">
        <v>527</v>
      </c>
      <c r="B178" s="2" t="s">
        <v>642</v>
      </c>
      <c r="C178" s="2" t="s">
        <v>718</v>
      </c>
      <c r="D178" s="2" t="s">
        <v>715</v>
      </c>
      <c r="E178" s="2" t="s">
        <v>716</v>
      </c>
      <c r="F178" s="10" t="s">
        <v>756</v>
      </c>
    </row>
    <row r="179" spans="1:6" ht="41.4">
      <c r="A179" s="2" t="s">
        <v>527</v>
      </c>
      <c r="B179" s="2" t="s">
        <v>643</v>
      </c>
      <c r="C179" s="2" t="s">
        <v>718</v>
      </c>
      <c r="D179" s="2" t="s">
        <v>715</v>
      </c>
      <c r="E179" s="2" t="s">
        <v>716</v>
      </c>
      <c r="F179" s="10" t="s">
        <v>756</v>
      </c>
    </row>
    <row r="180" spans="1:6" ht="41.4">
      <c r="A180" s="2" t="s">
        <v>527</v>
      </c>
      <c r="B180" s="2" t="s">
        <v>661</v>
      </c>
      <c r="C180" s="2" t="s">
        <v>718</v>
      </c>
      <c r="D180" s="2" t="s">
        <v>715</v>
      </c>
      <c r="E180" s="2" t="s">
        <v>716</v>
      </c>
      <c r="F180" s="10" t="s">
        <v>756</v>
      </c>
    </row>
    <row r="181" spans="1:6" ht="41.4">
      <c r="A181" s="2" t="s">
        <v>527</v>
      </c>
      <c r="B181" s="2" t="s">
        <v>670</v>
      </c>
      <c r="C181" s="2" t="s">
        <v>718</v>
      </c>
      <c r="D181" s="2" t="s">
        <v>715</v>
      </c>
      <c r="E181" s="2" t="s">
        <v>716</v>
      </c>
      <c r="F181" s="10" t="s">
        <v>756</v>
      </c>
    </row>
    <row r="182" spans="1:6" ht="41.4">
      <c r="A182" s="2" t="s">
        <v>530</v>
      </c>
      <c r="B182" s="2" t="s">
        <v>633</v>
      </c>
      <c r="C182" s="2" t="s">
        <v>718</v>
      </c>
      <c r="D182" s="2" t="s">
        <v>715</v>
      </c>
      <c r="E182" s="2" t="s">
        <v>716</v>
      </c>
      <c r="F182" s="10" t="s">
        <v>757</v>
      </c>
    </row>
    <row r="183" spans="1:6" ht="41.4">
      <c r="A183" s="2" t="s">
        <v>530</v>
      </c>
      <c r="B183" s="2" t="s">
        <v>642</v>
      </c>
      <c r="C183" s="2" t="s">
        <v>718</v>
      </c>
      <c r="D183" s="2" t="s">
        <v>715</v>
      </c>
      <c r="E183" s="2" t="s">
        <v>716</v>
      </c>
      <c r="F183" s="10" t="s">
        <v>757</v>
      </c>
    </row>
    <row r="184" spans="1:6" ht="41.4">
      <c r="A184" s="2" t="s">
        <v>530</v>
      </c>
      <c r="B184" s="2" t="s">
        <v>643</v>
      </c>
      <c r="C184" s="2" t="s">
        <v>718</v>
      </c>
      <c r="D184" s="2" t="s">
        <v>715</v>
      </c>
      <c r="E184" s="2" t="s">
        <v>716</v>
      </c>
      <c r="F184" s="10" t="s">
        <v>757</v>
      </c>
    </row>
    <row r="185" spans="1:6" ht="41.4">
      <c r="A185" s="2" t="s">
        <v>530</v>
      </c>
      <c r="B185" s="2" t="s">
        <v>661</v>
      </c>
      <c r="C185" s="2" t="s">
        <v>718</v>
      </c>
      <c r="D185" s="2" t="s">
        <v>715</v>
      </c>
      <c r="E185" s="2" t="s">
        <v>716</v>
      </c>
      <c r="F185" s="10" t="s">
        <v>757</v>
      </c>
    </row>
    <row r="186" spans="1:6" ht="41.4">
      <c r="A186" s="2" t="s">
        <v>530</v>
      </c>
      <c r="B186" s="2" t="s">
        <v>670</v>
      </c>
      <c r="C186" s="2" t="s">
        <v>718</v>
      </c>
      <c r="D186" s="2" t="s">
        <v>715</v>
      </c>
      <c r="E186" s="2" t="s">
        <v>716</v>
      </c>
      <c r="F186" s="10" t="s">
        <v>757</v>
      </c>
    </row>
    <row r="187" spans="1:6" ht="41.4">
      <c r="A187" s="2" t="s">
        <v>533</v>
      </c>
      <c r="B187" s="2" t="s">
        <v>633</v>
      </c>
      <c r="C187" s="2" t="s">
        <v>718</v>
      </c>
      <c r="D187" s="2" t="s">
        <v>715</v>
      </c>
      <c r="E187" s="2" t="s">
        <v>716</v>
      </c>
      <c r="F187" s="10" t="s">
        <v>758</v>
      </c>
    </row>
    <row r="188" spans="1:6" ht="41.4">
      <c r="A188" s="2" t="s">
        <v>533</v>
      </c>
      <c r="B188" s="2" t="s">
        <v>642</v>
      </c>
      <c r="C188" s="2" t="s">
        <v>718</v>
      </c>
      <c r="D188" s="2" t="s">
        <v>730</v>
      </c>
      <c r="E188" s="2" t="s">
        <v>716</v>
      </c>
      <c r="F188" s="10" t="s">
        <v>758</v>
      </c>
    </row>
    <row r="189" spans="1:6" ht="41.4">
      <c r="A189" s="2" t="s">
        <v>533</v>
      </c>
      <c r="B189" s="2" t="s">
        <v>643</v>
      </c>
      <c r="C189" s="2" t="s">
        <v>718</v>
      </c>
      <c r="D189" s="2" t="s">
        <v>715</v>
      </c>
      <c r="E189" s="2" t="s">
        <v>716</v>
      </c>
      <c r="F189" s="10" t="s">
        <v>758</v>
      </c>
    </row>
    <row r="190" spans="1:6" ht="41.4">
      <c r="A190" s="2" t="s">
        <v>533</v>
      </c>
      <c r="B190" s="2" t="s">
        <v>661</v>
      </c>
      <c r="C190" s="2" t="s">
        <v>718</v>
      </c>
      <c r="D190" s="2" t="s">
        <v>715</v>
      </c>
      <c r="E190" s="2" t="s">
        <v>716</v>
      </c>
      <c r="F190" s="10" t="s">
        <v>758</v>
      </c>
    </row>
    <row r="191" spans="1:6" ht="41.4">
      <c r="A191" s="2" t="s">
        <v>533</v>
      </c>
      <c r="B191" s="2" t="s">
        <v>670</v>
      </c>
      <c r="C191" s="2" t="s">
        <v>718</v>
      </c>
      <c r="D191" s="2" t="s">
        <v>715</v>
      </c>
      <c r="E191" s="2" t="s">
        <v>716</v>
      </c>
      <c r="F191" s="10" t="s">
        <v>758</v>
      </c>
    </row>
    <row r="192" spans="1:6" ht="41.4">
      <c r="A192" s="2" t="s">
        <v>536</v>
      </c>
      <c r="B192" s="2" t="s">
        <v>633</v>
      </c>
      <c r="C192" s="2" t="s">
        <v>718</v>
      </c>
      <c r="D192" s="2" t="s">
        <v>715</v>
      </c>
      <c r="E192" s="2" t="s">
        <v>716</v>
      </c>
      <c r="F192" s="10" t="s">
        <v>759</v>
      </c>
    </row>
    <row r="193" spans="1:6" ht="41.4">
      <c r="A193" s="2" t="s">
        <v>536</v>
      </c>
      <c r="B193" s="2" t="s">
        <v>642</v>
      </c>
      <c r="C193" s="2" t="s">
        <v>718</v>
      </c>
      <c r="D193" s="2" t="s">
        <v>730</v>
      </c>
      <c r="E193" s="2" t="s">
        <v>716</v>
      </c>
      <c r="F193" s="10" t="s">
        <v>759</v>
      </c>
    </row>
    <row r="194" spans="1:6" ht="41.4">
      <c r="A194" s="2" t="s">
        <v>536</v>
      </c>
      <c r="B194" s="2" t="s">
        <v>643</v>
      </c>
      <c r="C194" s="2" t="s">
        <v>718</v>
      </c>
      <c r="D194" s="2" t="s">
        <v>715</v>
      </c>
      <c r="E194" s="2" t="s">
        <v>716</v>
      </c>
      <c r="F194" s="10" t="s">
        <v>759</v>
      </c>
    </row>
    <row r="195" spans="1:6" ht="41.4">
      <c r="A195" s="2" t="s">
        <v>536</v>
      </c>
      <c r="B195" s="2" t="s">
        <v>661</v>
      </c>
      <c r="C195" s="2" t="s">
        <v>718</v>
      </c>
      <c r="D195" s="2" t="s">
        <v>715</v>
      </c>
      <c r="E195" s="2" t="s">
        <v>716</v>
      </c>
      <c r="F195" s="10" t="s">
        <v>759</v>
      </c>
    </row>
    <row r="196" spans="1:6" ht="41.4">
      <c r="A196" s="2" t="s">
        <v>536</v>
      </c>
      <c r="B196" s="2" t="s">
        <v>670</v>
      </c>
      <c r="C196" s="2" t="s">
        <v>718</v>
      </c>
      <c r="D196" s="2" t="s">
        <v>715</v>
      </c>
      <c r="E196" s="2" t="s">
        <v>716</v>
      </c>
      <c r="F196" s="10" t="s">
        <v>759</v>
      </c>
    </row>
    <row r="197" spans="1:6" ht="41.4">
      <c r="A197" s="2" t="s">
        <v>539</v>
      </c>
      <c r="B197" s="2" t="s">
        <v>633</v>
      </c>
      <c r="C197" s="2" t="s">
        <v>718</v>
      </c>
      <c r="D197" s="2" t="s">
        <v>715</v>
      </c>
      <c r="E197" s="2" t="s">
        <v>716</v>
      </c>
      <c r="F197" s="10" t="s">
        <v>760</v>
      </c>
    </row>
    <row r="198" spans="1:6" ht="41.4">
      <c r="A198" s="2" t="s">
        <v>539</v>
      </c>
      <c r="B198" s="2" t="s">
        <v>643</v>
      </c>
      <c r="C198" s="2" t="s">
        <v>718</v>
      </c>
      <c r="D198" s="2" t="s">
        <v>715</v>
      </c>
      <c r="E198" s="2" t="s">
        <v>716</v>
      </c>
      <c r="F198" s="10" t="s">
        <v>760</v>
      </c>
    </row>
    <row r="199" spans="1:6" ht="41.4">
      <c r="A199" s="2" t="s">
        <v>539</v>
      </c>
      <c r="B199" s="2" t="s">
        <v>661</v>
      </c>
      <c r="C199" s="2" t="s">
        <v>718</v>
      </c>
      <c r="D199" s="2" t="s">
        <v>715</v>
      </c>
      <c r="E199" s="2" t="s">
        <v>716</v>
      </c>
      <c r="F199" s="10" t="s">
        <v>760</v>
      </c>
    </row>
    <row r="200" spans="1:6" ht="41.4">
      <c r="A200" s="2" t="s">
        <v>539</v>
      </c>
      <c r="B200" s="2" t="s">
        <v>670</v>
      </c>
      <c r="C200" s="2" t="s">
        <v>718</v>
      </c>
      <c r="D200" s="2" t="s">
        <v>715</v>
      </c>
      <c r="E200" s="2" t="s">
        <v>716</v>
      </c>
      <c r="F200" s="10" t="s">
        <v>760</v>
      </c>
    </row>
    <row r="201" spans="1:6" ht="41.4">
      <c r="A201" s="2" t="s">
        <v>539</v>
      </c>
      <c r="B201" s="2" t="s">
        <v>679</v>
      </c>
      <c r="C201" s="2" t="s">
        <v>718</v>
      </c>
      <c r="D201" s="2" t="s">
        <v>715</v>
      </c>
      <c r="E201" s="2" t="s">
        <v>716</v>
      </c>
      <c r="F201" s="10" t="s">
        <v>760</v>
      </c>
    </row>
    <row r="202" spans="1:6" ht="41.4">
      <c r="A202" s="2" t="s">
        <v>542</v>
      </c>
      <c r="B202" s="2" t="s">
        <v>633</v>
      </c>
      <c r="C202" s="2" t="s">
        <v>718</v>
      </c>
      <c r="D202" s="2" t="s">
        <v>715</v>
      </c>
      <c r="E202" s="2" t="s">
        <v>716</v>
      </c>
      <c r="F202" s="10" t="s">
        <v>761</v>
      </c>
    </row>
    <row r="203" spans="1:6" ht="41.4">
      <c r="A203" s="2" t="s">
        <v>542</v>
      </c>
      <c r="B203" s="2" t="s">
        <v>643</v>
      </c>
      <c r="C203" s="2" t="s">
        <v>718</v>
      </c>
      <c r="D203" s="2" t="s">
        <v>715</v>
      </c>
      <c r="E203" s="2" t="s">
        <v>716</v>
      </c>
      <c r="F203" s="10" t="s">
        <v>761</v>
      </c>
    </row>
    <row r="204" spans="1:6" ht="41.4">
      <c r="A204" s="2" t="s">
        <v>542</v>
      </c>
      <c r="B204" s="2" t="s">
        <v>661</v>
      </c>
      <c r="C204" s="2" t="s">
        <v>718</v>
      </c>
      <c r="D204" s="2" t="s">
        <v>715</v>
      </c>
      <c r="E204" s="2" t="s">
        <v>716</v>
      </c>
      <c r="F204" s="10" t="s">
        <v>761</v>
      </c>
    </row>
    <row r="205" spans="1:6" ht="41.4">
      <c r="A205" s="2" t="s">
        <v>542</v>
      </c>
      <c r="B205" s="2" t="s">
        <v>670</v>
      </c>
      <c r="C205" s="2" t="s">
        <v>718</v>
      </c>
      <c r="D205" s="2" t="s">
        <v>715</v>
      </c>
      <c r="E205" s="2" t="s">
        <v>716</v>
      </c>
      <c r="F205" s="10" t="s">
        <v>761</v>
      </c>
    </row>
    <row r="206" spans="1:6" ht="41.4">
      <c r="A206" s="2" t="s">
        <v>542</v>
      </c>
      <c r="B206" s="2" t="s">
        <v>679</v>
      </c>
      <c r="C206" s="2" t="s">
        <v>718</v>
      </c>
      <c r="D206" s="2" t="s">
        <v>715</v>
      </c>
      <c r="E206" s="2" t="s">
        <v>716</v>
      </c>
      <c r="F206" s="10" t="s">
        <v>761</v>
      </c>
    </row>
    <row r="207" spans="1:6" ht="41.4">
      <c r="A207" s="2" t="s">
        <v>545</v>
      </c>
      <c r="B207" s="2" t="s">
        <v>633</v>
      </c>
      <c r="C207" s="2" t="s">
        <v>714</v>
      </c>
      <c r="D207" s="2" t="s">
        <v>715</v>
      </c>
      <c r="E207" s="2" t="s">
        <v>716</v>
      </c>
      <c r="F207" s="10" t="s">
        <v>762</v>
      </c>
    </row>
    <row r="208" spans="1:6" ht="41.4">
      <c r="A208" s="2" t="s">
        <v>545</v>
      </c>
      <c r="B208" s="2" t="s">
        <v>643</v>
      </c>
      <c r="C208" s="2" t="s">
        <v>714</v>
      </c>
      <c r="D208" s="2" t="s">
        <v>715</v>
      </c>
      <c r="E208" s="2" t="s">
        <v>716</v>
      </c>
      <c r="F208" s="10" t="s">
        <v>762</v>
      </c>
    </row>
    <row r="209" spans="1:6" ht="41.4">
      <c r="A209" s="2" t="s">
        <v>545</v>
      </c>
      <c r="B209" s="2" t="s">
        <v>661</v>
      </c>
      <c r="C209" s="2" t="s">
        <v>714</v>
      </c>
      <c r="D209" s="2" t="s">
        <v>715</v>
      </c>
      <c r="E209" s="2" t="s">
        <v>716</v>
      </c>
      <c r="F209" s="10" t="s">
        <v>762</v>
      </c>
    </row>
    <row r="210" spans="1:6" ht="41.4">
      <c r="A210" s="2" t="s">
        <v>545</v>
      </c>
      <c r="B210" s="2" t="s">
        <v>670</v>
      </c>
      <c r="C210" s="2" t="s">
        <v>714</v>
      </c>
      <c r="D210" s="2" t="s">
        <v>715</v>
      </c>
      <c r="E210" s="2" t="s">
        <v>716</v>
      </c>
      <c r="F210" s="10" t="s">
        <v>762</v>
      </c>
    </row>
    <row r="211" spans="1:6" ht="41.4">
      <c r="A211" s="2" t="s">
        <v>545</v>
      </c>
      <c r="B211" s="2" t="s">
        <v>679</v>
      </c>
      <c r="C211" s="2" t="s">
        <v>714</v>
      </c>
      <c r="D211" s="2" t="s">
        <v>715</v>
      </c>
      <c r="E211" s="2" t="s">
        <v>716</v>
      </c>
      <c r="F211" s="10" t="s">
        <v>762</v>
      </c>
    </row>
    <row r="212" spans="1:6" ht="41.4">
      <c r="A212" s="2" t="s">
        <v>548</v>
      </c>
      <c r="B212" s="2" t="s">
        <v>633</v>
      </c>
      <c r="C212" s="2" t="s">
        <v>714</v>
      </c>
      <c r="D212" s="2" t="s">
        <v>715</v>
      </c>
      <c r="E212" s="2" t="s">
        <v>716</v>
      </c>
      <c r="F212" s="10" t="s">
        <v>763</v>
      </c>
    </row>
    <row r="213" spans="1:6" ht="41.4">
      <c r="A213" s="2" t="s">
        <v>548</v>
      </c>
      <c r="B213" s="2" t="s">
        <v>643</v>
      </c>
      <c r="C213" s="2" t="s">
        <v>714</v>
      </c>
      <c r="D213" s="2" t="s">
        <v>715</v>
      </c>
      <c r="E213" s="2" t="s">
        <v>716</v>
      </c>
      <c r="F213" s="10" t="s">
        <v>763</v>
      </c>
    </row>
    <row r="214" spans="1:6" ht="41.4">
      <c r="A214" s="2" t="s">
        <v>548</v>
      </c>
      <c r="B214" s="2" t="s">
        <v>661</v>
      </c>
      <c r="C214" s="2" t="s">
        <v>714</v>
      </c>
      <c r="D214" s="2" t="s">
        <v>715</v>
      </c>
      <c r="E214" s="2" t="s">
        <v>716</v>
      </c>
      <c r="F214" s="10" t="s">
        <v>763</v>
      </c>
    </row>
    <row r="215" spans="1:6" ht="41.4">
      <c r="A215" s="2" t="s">
        <v>548</v>
      </c>
      <c r="B215" s="2" t="s">
        <v>670</v>
      </c>
      <c r="C215" s="2" t="s">
        <v>714</v>
      </c>
      <c r="D215" s="2" t="s">
        <v>715</v>
      </c>
      <c r="E215" s="2" t="s">
        <v>716</v>
      </c>
      <c r="F215" s="10" t="s">
        <v>763</v>
      </c>
    </row>
    <row r="216" spans="1:6" ht="41.4">
      <c r="A216" s="2" t="s">
        <v>548</v>
      </c>
      <c r="B216" s="2" t="s">
        <v>679</v>
      </c>
      <c r="C216" s="2" t="s">
        <v>714</v>
      </c>
      <c r="D216" s="2" t="s">
        <v>715</v>
      </c>
      <c r="E216" s="2" t="s">
        <v>716</v>
      </c>
      <c r="F216" s="10" t="s">
        <v>763</v>
      </c>
    </row>
    <row r="217" spans="1:6" ht="41.4">
      <c r="A217" s="2" t="s">
        <v>551</v>
      </c>
      <c r="B217" s="2" t="s">
        <v>633</v>
      </c>
      <c r="C217" s="2" t="s">
        <v>714</v>
      </c>
      <c r="D217" s="2" t="s">
        <v>715</v>
      </c>
      <c r="E217" s="2" t="s">
        <v>716</v>
      </c>
      <c r="F217" s="10" t="s">
        <v>764</v>
      </c>
    </row>
    <row r="218" spans="1:6" ht="41.4">
      <c r="A218" s="2" t="s">
        <v>551</v>
      </c>
      <c r="B218" s="2" t="s">
        <v>643</v>
      </c>
      <c r="C218" s="2" t="s">
        <v>714</v>
      </c>
      <c r="D218" s="2" t="s">
        <v>715</v>
      </c>
      <c r="E218" s="2" t="s">
        <v>716</v>
      </c>
      <c r="F218" s="10" t="s">
        <v>764</v>
      </c>
    </row>
    <row r="219" spans="1:6" ht="41.4">
      <c r="A219" s="2" t="s">
        <v>551</v>
      </c>
      <c r="B219" s="2" t="s">
        <v>661</v>
      </c>
      <c r="C219" s="2" t="s">
        <v>714</v>
      </c>
      <c r="D219" s="2" t="s">
        <v>715</v>
      </c>
      <c r="E219" s="2" t="s">
        <v>716</v>
      </c>
      <c r="F219" s="10" t="s">
        <v>764</v>
      </c>
    </row>
    <row r="220" spans="1:6" ht="41.4">
      <c r="A220" s="2" t="s">
        <v>551</v>
      </c>
      <c r="B220" s="2" t="s">
        <v>670</v>
      </c>
      <c r="C220" s="2" t="s">
        <v>714</v>
      </c>
      <c r="D220" s="2" t="s">
        <v>715</v>
      </c>
      <c r="E220" s="2" t="s">
        <v>716</v>
      </c>
      <c r="F220" s="10" t="s">
        <v>764</v>
      </c>
    </row>
    <row r="221" spans="1:6" ht="41.4">
      <c r="A221" s="2" t="s">
        <v>551</v>
      </c>
      <c r="B221" s="2" t="s">
        <v>679</v>
      </c>
      <c r="C221" s="2" t="s">
        <v>714</v>
      </c>
      <c r="D221" s="2" t="s">
        <v>715</v>
      </c>
      <c r="E221" s="2" t="s">
        <v>716</v>
      </c>
      <c r="F221" s="10" t="s">
        <v>764</v>
      </c>
    </row>
    <row r="222" spans="1:6" ht="41.4">
      <c r="A222" s="2" t="s">
        <v>554</v>
      </c>
      <c r="B222" s="2" t="s">
        <v>633</v>
      </c>
      <c r="C222" s="2" t="s">
        <v>714</v>
      </c>
      <c r="D222" s="2" t="s">
        <v>715</v>
      </c>
      <c r="E222" s="2" t="s">
        <v>716</v>
      </c>
      <c r="F222" s="10" t="s">
        <v>765</v>
      </c>
    </row>
    <row r="223" spans="1:6" ht="41.4">
      <c r="A223" s="2" t="s">
        <v>554</v>
      </c>
      <c r="B223" s="2" t="s">
        <v>643</v>
      </c>
      <c r="C223" s="2" t="s">
        <v>714</v>
      </c>
      <c r="D223" s="2" t="s">
        <v>715</v>
      </c>
      <c r="E223" s="2" t="s">
        <v>716</v>
      </c>
      <c r="F223" s="10" t="s">
        <v>765</v>
      </c>
    </row>
    <row r="224" spans="1:6" ht="41.4">
      <c r="A224" s="2" t="s">
        <v>554</v>
      </c>
      <c r="B224" s="2" t="s">
        <v>661</v>
      </c>
      <c r="C224" s="2" t="s">
        <v>714</v>
      </c>
      <c r="D224" s="2" t="s">
        <v>715</v>
      </c>
      <c r="E224" s="2" t="s">
        <v>716</v>
      </c>
      <c r="F224" s="10" t="s">
        <v>765</v>
      </c>
    </row>
    <row r="225" spans="1:6" ht="41.4">
      <c r="A225" s="2" t="s">
        <v>554</v>
      </c>
      <c r="B225" s="2" t="s">
        <v>670</v>
      </c>
      <c r="C225" s="2" t="s">
        <v>714</v>
      </c>
      <c r="D225" s="2" t="s">
        <v>715</v>
      </c>
      <c r="E225" s="2" t="s">
        <v>716</v>
      </c>
      <c r="F225" s="10" t="s">
        <v>765</v>
      </c>
    </row>
    <row r="226" spans="1:6" ht="41.4">
      <c r="A226" s="2" t="s">
        <v>554</v>
      </c>
      <c r="B226" s="2" t="s">
        <v>679</v>
      </c>
      <c r="C226" s="2" t="s">
        <v>714</v>
      </c>
      <c r="D226" s="2" t="s">
        <v>715</v>
      </c>
      <c r="E226" s="2" t="s">
        <v>716</v>
      </c>
      <c r="F226" s="10" t="s">
        <v>765</v>
      </c>
    </row>
    <row r="227" spans="1:6" ht="41.4">
      <c r="A227" s="2" t="s">
        <v>557</v>
      </c>
      <c r="B227" s="2" t="s">
        <v>633</v>
      </c>
      <c r="C227" s="2" t="s">
        <v>714</v>
      </c>
      <c r="D227" s="2" t="s">
        <v>715</v>
      </c>
      <c r="E227" s="2" t="s">
        <v>716</v>
      </c>
      <c r="F227" s="10" t="s">
        <v>766</v>
      </c>
    </row>
    <row r="228" spans="1:6" ht="41.4">
      <c r="A228" s="2" t="s">
        <v>557</v>
      </c>
      <c r="B228" s="2" t="s">
        <v>643</v>
      </c>
      <c r="C228" s="2" t="s">
        <v>714</v>
      </c>
      <c r="D228" s="2" t="s">
        <v>715</v>
      </c>
      <c r="E228" s="2" t="s">
        <v>716</v>
      </c>
      <c r="F228" s="10" t="s">
        <v>766</v>
      </c>
    </row>
    <row r="229" spans="1:6" ht="41.4">
      <c r="A229" s="2" t="s">
        <v>557</v>
      </c>
      <c r="B229" s="2" t="s">
        <v>661</v>
      </c>
      <c r="C229" s="2" t="s">
        <v>714</v>
      </c>
      <c r="D229" s="2" t="s">
        <v>715</v>
      </c>
      <c r="E229" s="2" t="s">
        <v>716</v>
      </c>
      <c r="F229" s="10" t="s">
        <v>766</v>
      </c>
    </row>
    <row r="230" spans="1:6" ht="41.4">
      <c r="A230" s="2" t="s">
        <v>557</v>
      </c>
      <c r="B230" s="2" t="s">
        <v>670</v>
      </c>
      <c r="C230" s="2" t="s">
        <v>714</v>
      </c>
      <c r="D230" s="2" t="s">
        <v>715</v>
      </c>
      <c r="E230" s="2" t="s">
        <v>716</v>
      </c>
      <c r="F230" s="10" t="s">
        <v>766</v>
      </c>
    </row>
    <row r="231" spans="1:6" ht="41.4">
      <c r="A231" s="2" t="s">
        <v>557</v>
      </c>
      <c r="B231" s="2" t="s">
        <v>679</v>
      </c>
      <c r="C231" s="2" t="s">
        <v>714</v>
      </c>
      <c r="D231" s="2" t="s">
        <v>715</v>
      </c>
      <c r="E231" s="2" t="s">
        <v>716</v>
      </c>
      <c r="F231" s="10" t="s">
        <v>766</v>
      </c>
    </row>
    <row r="232" spans="1:6" ht="41.4">
      <c r="A232" s="2" t="s">
        <v>560</v>
      </c>
      <c r="B232" s="2" t="s">
        <v>633</v>
      </c>
      <c r="C232" s="2" t="s">
        <v>714</v>
      </c>
      <c r="D232" s="2" t="s">
        <v>715</v>
      </c>
      <c r="E232" s="2" t="s">
        <v>716</v>
      </c>
      <c r="F232" s="10" t="s">
        <v>767</v>
      </c>
    </row>
    <row r="233" spans="1:6" ht="41.4">
      <c r="A233" s="2" t="s">
        <v>560</v>
      </c>
      <c r="B233" s="2" t="s">
        <v>643</v>
      </c>
      <c r="C233" s="2" t="s">
        <v>714</v>
      </c>
      <c r="D233" s="2" t="s">
        <v>715</v>
      </c>
      <c r="E233" s="2" t="s">
        <v>716</v>
      </c>
      <c r="F233" s="10" t="s">
        <v>767</v>
      </c>
    </row>
    <row r="234" spans="1:6" ht="41.4">
      <c r="A234" s="2" t="s">
        <v>560</v>
      </c>
      <c r="B234" s="2" t="s">
        <v>661</v>
      </c>
      <c r="C234" s="2" t="s">
        <v>714</v>
      </c>
      <c r="D234" s="2" t="s">
        <v>715</v>
      </c>
      <c r="E234" s="2" t="s">
        <v>716</v>
      </c>
      <c r="F234" s="10" t="s">
        <v>767</v>
      </c>
    </row>
    <row r="235" spans="1:6" ht="41.4">
      <c r="A235" s="2" t="s">
        <v>560</v>
      </c>
      <c r="B235" s="2" t="s">
        <v>670</v>
      </c>
      <c r="C235" s="2" t="s">
        <v>714</v>
      </c>
      <c r="D235" s="2" t="s">
        <v>715</v>
      </c>
      <c r="E235" s="2" t="s">
        <v>716</v>
      </c>
      <c r="F235" s="10" t="s">
        <v>767</v>
      </c>
    </row>
    <row r="236" spans="1:6" ht="41.4">
      <c r="A236" s="2" t="s">
        <v>560</v>
      </c>
      <c r="B236" s="2" t="s">
        <v>679</v>
      </c>
      <c r="C236" s="2" t="s">
        <v>714</v>
      </c>
      <c r="D236" s="2" t="s">
        <v>715</v>
      </c>
      <c r="E236" s="2" t="s">
        <v>716</v>
      </c>
      <c r="F236" s="10" t="s">
        <v>767</v>
      </c>
    </row>
    <row r="237" spans="1:6" ht="41.4">
      <c r="A237" s="2" t="s">
        <v>563</v>
      </c>
      <c r="B237" s="2" t="s">
        <v>633</v>
      </c>
      <c r="C237" s="2" t="s">
        <v>714</v>
      </c>
      <c r="D237" s="2" t="s">
        <v>715</v>
      </c>
      <c r="E237" s="2" t="s">
        <v>716</v>
      </c>
      <c r="F237" s="10" t="s">
        <v>768</v>
      </c>
    </row>
    <row r="238" spans="1:6" ht="41.4">
      <c r="A238" s="2" t="s">
        <v>563</v>
      </c>
      <c r="B238" s="2" t="s">
        <v>643</v>
      </c>
      <c r="C238" s="2" t="s">
        <v>714</v>
      </c>
      <c r="D238" s="2" t="s">
        <v>715</v>
      </c>
      <c r="E238" s="2" t="s">
        <v>716</v>
      </c>
      <c r="F238" s="10" t="s">
        <v>768</v>
      </c>
    </row>
    <row r="239" spans="1:6" ht="41.4">
      <c r="A239" s="2" t="s">
        <v>563</v>
      </c>
      <c r="B239" s="2" t="s">
        <v>661</v>
      </c>
      <c r="C239" s="2" t="s">
        <v>714</v>
      </c>
      <c r="D239" s="2" t="s">
        <v>715</v>
      </c>
      <c r="E239" s="2" t="s">
        <v>716</v>
      </c>
      <c r="F239" s="10" t="s">
        <v>768</v>
      </c>
    </row>
    <row r="240" spans="1:6" ht="41.4">
      <c r="A240" s="2" t="s">
        <v>563</v>
      </c>
      <c r="B240" s="2" t="s">
        <v>670</v>
      </c>
      <c r="C240" s="2" t="s">
        <v>714</v>
      </c>
      <c r="D240" s="2" t="s">
        <v>715</v>
      </c>
      <c r="E240" s="2" t="s">
        <v>716</v>
      </c>
      <c r="F240" s="10" t="s">
        <v>768</v>
      </c>
    </row>
    <row r="241" spans="1:6" ht="41.4">
      <c r="A241" s="2" t="s">
        <v>563</v>
      </c>
      <c r="B241" s="2" t="s">
        <v>679</v>
      </c>
      <c r="C241" s="2" t="s">
        <v>714</v>
      </c>
      <c r="D241" s="2" t="s">
        <v>715</v>
      </c>
      <c r="E241" s="2" t="s">
        <v>716</v>
      </c>
      <c r="F241" s="10" t="s">
        <v>768</v>
      </c>
    </row>
    <row r="242" spans="1:6" ht="41.4">
      <c r="A242" s="2" t="s">
        <v>566</v>
      </c>
      <c r="B242" s="2" t="s">
        <v>633</v>
      </c>
      <c r="C242" s="2" t="s">
        <v>714</v>
      </c>
      <c r="D242" s="2" t="s">
        <v>722</v>
      </c>
      <c r="E242" s="2" t="s">
        <v>716</v>
      </c>
      <c r="F242" s="10" t="s">
        <v>769</v>
      </c>
    </row>
    <row r="243" spans="1:6" ht="41.4">
      <c r="A243" s="2" t="s">
        <v>566</v>
      </c>
      <c r="B243" s="2" t="s">
        <v>643</v>
      </c>
      <c r="C243" s="2" t="s">
        <v>729</v>
      </c>
      <c r="D243" s="2" t="s">
        <v>715</v>
      </c>
      <c r="E243" s="2" t="s">
        <v>716</v>
      </c>
      <c r="F243" s="10" t="s">
        <v>769</v>
      </c>
    </row>
    <row r="244" spans="1:6" ht="41.4">
      <c r="A244" s="2" t="s">
        <v>566</v>
      </c>
      <c r="B244" s="2" t="s">
        <v>661</v>
      </c>
      <c r="C244" s="2" t="s">
        <v>729</v>
      </c>
      <c r="D244" s="2" t="s">
        <v>715</v>
      </c>
      <c r="E244" s="2" t="s">
        <v>716</v>
      </c>
      <c r="F244" s="10" t="s">
        <v>769</v>
      </c>
    </row>
    <row r="245" spans="1:6" ht="41.4">
      <c r="A245" s="2" t="s">
        <v>566</v>
      </c>
      <c r="B245" s="2" t="s">
        <v>670</v>
      </c>
      <c r="C245" s="2" t="s">
        <v>729</v>
      </c>
      <c r="D245" s="2" t="s">
        <v>715</v>
      </c>
      <c r="E245" s="2" t="s">
        <v>716</v>
      </c>
      <c r="F245" s="10" t="s">
        <v>769</v>
      </c>
    </row>
    <row r="246" spans="1:6" ht="41.4">
      <c r="A246" s="2" t="s">
        <v>566</v>
      </c>
      <c r="B246" s="2" t="s">
        <v>679</v>
      </c>
      <c r="C246" s="2" t="s">
        <v>729</v>
      </c>
      <c r="D246" s="2" t="s">
        <v>715</v>
      </c>
      <c r="E246" s="2" t="s">
        <v>716</v>
      </c>
      <c r="F246" s="10" t="s">
        <v>769</v>
      </c>
    </row>
    <row r="247" spans="1:6" ht="41.4">
      <c r="A247" s="2" t="s">
        <v>569</v>
      </c>
      <c r="B247" s="2" t="s">
        <v>633</v>
      </c>
      <c r="C247" s="2" t="s">
        <v>714</v>
      </c>
      <c r="D247" s="2" t="s">
        <v>715</v>
      </c>
      <c r="E247" s="2" t="s">
        <v>716</v>
      </c>
      <c r="F247" s="10" t="s">
        <v>770</v>
      </c>
    </row>
    <row r="248" spans="1:6" ht="41.4">
      <c r="A248" s="2" t="s">
        <v>569</v>
      </c>
      <c r="B248" s="2" t="s">
        <v>643</v>
      </c>
      <c r="C248" s="2" t="s">
        <v>714</v>
      </c>
      <c r="D248" s="2" t="s">
        <v>715</v>
      </c>
      <c r="E248" s="2" t="s">
        <v>716</v>
      </c>
      <c r="F248" s="10" t="s">
        <v>770</v>
      </c>
    </row>
    <row r="249" spans="1:6" ht="41.4">
      <c r="A249" s="2" t="s">
        <v>569</v>
      </c>
      <c r="B249" s="2" t="s">
        <v>661</v>
      </c>
      <c r="C249" s="2" t="s">
        <v>714</v>
      </c>
      <c r="D249" s="2" t="s">
        <v>715</v>
      </c>
      <c r="E249" s="2" t="s">
        <v>716</v>
      </c>
      <c r="F249" s="10" t="s">
        <v>770</v>
      </c>
    </row>
    <row r="250" spans="1:6" ht="41.4">
      <c r="A250" s="2" t="s">
        <v>569</v>
      </c>
      <c r="B250" s="2" t="s">
        <v>670</v>
      </c>
      <c r="C250" s="2" t="s">
        <v>714</v>
      </c>
      <c r="D250" s="2" t="s">
        <v>715</v>
      </c>
      <c r="E250" s="2" t="s">
        <v>716</v>
      </c>
      <c r="F250" s="10" t="s">
        <v>770</v>
      </c>
    </row>
    <row r="251" spans="1:6" ht="41.4">
      <c r="A251" s="2" t="s">
        <v>569</v>
      </c>
      <c r="B251" s="2" t="s">
        <v>679</v>
      </c>
      <c r="C251" s="2" t="s">
        <v>714</v>
      </c>
      <c r="D251" s="2" t="s">
        <v>715</v>
      </c>
      <c r="E251" s="2" t="s">
        <v>716</v>
      </c>
      <c r="F251" s="10" t="s">
        <v>770</v>
      </c>
    </row>
    <row r="252" spans="1:6" ht="41.4">
      <c r="A252" s="2" t="s">
        <v>572</v>
      </c>
      <c r="B252" s="2" t="s">
        <v>633</v>
      </c>
      <c r="C252" s="2" t="s">
        <v>714</v>
      </c>
      <c r="D252" s="2" t="s">
        <v>715</v>
      </c>
      <c r="E252" s="2" t="s">
        <v>716</v>
      </c>
      <c r="F252" s="10" t="s">
        <v>771</v>
      </c>
    </row>
    <row r="253" spans="1:6" ht="41.4">
      <c r="A253" s="2" t="s">
        <v>572</v>
      </c>
      <c r="B253" s="2" t="s">
        <v>643</v>
      </c>
      <c r="C253" s="2" t="s">
        <v>714</v>
      </c>
      <c r="D253" s="2" t="s">
        <v>715</v>
      </c>
      <c r="E253" s="2" t="s">
        <v>716</v>
      </c>
      <c r="F253" s="10" t="s">
        <v>771</v>
      </c>
    </row>
    <row r="254" spans="1:6" ht="41.4">
      <c r="A254" s="2" t="s">
        <v>572</v>
      </c>
      <c r="B254" s="2" t="s">
        <v>661</v>
      </c>
      <c r="C254" s="2" t="s">
        <v>714</v>
      </c>
      <c r="D254" s="2" t="s">
        <v>715</v>
      </c>
      <c r="E254" s="2" t="s">
        <v>716</v>
      </c>
      <c r="F254" s="10" t="s">
        <v>771</v>
      </c>
    </row>
    <row r="255" spans="1:6" ht="41.4">
      <c r="A255" s="2" t="s">
        <v>572</v>
      </c>
      <c r="B255" s="2" t="s">
        <v>670</v>
      </c>
      <c r="C255" s="2" t="s">
        <v>714</v>
      </c>
      <c r="D255" s="2" t="s">
        <v>715</v>
      </c>
      <c r="E255" s="2" t="s">
        <v>716</v>
      </c>
      <c r="F255" s="10" t="s">
        <v>771</v>
      </c>
    </row>
    <row r="256" spans="1:6" ht="41.4">
      <c r="A256" s="2" t="s">
        <v>572</v>
      </c>
      <c r="B256" s="2" t="s">
        <v>679</v>
      </c>
      <c r="C256" s="2" t="s">
        <v>729</v>
      </c>
      <c r="D256" s="2" t="s">
        <v>730</v>
      </c>
      <c r="E256" s="2" t="s">
        <v>716</v>
      </c>
      <c r="F256" s="10" t="s">
        <v>771</v>
      </c>
    </row>
    <row r="257" spans="1:6" ht="41.4">
      <c r="A257" s="2" t="s">
        <v>575</v>
      </c>
      <c r="B257" s="2" t="s">
        <v>633</v>
      </c>
      <c r="C257" s="2" t="s">
        <v>714</v>
      </c>
      <c r="D257" s="2" t="s">
        <v>722</v>
      </c>
      <c r="E257" s="2" t="s">
        <v>716</v>
      </c>
      <c r="F257" s="10" t="s">
        <v>772</v>
      </c>
    </row>
    <row r="258" spans="1:6" ht="41.4">
      <c r="A258" s="2" t="s">
        <v>575</v>
      </c>
      <c r="B258" s="2" t="s">
        <v>643</v>
      </c>
      <c r="C258" s="2" t="s">
        <v>714</v>
      </c>
      <c r="D258" s="2" t="s">
        <v>722</v>
      </c>
      <c r="E258" s="2" t="s">
        <v>716</v>
      </c>
      <c r="F258" s="10" t="s">
        <v>772</v>
      </c>
    </row>
    <row r="259" spans="1:6" ht="41.4">
      <c r="A259" s="2" t="s">
        <v>575</v>
      </c>
      <c r="B259" s="2" t="s">
        <v>661</v>
      </c>
      <c r="C259" s="2" t="s">
        <v>729</v>
      </c>
      <c r="D259" s="2" t="s">
        <v>715</v>
      </c>
      <c r="E259" s="2" t="s">
        <v>716</v>
      </c>
      <c r="F259" s="10" t="s">
        <v>772</v>
      </c>
    </row>
    <row r="260" spans="1:6" ht="41.4">
      <c r="A260" s="2" t="s">
        <v>575</v>
      </c>
      <c r="B260" s="2" t="s">
        <v>670</v>
      </c>
      <c r="C260" s="2" t="s">
        <v>729</v>
      </c>
      <c r="D260" s="2" t="s">
        <v>715</v>
      </c>
      <c r="E260" s="2" t="s">
        <v>716</v>
      </c>
      <c r="F260" s="10" t="s">
        <v>772</v>
      </c>
    </row>
    <row r="261" spans="1:6" ht="41.4">
      <c r="A261" s="2" t="s">
        <v>575</v>
      </c>
      <c r="B261" s="2" t="s">
        <v>679</v>
      </c>
      <c r="C261" s="2" t="s">
        <v>729</v>
      </c>
      <c r="D261" s="2" t="s">
        <v>715</v>
      </c>
      <c r="E261" s="2" t="s">
        <v>716</v>
      </c>
      <c r="F261" s="10" t="s">
        <v>772</v>
      </c>
    </row>
    <row r="262" spans="1:6" ht="41.4">
      <c r="A262" s="2" t="s">
        <v>578</v>
      </c>
      <c r="B262" s="2" t="s">
        <v>633</v>
      </c>
      <c r="C262" s="2" t="s">
        <v>729</v>
      </c>
      <c r="D262" s="2" t="s">
        <v>715</v>
      </c>
      <c r="E262" s="2" t="s">
        <v>716</v>
      </c>
      <c r="F262" s="10" t="s">
        <v>773</v>
      </c>
    </row>
    <row r="263" spans="1:6" ht="41.4">
      <c r="A263" s="2" t="s">
        <v>578</v>
      </c>
      <c r="B263" s="2" t="s">
        <v>643</v>
      </c>
      <c r="C263" s="2" t="s">
        <v>714</v>
      </c>
      <c r="D263" s="2" t="s">
        <v>722</v>
      </c>
      <c r="E263" s="2" t="s">
        <v>716</v>
      </c>
      <c r="F263" s="10" t="s">
        <v>773</v>
      </c>
    </row>
    <row r="264" spans="1:6" ht="41.4">
      <c r="A264" s="2" t="s">
        <v>578</v>
      </c>
      <c r="B264" s="2" t="s">
        <v>661</v>
      </c>
      <c r="C264" s="2" t="s">
        <v>729</v>
      </c>
      <c r="D264" s="2" t="s">
        <v>715</v>
      </c>
      <c r="E264" s="2" t="s">
        <v>716</v>
      </c>
      <c r="F264" s="10" t="s">
        <v>773</v>
      </c>
    </row>
    <row r="265" spans="1:6" ht="41.4">
      <c r="A265" s="2" t="s">
        <v>578</v>
      </c>
      <c r="B265" s="2" t="s">
        <v>670</v>
      </c>
      <c r="C265" s="2" t="s">
        <v>729</v>
      </c>
      <c r="D265" s="2" t="s">
        <v>715</v>
      </c>
      <c r="E265" s="2" t="s">
        <v>716</v>
      </c>
      <c r="F265" s="10" t="s">
        <v>773</v>
      </c>
    </row>
    <row r="266" spans="1:6" ht="41.4">
      <c r="A266" s="2" t="s">
        <v>578</v>
      </c>
      <c r="B266" s="2" t="s">
        <v>679</v>
      </c>
      <c r="C266" s="2" t="s">
        <v>729</v>
      </c>
      <c r="D266" s="2" t="s">
        <v>715</v>
      </c>
      <c r="E266" s="2" t="s">
        <v>716</v>
      </c>
      <c r="F266" s="10" t="s">
        <v>773</v>
      </c>
    </row>
    <row r="267" spans="1:6" ht="41.4">
      <c r="A267" s="2" t="s">
        <v>581</v>
      </c>
      <c r="B267" s="2" t="s">
        <v>633</v>
      </c>
      <c r="C267" s="2" t="s">
        <v>729</v>
      </c>
      <c r="D267" s="2" t="s">
        <v>715</v>
      </c>
      <c r="E267" s="2" t="s">
        <v>716</v>
      </c>
      <c r="F267" s="10" t="s">
        <v>774</v>
      </c>
    </row>
    <row r="268" spans="1:6" ht="41.4">
      <c r="A268" s="2" t="s">
        <v>581</v>
      </c>
      <c r="B268" s="2" t="s">
        <v>643</v>
      </c>
      <c r="C268" s="2" t="s">
        <v>729</v>
      </c>
      <c r="D268" s="2" t="s">
        <v>715</v>
      </c>
      <c r="E268" s="2" t="s">
        <v>716</v>
      </c>
      <c r="F268" s="10" t="s">
        <v>774</v>
      </c>
    </row>
    <row r="269" spans="1:6" ht="41.4">
      <c r="A269" s="2" t="s">
        <v>581</v>
      </c>
      <c r="B269" s="2" t="s">
        <v>661</v>
      </c>
      <c r="C269" s="2" t="s">
        <v>729</v>
      </c>
      <c r="D269" s="2" t="s">
        <v>715</v>
      </c>
      <c r="E269" s="2" t="s">
        <v>716</v>
      </c>
      <c r="F269" s="10" t="s">
        <v>774</v>
      </c>
    </row>
    <row r="270" spans="1:6" ht="41.4">
      <c r="A270" s="2" t="s">
        <v>581</v>
      </c>
      <c r="B270" s="2" t="s">
        <v>670</v>
      </c>
      <c r="C270" s="2" t="s">
        <v>729</v>
      </c>
      <c r="D270" s="2" t="s">
        <v>715</v>
      </c>
      <c r="E270" s="2" t="s">
        <v>716</v>
      </c>
      <c r="F270" s="10" t="s">
        <v>774</v>
      </c>
    </row>
    <row r="271" spans="1:6" ht="41.4">
      <c r="A271" s="2" t="s">
        <v>581</v>
      </c>
      <c r="B271" s="2" t="s">
        <v>679</v>
      </c>
      <c r="C271" s="2" t="s">
        <v>729</v>
      </c>
      <c r="D271" s="2" t="s">
        <v>715</v>
      </c>
      <c r="E271" s="2" t="s">
        <v>716</v>
      </c>
      <c r="F271" s="10" t="s">
        <v>774</v>
      </c>
    </row>
    <row r="272" spans="1:6" ht="41.4">
      <c r="A272" s="2" t="s">
        <v>584</v>
      </c>
      <c r="B272" s="2" t="s">
        <v>633</v>
      </c>
      <c r="C272" s="2" t="s">
        <v>729</v>
      </c>
      <c r="D272" s="2" t="s">
        <v>715</v>
      </c>
      <c r="E272" s="2" t="s">
        <v>716</v>
      </c>
      <c r="F272" s="10" t="s">
        <v>775</v>
      </c>
    </row>
    <row r="273" spans="1:6" ht="41.4">
      <c r="A273" s="2" t="s">
        <v>584</v>
      </c>
      <c r="B273" s="2" t="s">
        <v>643</v>
      </c>
      <c r="C273" s="2" t="s">
        <v>729</v>
      </c>
      <c r="D273" s="2" t="s">
        <v>715</v>
      </c>
      <c r="E273" s="2" t="s">
        <v>716</v>
      </c>
      <c r="F273" s="10" t="s">
        <v>775</v>
      </c>
    </row>
    <row r="274" spans="1:6" ht="41.4">
      <c r="A274" s="2" t="s">
        <v>584</v>
      </c>
      <c r="B274" s="2" t="s">
        <v>661</v>
      </c>
      <c r="C274" s="2" t="s">
        <v>729</v>
      </c>
      <c r="D274" s="2" t="s">
        <v>715</v>
      </c>
      <c r="E274" s="2" t="s">
        <v>716</v>
      </c>
      <c r="F274" s="10" t="s">
        <v>775</v>
      </c>
    </row>
    <row r="275" spans="1:6" ht="41.4">
      <c r="A275" s="2" t="s">
        <v>584</v>
      </c>
      <c r="B275" s="2" t="s">
        <v>670</v>
      </c>
      <c r="C275" s="2" t="s">
        <v>729</v>
      </c>
      <c r="D275" s="2" t="s">
        <v>715</v>
      </c>
      <c r="E275" s="2" t="s">
        <v>716</v>
      </c>
      <c r="F275" s="10" t="s">
        <v>775</v>
      </c>
    </row>
    <row r="276" spans="1:6" ht="41.4">
      <c r="A276" s="2" t="s">
        <v>584</v>
      </c>
      <c r="B276" s="2" t="s">
        <v>679</v>
      </c>
      <c r="C276" s="2" t="s">
        <v>729</v>
      </c>
      <c r="D276" s="2" t="s">
        <v>715</v>
      </c>
      <c r="E276" s="2" t="s">
        <v>716</v>
      </c>
      <c r="F276" s="10" t="s">
        <v>775</v>
      </c>
    </row>
    <row r="277" spans="1:6" ht="41.4">
      <c r="A277" s="2" t="s">
        <v>587</v>
      </c>
      <c r="B277" s="2" t="s">
        <v>643</v>
      </c>
      <c r="C277" s="2" t="s">
        <v>729</v>
      </c>
      <c r="D277" s="2" t="s">
        <v>722</v>
      </c>
      <c r="E277" s="2" t="s">
        <v>716</v>
      </c>
      <c r="F277" s="10" t="s">
        <v>776</v>
      </c>
    </row>
    <row r="278" spans="1:6" ht="41.4">
      <c r="A278" s="2" t="s">
        <v>587</v>
      </c>
      <c r="B278" s="2" t="s">
        <v>661</v>
      </c>
      <c r="C278" s="2" t="s">
        <v>729</v>
      </c>
      <c r="D278" s="2" t="s">
        <v>715</v>
      </c>
      <c r="E278" s="2" t="s">
        <v>716</v>
      </c>
      <c r="F278" s="10" t="s">
        <v>777</v>
      </c>
    </row>
    <row r="279" spans="1:6" ht="41.4">
      <c r="A279" s="2" t="s">
        <v>587</v>
      </c>
      <c r="B279" s="2" t="s">
        <v>670</v>
      </c>
      <c r="C279" s="2" t="s">
        <v>729</v>
      </c>
      <c r="D279" s="2" t="s">
        <v>715</v>
      </c>
      <c r="E279" s="2" t="s">
        <v>716</v>
      </c>
      <c r="F279" s="10" t="s">
        <v>777</v>
      </c>
    </row>
    <row r="280" spans="1:6" ht="41.4">
      <c r="A280" s="2" t="s">
        <v>587</v>
      </c>
      <c r="B280" s="2" t="s">
        <v>679</v>
      </c>
      <c r="C280" s="2" t="s">
        <v>729</v>
      </c>
      <c r="D280" s="2" t="s">
        <v>715</v>
      </c>
      <c r="E280" s="2" t="s">
        <v>716</v>
      </c>
      <c r="F280" s="10" t="s">
        <v>777</v>
      </c>
    </row>
    <row r="281" spans="1:6" ht="41.4">
      <c r="A281" s="2" t="s">
        <v>587</v>
      </c>
      <c r="B281" s="2" t="s">
        <v>696</v>
      </c>
      <c r="C281" s="2" t="s">
        <v>729</v>
      </c>
      <c r="D281" s="2" t="s">
        <v>715</v>
      </c>
      <c r="E281" s="2" t="s">
        <v>716</v>
      </c>
      <c r="F281" s="10" t="s">
        <v>777</v>
      </c>
    </row>
    <row r="282" spans="1:6" ht="41.4">
      <c r="A282" s="2" t="s">
        <v>590</v>
      </c>
      <c r="B282" s="2" t="s">
        <v>643</v>
      </c>
      <c r="C282" s="2" t="s">
        <v>729</v>
      </c>
      <c r="D282" s="2" t="s">
        <v>715</v>
      </c>
      <c r="E282" s="2" t="s">
        <v>716</v>
      </c>
      <c r="F282" s="10" t="s">
        <v>778</v>
      </c>
    </row>
    <row r="283" spans="1:6" ht="41.4">
      <c r="A283" s="2" t="s">
        <v>590</v>
      </c>
      <c r="B283" s="2" t="s">
        <v>661</v>
      </c>
      <c r="C283" s="2" t="s">
        <v>729</v>
      </c>
      <c r="D283" s="2" t="s">
        <v>715</v>
      </c>
      <c r="E283" s="2" t="s">
        <v>716</v>
      </c>
      <c r="F283" s="10" t="s">
        <v>778</v>
      </c>
    </row>
    <row r="284" spans="1:6" ht="41.4">
      <c r="A284" s="2" t="s">
        <v>590</v>
      </c>
      <c r="B284" s="2" t="s">
        <v>670</v>
      </c>
      <c r="C284" s="2" t="s">
        <v>729</v>
      </c>
      <c r="D284" s="2" t="s">
        <v>715</v>
      </c>
      <c r="E284" s="2" t="s">
        <v>716</v>
      </c>
      <c r="F284" s="10" t="s">
        <v>778</v>
      </c>
    </row>
    <row r="285" spans="1:6" ht="41.4">
      <c r="A285" s="2" t="s">
        <v>590</v>
      </c>
      <c r="B285" s="2" t="s">
        <v>679</v>
      </c>
      <c r="C285" s="2" t="s">
        <v>729</v>
      </c>
      <c r="D285" s="2" t="s">
        <v>715</v>
      </c>
      <c r="E285" s="2" t="s">
        <v>716</v>
      </c>
      <c r="F285" s="10" t="s">
        <v>778</v>
      </c>
    </row>
    <row r="286" spans="1:6" ht="41.4">
      <c r="A286" s="2" t="s">
        <v>590</v>
      </c>
      <c r="B286" s="2" t="s">
        <v>696</v>
      </c>
      <c r="C286" s="2" t="s">
        <v>729</v>
      </c>
      <c r="D286" s="2" t="s">
        <v>715</v>
      </c>
      <c r="E286" s="2" t="s">
        <v>716</v>
      </c>
      <c r="F286" s="10" t="s">
        <v>778</v>
      </c>
    </row>
    <row r="287" spans="1:6" ht="41.4">
      <c r="A287" s="2" t="s">
        <v>593</v>
      </c>
      <c r="B287" s="2" t="s">
        <v>643</v>
      </c>
      <c r="C287" s="2" t="s">
        <v>729</v>
      </c>
      <c r="D287" s="2" t="s">
        <v>715</v>
      </c>
      <c r="E287" s="2" t="s">
        <v>716</v>
      </c>
      <c r="F287" s="10" t="s">
        <v>779</v>
      </c>
    </row>
    <row r="288" spans="1:6" ht="41.4">
      <c r="A288" s="2" t="s">
        <v>593</v>
      </c>
      <c r="B288" s="2" t="s">
        <v>661</v>
      </c>
      <c r="C288" s="2" t="s">
        <v>729</v>
      </c>
      <c r="D288" s="2" t="s">
        <v>715</v>
      </c>
      <c r="E288" s="2" t="s">
        <v>716</v>
      </c>
      <c r="F288" s="10" t="s">
        <v>779</v>
      </c>
    </row>
    <row r="289" spans="1:6" ht="41.4">
      <c r="A289" s="2" t="s">
        <v>593</v>
      </c>
      <c r="B289" s="2" t="s">
        <v>670</v>
      </c>
      <c r="C289" s="2" t="s">
        <v>729</v>
      </c>
      <c r="D289" s="2" t="s">
        <v>715</v>
      </c>
      <c r="E289" s="2" t="s">
        <v>716</v>
      </c>
      <c r="F289" s="10" t="s">
        <v>779</v>
      </c>
    </row>
    <row r="290" spans="1:6" ht="41.4">
      <c r="A290" s="2" t="s">
        <v>593</v>
      </c>
      <c r="B290" s="2" t="s">
        <v>679</v>
      </c>
      <c r="C290" s="2" t="s">
        <v>729</v>
      </c>
      <c r="D290" s="2" t="s">
        <v>715</v>
      </c>
      <c r="E290" s="2" t="s">
        <v>716</v>
      </c>
      <c r="F290" s="10" t="s">
        <v>779</v>
      </c>
    </row>
    <row r="291" spans="1:6" ht="41.4">
      <c r="A291" s="2" t="s">
        <v>593</v>
      </c>
      <c r="B291" s="2" t="s">
        <v>696</v>
      </c>
      <c r="C291" s="2" t="s">
        <v>729</v>
      </c>
      <c r="D291" s="2" t="s">
        <v>715</v>
      </c>
      <c r="E291" s="2" t="s">
        <v>716</v>
      </c>
      <c r="F291" s="10" t="s">
        <v>779</v>
      </c>
    </row>
    <row r="292" spans="1:6" ht="41.4">
      <c r="A292" s="2" t="s">
        <v>596</v>
      </c>
      <c r="B292" s="2" t="s">
        <v>643</v>
      </c>
      <c r="C292" s="2" t="s">
        <v>714</v>
      </c>
      <c r="D292" s="2" t="s">
        <v>722</v>
      </c>
      <c r="E292" s="2" t="s">
        <v>716</v>
      </c>
      <c r="F292" s="10" t="s">
        <v>780</v>
      </c>
    </row>
    <row r="293" spans="1:6" ht="41.4">
      <c r="A293" s="2" t="s">
        <v>596</v>
      </c>
      <c r="B293" s="2" t="s">
        <v>661</v>
      </c>
      <c r="C293" s="2" t="s">
        <v>729</v>
      </c>
      <c r="D293" s="2" t="s">
        <v>715</v>
      </c>
      <c r="E293" s="2" t="s">
        <v>716</v>
      </c>
      <c r="F293" s="10" t="s">
        <v>780</v>
      </c>
    </row>
    <row r="294" spans="1:6" ht="41.4">
      <c r="A294" s="2" t="s">
        <v>596</v>
      </c>
      <c r="B294" s="2" t="s">
        <v>670</v>
      </c>
      <c r="C294" s="2" t="s">
        <v>729</v>
      </c>
      <c r="D294" s="2" t="s">
        <v>715</v>
      </c>
      <c r="E294" s="2" t="s">
        <v>716</v>
      </c>
      <c r="F294" s="10" t="s">
        <v>780</v>
      </c>
    </row>
    <row r="295" spans="1:6" ht="41.4">
      <c r="A295" s="2" t="s">
        <v>596</v>
      </c>
      <c r="B295" s="2" t="s">
        <v>679</v>
      </c>
      <c r="C295" s="2" t="s">
        <v>729</v>
      </c>
      <c r="D295" s="2" t="s">
        <v>715</v>
      </c>
      <c r="E295" s="2" t="s">
        <v>716</v>
      </c>
      <c r="F295" s="10" t="s">
        <v>780</v>
      </c>
    </row>
    <row r="296" spans="1:6" ht="41.4">
      <c r="A296" s="2" t="s">
        <v>596</v>
      </c>
      <c r="B296" s="2" t="s">
        <v>696</v>
      </c>
      <c r="C296" s="2" t="s">
        <v>729</v>
      </c>
      <c r="D296" s="2" t="s">
        <v>715</v>
      </c>
      <c r="E296" s="2" t="s">
        <v>716</v>
      </c>
      <c r="F296" s="10" t="s">
        <v>780</v>
      </c>
    </row>
    <row r="297" spans="1:6" ht="41.4">
      <c r="A297" s="2" t="s">
        <v>599</v>
      </c>
      <c r="B297" s="2" t="s">
        <v>643</v>
      </c>
      <c r="C297" s="2" t="s">
        <v>714</v>
      </c>
      <c r="D297" s="2" t="s">
        <v>722</v>
      </c>
      <c r="E297" s="2" t="s">
        <v>716</v>
      </c>
      <c r="F297" s="10" t="s">
        <v>781</v>
      </c>
    </row>
    <row r="298" spans="1:6" ht="41.4">
      <c r="A298" s="2" t="s">
        <v>599</v>
      </c>
      <c r="B298" s="2" t="s">
        <v>661</v>
      </c>
      <c r="C298" s="2" t="s">
        <v>729</v>
      </c>
      <c r="D298" s="2" t="s">
        <v>715</v>
      </c>
      <c r="E298" s="2" t="s">
        <v>716</v>
      </c>
      <c r="F298" s="10" t="s">
        <v>781</v>
      </c>
    </row>
    <row r="299" spans="1:6" ht="41.4">
      <c r="A299" s="2" t="s">
        <v>599</v>
      </c>
      <c r="B299" s="2" t="s">
        <v>670</v>
      </c>
      <c r="C299" s="2" t="s">
        <v>729</v>
      </c>
      <c r="D299" s="2" t="s">
        <v>715</v>
      </c>
      <c r="E299" s="2" t="s">
        <v>716</v>
      </c>
      <c r="F299" s="10" t="s">
        <v>781</v>
      </c>
    </row>
    <row r="300" spans="1:6" ht="41.4">
      <c r="A300" s="2" t="s">
        <v>599</v>
      </c>
      <c r="B300" s="2" t="s">
        <v>679</v>
      </c>
      <c r="C300" s="2" t="s">
        <v>729</v>
      </c>
      <c r="D300" s="2" t="s">
        <v>715</v>
      </c>
      <c r="E300" s="2" t="s">
        <v>716</v>
      </c>
      <c r="F300" s="10" t="s">
        <v>781</v>
      </c>
    </row>
    <row r="301" spans="1:6" ht="41.4">
      <c r="A301" s="2" t="s">
        <v>599</v>
      </c>
      <c r="B301" s="2" t="s">
        <v>696</v>
      </c>
      <c r="C301" s="2" t="s">
        <v>729</v>
      </c>
      <c r="D301" s="2" t="s">
        <v>715</v>
      </c>
      <c r="E301" s="2" t="s">
        <v>716</v>
      </c>
      <c r="F301" s="10" t="s">
        <v>781</v>
      </c>
    </row>
    <row r="302" spans="1:6" ht="41.4">
      <c r="A302" s="2" t="s">
        <v>602</v>
      </c>
      <c r="B302" s="2" t="s">
        <v>643</v>
      </c>
      <c r="C302" s="2" t="s">
        <v>714</v>
      </c>
      <c r="D302" s="2" t="s">
        <v>722</v>
      </c>
      <c r="E302" s="2" t="s">
        <v>716</v>
      </c>
      <c r="F302" s="10" t="s">
        <v>782</v>
      </c>
    </row>
    <row r="303" spans="1:6" ht="41.4">
      <c r="A303" s="2" t="s">
        <v>602</v>
      </c>
      <c r="B303" s="2" t="s">
        <v>661</v>
      </c>
      <c r="C303" s="2" t="s">
        <v>729</v>
      </c>
      <c r="D303" s="2" t="s">
        <v>715</v>
      </c>
      <c r="E303" s="2" t="s">
        <v>716</v>
      </c>
      <c r="F303" s="10" t="s">
        <v>782</v>
      </c>
    </row>
    <row r="304" spans="1:6" ht="41.4">
      <c r="A304" s="2" t="s">
        <v>602</v>
      </c>
      <c r="B304" s="2" t="s">
        <v>670</v>
      </c>
      <c r="C304" s="2" t="s">
        <v>729</v>
      </c>
      <c r="D304" s="2" t="s">
        <v>715</v>
      </c>
      <c r="E304" s="2" t="s">
        <v>716</v>
      </c>
      <c r="F304" s="10" t="s">
        <v>782</v>
      </c>
    </row>
    <row r="305" spans="1:6" ht="41.4">
      <c r="A305" s="2" t="s">
        <v>602</v>
      </c>
      <c r="B305" s="2" t="s">
        <v>679</v>
      </c>
      <c r="C305" s="2" t="s">
        <v>729</v>
      </c>
      <c r="D305" s="2" t="s">
        <v>715</v>
      </c>
      <c r="E305" s="2" t="s">
        <v>716</v>
      </c>
      <c r="F305" s="10" t="s">
        <v>782</v>
      </c>
    </row>
    <row r="306" spans="1:6" ht="41.4">
      <c r="A306" s="2" t="s">
        <v>602</v>
      </c>
      <c r="B306" s="2" t="s">
        <v>696</v>
      </c>
      <c r="C306" s="2" t="s">
        <v>729</v>
      </c>
      <c r="D306" s="2" t="s">
        <v>715</v>
      </c>
      <c r="E306" s="2" t="s">
        <v>716</v>
      </c>
      <c r="F306" s="10" t="s">
        <v>782</v>
      </c>
    </row>
    <row r="307" spans="1:6" ht="41.4">
      <c r="A307" s="2" t="s">
        <v>605</v>
      </c>
      <c r="B307" s="2" t="s">
        <v>643</v>
      </c>
      <c r="C307" s="2" t="s">
        <v>714</v>
      </c>
      <c r="D307" s="2" t="s">
        <v>722</v>
      </c>
      <c r="E307" s="2" t="s">
        <v>716</v>
      </c>
      <c r="F307" s="10" t="s">
        <v>783</v>
      </c>
    </row>
    <row r="308" spans="1:6" ht="41.4">
      <c r="A308" s="2" t="s">
        <v>605</v>
      </c>
      <c r="B308" s="2" t="s">
        <v>661</v>
      </c>
      <c r="C308" s="2" t="s">
        <v>729</v>
      </c>
      <c r="D308" s="2" t="s">
        <v>715</v>
      </c>
      <c r="E308" s="2" t="s">
        <v>716</v>
      </c>
      <c r="F308" s="10" t="s">
        <v>783</v>
      </c>
    </row>
    <row r="309" spans="1:6" ht="41.4">
      <c r="A309" s="2" t="s">
        <v>605</v>
      </c>
      <c r="B309" s="2" t="s">
        <v>670</v>
      </c>
      <c r="C309" s="2" t="s">
        <v>729</v>
      </c>
      <c r="D309" s="2" t="s">
        <v>715</v>
      </c>
      <c r="E309" s="2" t="s">
        <v>716</v>
      </c>
      <c r="F309" s="10" t="s">
        <v>783</v>
      </c>
    </row>
    <row r="310" spans="1:6" ht="41.4">
      <c r="A310" s="2" t="s">
        <v>605</v>
      </c>
      <c r="B310" s="2" t="s">
        <v>679</v>
      </c>
      <c r="C310" s="2" t="s">
        <v>729</v>
      </c>
      <c r="D310" s="2" t="s">
        <v>715</v>
      </c>
      <c r="E310" s="2" t="s">
        <v>716</v>
      </c>
      <c r="F310" s="10" t="s">
        <v>783</v>
      </c>
    </row>
    <row r="311" spans="1:6" ht="41.4">
      <c r="A311" s="2" t="s">
        <v>605</v>
      </c>
      <c r="B311" s="2" t="s">
        <v>696</v>
      </c>
      <c r="C311" s="2" t="s">
        <v>729</v>
      </c>
      <c r="D311" s="2" t="s">
        <v>715</v>
      </c>
      <c r="E311" s="2" t="s">
        <v>716</v>
      </c>
      <c r="F311" s="10" t="s">
        <v>783</v>
      </c>
    </row>
    <row r="312" spans="1:6" ht="41.4">
      <c r="A312" s="2" t="s">
        <v>608</v>
      </c>
      <c r="B312" s="2" t="s">
        <v>643</v>
      </c>
      <c r="C312" s="2" t="s">
        <v>714</v>
      </c>
      <c r="D312" s="2" t="s">
        <v>722</v>
      </c>
      <c r="E312" s="2" t="s">
        <v>716</v>
      </c>
      <c r="F312" s="10" t="s">
        <v>784</v>
      </c>
    </row>
    <row r="313" spans="1:6" ht="41.4">
      <c r="A313" s="2" t="s">
        <v>608</v>
      </c>
      <c r="B313" s="2" t="s">
        <v>661</v>
      </c>
      <c r="C313" s="2" t="s">
        <v>729</v>
      </c>
      <c r="D313" s="2" t="s">
        <v>715</v>
      </c>
      <c r="E313" s="2" t="s">
        <v>716</v>
      </c>
      <c r="F313" s="10" t="s">
        <v>784</v>
      </c>
    </row>
    <row r="314" spans="1:6" ht="41.4">
      <c r="A314" s="2" t="s">
        <v>608</v>
      </c>
      <c r="B314" s="2" t="s">
        <v>670</v>
      </c>
      <c r="C314" s="2" t="s">
        <v>729</v>
      </c>
      <c r="D314" s="2" t="s">
        <v>715</v>
      </c>
      <c r="E314" s="2" t="s">
        <v>716</v>
      </c>
      <c r="F314" s="10" t="s">
        <v>784</v>
      </c>
    </row>
    <row r="315" spans="1:6" ht="41.4">
      <c r="A315" s="2" t="s">
        <v>608</v>
      </c>
      <c r="B315" s="2" t="s">
        <v>679</v>
      </c>
      <c r="C315" s="2" t="s">
        <v>729</v>
      </c>
      <c r="D315" s="2" t="s">
        <v>715</v>
      </c>
      <c r="E315" s="2" t="s">
        <v>716</v>
      </c>
      <c r="F315" s="10" t="s">
        <v>784</v>
      </c>
    </row>
    <row r="316" spans="1:6" ht="41.4">
      <c r="A316" s="2" t="s">
        <v>608</v>
      </c>
      <c r="B316" s="2" t="s">
        <v>696</v>
      </c>
      <c r="C316" s="2" t="s">
        <v>729</v>
      </c>
      <c r="D316" s="2" t="s">
        <v>715</v>
      </c>
      <c r="E316" s="2" t="s">
        <v>716</v>
      </c>
      <c r="F316" s="10" t="s">
        <v>784</v>
      </c>
    </row>
    <row r="317" spans="1:6" ht="41.4">
      <c r="A317" s="2" t="s">
        <v>611</v>
      </c>
      <c r="B317" s="2" t="s">
        <v>643</v>
      </c>
      <c r="C317" s="2" t="s">
        <v>714</v>
      </c>
      <c r="D317" s="2" t="s">
        <v>715</v>
      </c>
      <c r="E317" s="2" t="s">
        <v>716</v>
      </c>
      <c r="F317" s="10" t="s">
        <v>785</v>
      </c>
    </row>
    <row r="318" spans="1:6" ht="41.4">
      <c r="A318" s="2" t="s">
        <v>611</v>
      </c>
      <c r="B318" s="2" t="s">
        <v>661</v>
      </c>
      <c r="C318" s="2" t="s">
        <v>714</v>
      </c>
      <c r="D318" s="2" t="s">
        <v>715</v>
      </c>
      <c r="E318" s="2" t="s">
        <v>716</v>
      </c>
      <c r="F318" s="10" t="s">
        <v>785</v>
      </c>
    </row>
    <row r="319" spans="1:6" ht="41.4">
      <c r="A319" s="2" t="s">
        <v>611</v>
      </c>
      <c r="B319" s="2" t="s">
        <v>670</v>
      </c>
      <c r="C319" s="2" t="s">
        <v>714</v>
      </c>
      <c r="D319" s="2" t="s">
        <v>715</v>
      </c>
      <c r="E319" s="2" t="s">
        <v>716</v>
      </c>
      <c r="F319" s="10" t="s">
        <v>785</v>
      </c>
    </row>
    <row r="320" spans="1:6" ht="41.4">
      <c r="A320" s="2" t="s">
        <v>611</v>
      </c>
      <c r="B320" s="2" t="s">
        <v>679</v>
      </c>
      <c r="C320" s="2" t="s">
        <v>714</v>
      </c>
      <c r="D320" s="2" t="s">
        <v>715</v>
      </c>
      <c r="E320" s="2" t="s">
        <v>716</v>
      </c>
      <c r="F320" s="10" t="s">
        <v>785</v>
      </c>
    </row>
    <row r="321" spans="1:6" ht="41.4">
      <c r="A321" s="2" t="s">
        <v>611</v>
      </c>
      <c r="B321" s="2" t="s">
        <v>696</v>
      </c>
      <c r="C321" s="2" t="s">
        <v>714</v>
      </c>
      <c r="D321" s="2" t="s">
        <v>715</v>
      </c>
      <c r="E321" s="2" t="s">
        <v>716</v>
      </c>
      <c r="F321" s="10" t="s">
        <v>785</v>
      </c>
    </row>
    <row r="322" spans="1:6" ht="41.4">
      <c r="A322" s="2" t="s">
        <v>614</v>
      </c>
      <c r="B322" s="2" t="s">
        <v>643</v>
      </c>
      <c r="C322" s="2" t="s">
        <v>714</v>
      </c>
      <c r="D322" s="2" t="s">
        <v>722</v>
      </c>
      <c r="E322" s="2" t="s">
        <v>716</v>
      </c>
      <c r="F322" s="10" t="s">
        <v>786</v>
      </c>
    </row>
    <row r="323" spans="1:6" ht="41.4">
      <c r="A323" s="2" t="s">
        <v>614</v>
      </c>
      <c r="B323" s="2" t="s">
        <v>661</v>
      </c>
      <c r="C323" s="2" t="s">
        <v>714</v>
      </c>
      <c r="D323" s="2" t="s">
        <v>722</v>
      </c>
      <c r="E323" s="2" t="s">
        <v>716</v>
      </c>
      <c r="F323" s="10" t="s">
        <v>786</v>
      </c>
    </row>
    <row r="324" spans="1:6" ht="41.4">
      <c r="A324" s="2" t="s">
        <v>614</v>
      </c>
      <c r="B324" s="2" t="s">
        <v>670</v>
      </c>
      <c r="C324" s="2" t="s">
        <v>729</v>
      </c>
      <c r="D324" s="2" t="s">
        <v>715</v>
      </c>
      <c r="E324" s="2" t="s">
        <v>716</v>
      </c>
      <c r="F324" s="10" t="s">
        <v>786</v>
      </c>
    </row>
    <row r="325" spans="1:6" ht="41.4">
      <c r="A325" s="2" t="s">
        <v>614</v>
      </c>
      <c r="B325" s="2" t="s">
        <v>679</v>
      </c>
      <c r="C325" s="2" t="s">
        <v>729</v>
      </c>
      <c r="D325" s="2" t="s">
        <v>715</v>
      </c>
      <c r="E325" s="2" t="s">
        <v>716</v>
      </c>
      <c r="F325" s="10" t="s">
        <v>786</v>
      </c>
    </row>
    <row r="326" spans="1:6" ht="41.4">
      <c r="A326" s="2" t="s">
        <v>614</v>
      </c>
      <c r="B326" s="2" t="s">
        <v>696</v>
      </c>
      <c r="C326" s="2" t="s">
        <v>729</v>
      </c>
      <c r="D326" s="2" t="s">
        <v>715</v>
      </c>
      <c r="E326" s="2" t="s">
        <v>716</v>
      </c>
      <c r="F326" s="10" t="s">
        <v>786</v>
      </c>
    </row>
    <row r="327" spans="1:6" ht="41.4">
      <c r="A327" s="2" t="s">
        <v>617</v>
      </c>
      <c r="B327" s="2" t="s">
        <v>643</v>
      </c>
      <c r="C327" s="2" t="s">
        <v>714</v>
      </c>
      <c r="D327" s="2" t="s">
        <v>722</v>
      </c>
      <c r="E327" s="2" t="s">
        <v>716</v>
      </c>
      <c r="F327" s="10" t="s">
        <v>787</v>
      </c>
    </row>
    <row r="328" spans="1:6" ht="41.4">
      <c r="A328" s="2" t="s">
        <v>617</v>
      </c>
      <c r="B328" s="2" t="s">
        <v>661</v>
      </c>
      <c r="C328" s="2" t="s">
        <v>714</v>
      </c>
      <c r="D328" s="2" t="s">
        <v>722</v>
      </c>
      <c r="E328" s="2" t="s">
        <v>716</v>
      </c>
      <c r="F328" s="10" t="s">
        <v>787</v>
      </c>
    </row>
    <row r="329" spans="1:6" ht="41.4">
      <c r="A329" s="2" t="s">
        <v>617</v>
      </c>
      <c r="B329" s="2" t="s">
        <v>670</v>
      </c>
      <c r="C329" s="2" t="s">
        <v>729</v>
      </c>
      <c r="D329" s="2" t="s">
        <v>715</v>
      </c>
      <c r="E329" s="2" t="s">
        <v>716</v>
      </c>
      <c r="F329" s="10" t="s">
        <v>787</v>
      </c>
    </row>
    <row r="330" spans="1:6" ht="41.4">
      <c r="A330" s="2" t="s">
        <v>617</v>
      </c>
      <c r="B330" s="2" t="s">
        <v>679</v>
      </c>
      <c r="C330" s="2" t="s">
        <v>729</v>
      </c>
      <c r="D330" s="2" t="s">
        <v>715</v>
      </c>
      <c r="E330" s="2" t="s">
        <v>716</v>
      </c>
      <c r="F330" s="10" t="s">
        <v>787</v>
      </c>
    </row>
    <row r="331" spans="1:6" ht="41.4">
      <c r="A331" s="2" t="s">
        <v>617</v>
      </c>
      <c r="B331" s="2" t="s">
        <v>696</v>
      </c>
      <c r="C331" s="2" t="s">
        <v>729</v>
      </c>
      <c r="D331" s="2" t="s">
        <v>715</v>
      </c>
      <c r="E331" s="2" t="s">
        <v>716</v>
      </c>
      <c r="F331" s="10" t="s">
        <v>787</v>
      </c>
    </row>
    <row r="332" spans="1:6" ht="41.4">
      <c r="A332" s="2" t="s">
        <v>620</v>
      </c>
      <c r="B332" s="2" t="s">
        <v>643</v>
      </c>
      <c r="C332" s="2" t="s">
        <v>714</v>
      </c>
      <c r="D332" s="2" t="s">
        <v>715</v>
      </c>
      <c r="E332" s="2" t="s">
        <v>716</v>
      </c>
      <c r="F332" s="10" t="s">
        <v>788</v>
      </c>
    </row>
    <row r="333" spans="1:6" ht="41.4">
      <c r="A333" s="2" t="s">
        <v>620</v>
      </c>
      <c r="B333" s="2" t="s">
        <v>661</v>
      </c>
      <c r="C333" s="2" t="s">
        <v>714</v>
      </c>
      <c r="D333" s="2" t="s">
        <v>715</v>
      </c>
      <c r="E333" s="2" t="s">
        <v>716</v>
      </c>
      <c r="F333" s="10" t="s">
        <v>788</v>
      </c>
    </row>
    <row r="334" spans="1:6" ht="41.4">
      <c r="A334" s="2" t="s">
        <v>620</v>
      </c>
      <c r="B334" s="2" t="s">
        <v>670</v>
      </c>
      <c r="C334" s="2" t="s">
        <v>714</v>
      </c>
      <c r="D334" s="2" t="s">
        <v>715</v>
      </c>
      <c r="E334" s="2" t="s">
        <v>716</v>
      </c>
      <c r="F334" s="10" t="s">
        <v>788</v>
      </c>
    </row>
    <row r="335" spans="1:6" ht="41.4">
      <c r="A335" s="2" t="s">
        <v>620</v>
      </c>
      <c r="B335" s="2" t="s">
        <v>679</v>
      </c>
      <c r="C335" s="2" t="s">
        <v>714</v>
      </c>
      <c r="D335" s="2" t="s">
        <v>715</v>
      </c>
      <c r="E335" s="2" t="s">
        <v>716</v>
      </c>
      <c r="F335" s="10" t="s">
        <v>788</v>
      </c>
    </row>
    <row r="336" spans="1:6" ht="41.4">
      <c r="A336" s="43" t="s">
        <v>620</v>
      </c>
      <c r="B336" s="43" t="s">
        <v>696</v>
      </c>
      <c r="C336" s="43" t="s">
        <v>714</v>
      </c>
      <c r="D336" s="43" t="s">
        <v>715</v>
      </c>
      <c r="E336" s="43" t="s">
        <v>716</v>
      </c>
      <c r="F336" s="45" t="s">
        <v>788</v>
      </c>
    </row>
    <row r="337" spans="1:6">
      <c r="A337" t="s">
        <v>1143</v>
      </c>
      <c r="B337" t="s">
        <v>643</v>
      </c>
      <c r="C337" t="s">
        <v>714</v>
      </c>
      <c r="D337" t="s">
        <v>715</v>
      </c>
      <c r="E337" t="s">
        <v>716</v>
      </c>
      <c r="F337" t="s">
        <v>1146</v>
      </c>
    </row>
    <row r="338" spans="1:6">
      <c r="A338" t="s">
        <v>1143</v>
      </c>
      <c r="B338" t="s">
        <v>661</v>
      </c>
      <c r="C338" t="s">
        <v>714</v>
      </c>
      <c r="D338" t="s">
        <v>715</v>
      </c>
      <c r="E338" t="s">
        <v>716</v>
      </c>
      <c r="F338" t="s">
        <v>1146</v>
      </c>
    </row>
    <row r="339" spans="1:6">
      <c r="A339" t="s">
        <v>1143</v>
      </c>
      <c r="B339" t="s">
        <v>670</v>
      </c>
      <c r="C339" t="s">
        <v>714</v>
      </c>
      <c r="D339" t="s">
        <v>715</v>
      </c>
      <c r="E339" t="s">
        <v>716</v>
      </c>
      <c r="F339" t="s">
        <v>1146</v>
      </c>
    </row>
    <row r="340" spans="1:6">
      <c r="A340" t="s">
        <v>1143</v>
      </c>
      <c r="B340" t="s">
        <v>679</v>
      </c>
      <c r="C340" t="s">
        <v>714</v>
      </c>
      <c r="D340" t="s">
        <v>715</v>
      </c>
      <c r="E340" t="s">
        <v>716</v>
      </c>
      <c r="F340" t="s">
        <v>1146</v>
      </c>
    </row>
    <row r="341" spans="1:6">
      <c r="A341" t="s">
        <v>1143</v>
      </c>
      <c r="B341" t="s">
        <v>696</v>
      </c>
      <c r="C341" t="s">
        <v>714</v>
      </c>
      <c r="D341" t="s">
        <v>715</v>
      </c>
      <c r="E341" t="s">
        <v>716</v>
      </c>
      <c r="F341" t="s">
        <v>1146</v>
      </c>
    </row>
    <row r="342" spans="1:6">
      <c r="A342" t="s">
        <v>1176</v>
      </c>
      <c r="B342" t="s">
        <v>643</v>
      </c>
      <c r="C342" t="s">
        <v>714</v>
      </c>
      <c r="D342" t="s">
        <v>715</v>
      </c>
      <c r="E342" t="s">
        <v>716</v>
      </c>
      <c r="F342" t="s">
        <v>1178</v>
      </c>
    </row>
    <row r="343" spans="1:6">
      <c r="A343" t="s">
        <v>1176</v>
      </c>
      <c r="B343" t="s">
        <v>661</v>
      </c>
      <c r="C343" t="s">
        <v>714</v>
      </c>
      <c r="D343" t="s">
        <v>715</v>
      </c>
      <c r="E343" t="s">
        <v>716</v>
      </c>
      <c r="F343" t="s">
        <v>1178</v>
      </c>
    </row>
    <row r="344" spans="1:6">
      <c r="A344" t="s">
        <v>1176</v>
      </c>
      <c r="B344" t="s">
        <v>670</v>
      </c>
      <c r="C344" t="s">
        <v>714</v>
      </c>
      <c r="D344" t="s">
        <v>715</v>
      </c>
      <c r="E344" t="s">
        <v>716</v>
      </c>
      <c r="F344" t="s">
        <v>1178</v>
      </c>
    </row>
    <row r="345" spans="1:6">
      <c r="A345" t="s">
        <v>1176</v>
      </c>
      <c r="B345" t="s">
        <v>679</v>
      </c>
      <c r="C345" t="s">
        <v>714</v>
      </c>
      <c r="D345" t="s">
        <v>715</v>
      </c>
      <c r="E345" t="s">
        <v>716</v>
      </c>
      <c r="F345" t="s">
        <v>1178</v>
      </c>
    </row>
    <row r="346" spans="1:6">
      <c r="A346" t="s">
        <v>1176</v>
      </c>
      <c r="B346" t="s">
        <v>696</v>
      </c>
      <c r="C346" t="s">
        <v>714</v>
      </c>
      <c r="D346" t="s">
        <v>715</v>
      </c>
      <c r="E346" t="s">
        <v>716</v>
      </c>
      <c r="F346" t="s">
        <v>1178</v>
      </c>
    </row>
  </sheetData>
  <dataValidations count="2">
    <dataValidation type="list" sqref="C2:C335" xr:uid="{00000000-0002-0000-0200-000000000000}">
      <formula1>"Subir,Bajar,Mantener,No disponible"</formula1>
    </dataValidation>
    <dataValidation type="list" sqref="E2:E335" xr:uid="{00000000-0002-0000-0200-000001000000}">
      <formula1>"Público,Parcial,Anónimo,No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showGridLines="0" workbookViewId="0"/>
  </sheetViews>
  <sheetFormatPr defaultRowHeight="13.8"/>
  <cols>
    <col min="1" max="1" width="14" customWidth="1"/>
    <col min="2" max="2" width="38" customWidth="1"/>
  </cols>
  <sheetData>
    <row r="1" spans="1:2" ht="31.95" customHeight="1">
      <c r="A1" s="1" t="s">
        <v>623</v>
      </c>
      <c r="B1" s="1" t="s">
        <v>789</v>
      </c>
    </row>
    <row r="2" spans="1:2" ht="14.4">
      <c r="A2" s="2" t="s">
        <v>790</v>
      </c>
      <c r="B2" s="2" t="s">
        <v>791</v>
      </c>
    </row>
    <row r="3" spans="1:2" ht="14.4">
      <c r="A3" s="2" t="s">
        <v>792</v>
      </c>
      <c r="B3" s="2" t="s">
        <v>793</v>
      </c>
    </row>
    <row r="4" spans="1:2" ht="14.4">
      <c r="A4" s="2" t="s">
        <v>794</v>
      </c>
      <c r="B4" s="2" t="s">
        <v>795</v>
      </c>
    </row>
    <row r="5" spans="1:2" ht="14.4">
      <c r="A5" s="2" t="s">
        <v>796</v>
      </c>
      <c r="B5" s="2" t="s">
        <v>797</v>
      </c>
    </row>
    <row r="6" spans="1:2" ht="14.4">
      <c r="A6" s="2" t="s">
        <v>798</v>
      </c>
      <c r="B6" s="2" t="s">
        <v>799</v>
      </c>
    </row>
    <row r="7" spans="1:2" ht="14.4">
      <c r="A7" s="2" t="s">
        <v>800</v>
      </c>
      <c r="B7" s="2" t="s">
        <v>801</v>
      </c>
    </row>
    <row r="8" spans="1:2" ht="14.4">
      <c r="A8" s="2" t="s">
        <v>802</v>
      </c>
      <c r="B8" s="2" t="s">
        <v>803</v>
      </c>
    </row>
    <row r="9" spans="1:2" ht="14.4">
      <c r="A9" s="2" t="s">
        <v>804</v>
      </c>
      <c r="B9" s="2" t="s">
        <v>805</v>
      </c>
    </row>
    <row r="10" spans="1:2" ht="14.4">
      <c r="A10" s="2" t="s">
        <v>626</v>
      </c>
      <c r="B10" s="2" t="s">
        <v>806</v>
      </c>
    </row>
    <row r="11" spans="1:2" ht="14.4">
      <c r="A11" s="2" t="s">
        <v>807</v>
      </c>
      <c r="B11" s="2" t="s">
        <v>808</v>
      </c>
    </row>
    <row r="12" spans="1:2" ht="14.4">
      <c r="A12" s="2" t="s">
        <v>809</v>
      </c>
      <c r="B12" s="2" t="s">
        <v>810</v>
      </c>
    </row>
    <row r="13" spans="1:2" ht="14.4">
      <c r="A13" s="2" t="s">
        <v>630</v>
      </c>
      <c r="B13" s="2" t="s">
        <v>811</v>
      </c>
    </row>
    <row r="14" spans="1:2" ht="14.4">
      <c r="A14" s="2" t="s">
        <v>631</v>
      </c>
      <c r="B14" s="2" t="s">
        <v>812</v>
      </c>
    </row>
    <row r="15" spans="1:2" ht="14.4">
      <c r="A15" s="2" t="s">
        <v>632</v>
      </c>
      <c r="B15" s="2" t="s">
        <v>813</v>
      </c>
    </row>
    <row r="16" spans="1:2" ht="14.4">
      <c r="A16" s="2" t="s">
        <v>633</v>
      </c>
      <c r="B16" s="2" t="s">
        <v>814</v>
      </c>
    </row>
    <row r="17" spans="1:2" ht="14.4">
      <c r="A17" s="2" t="s">
        <v>642</v>
      </c>
      <c r="B17" s="2" t="s">
        <v>815</v>
      </c>
    </row>
    <row r="18" spans="1:2" ht="14.4">
      <c r="A18" s="2" t="s">
        <v>643</v>
      </c>
      <c r="B18" s="2" t="s">
        <v>816</v>
      </c>
    </row>
    <row r="19" spans="1:2" ht="14.4">
      <c r="A19" s="2" t="s">
        <v>661</v>
      </c>
      <c r="B19" s="2" t="s">
        <v>817</v>
      </c>
    </row>
    <row r="20" spans="1:2" ht="14.4">
      <c r="A20" s="2" t="s">
        <v>670</v>
      </c>
      <c r="B20" s="2" t="s">
        <v>818</v>
      </c>
    </row>
    <row r="21" spans="1:2" ht="14.4">
      <c r="A21" s="2" t="s">
        <v>679</v>
      </c>
      <c r="B21" s="2" t="s">
        <v>819</v>
      </c>
    </row>
    <row r="22" spans="1:2" ht="14.4">
      <c r="A22" s="2" t="s">
        <v>696</v>
      </c>
      <c r="B22" s="2" t="s">
        <v>820</v>
      </c>
    </row>
    <row r="23" spans="1:2" ht="14.4">
      <c r="A23" s="2" t="s">
        <v>821</v>
      </c>
      <c r="B23" s="2" t="s">
        <v>822</v>
      </c>
    </row>
    <row r="24" spans="1:2" ht="14.4">
      <c r="A24" s="2" t="s">
        <v>823</v>
      </c>
      <c r="B24" s="2" t="s">
        <v>824</v>
      </c>
    </row>
    <row r="25" spans="1:2" ht="14.4">
      <c r="A25" s="2" t="s">
        <v>825</v>
      </c>
      <c r="B25" s="2" t="s">
        <v>826</v>
      </c>
    </row>
    <row r="26" spans="1:2" ht="14.4">
      <c r="A26" s="2" t="s">
        <v>827</v>
      </c>
      <c r="B26" s="2" t="s">
        <v>828</v>
      </c>
    </row>
    <row r="27" spans="1:2" ht="14.4">
      <c r="A27" s="2" t="s">
        <v>829</v>
      </c>
      <c r="B27" s="2" t="s">
        <v>830</v>
      </c>
    </row>
    <row r="28" spans="1:2" ht="14.4">
      <c r="A28" s="2" t="s">
        <v>831</v>
      </c>
      <c r="B28" s="2" t="s">
        <v>832</v>
      </c>
    </row>
    <row r="29" spans="1:2" ht="14.4">
      <c r="A29" s="2" t="s">
        <v>833</v>
      </c>
      <c r="B29" s="2" t="s">
        <v>834</v>
      </c>
    </row>
    <row r="30" spans="1:2" ht="14.4">
      <c r="A30" s="3" t="s">
        <v>835</v>
      </c>
      <c r="B30" s="3" t="s">
        <v>836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defaultRowHeight="13.8"/>
  <cols>
    <col min="1" max="1" width="34" customWidth="1"/>
    <col min="2" max="2" width="16" customWidth="1"/>
    <col min="3" max="3" width="78" customWidth="1"/>
    <col min="4" max="4" width="16" customWidth="1"/>
  </cols>
  <sheetData>
    <row r="1" spans="1:4" ht="31.95" customHeight="1">
      <c r="A1" s="1" t="s">
        <v>837</v>
      </c>
      <c r="B1" s="1" t="s">
        <v>0</v>
      </c>
      <c r="C1" s="1" t="s">
        <v>838</v>
      </c>
      <c r="D1" s="1" t="s">
        <v>839</v>
      </c>
    </row>
    <row r="2" spans="1:4" ht="27.6">
      <c r="A2" s="3" t="s">
        <v>840</v>
      </c>
      <c r="B2" s="3"/>
      <c r="C2" s="11" t="s">
        <v>841</v>
      </c>
      <c r="D2" s="3" t="s">
        <v>842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selection sqref="A1:D1"/>
    </sheetView>
  </sheetViews>
  <sheetFormatPr defaultRowHeight="13.8"/>
  <cols>
    <col min="1" max="1" width="34" customWidth="1"/>
    <col min="2" max="2" width="18" customWidth="1"/>
    <col min="3" max="4" width="24" customWidth="1"/>
  </cols>
  <sheetData>
    <row r="1" spans="1:4" ht="37.950000000000003" customHeight="1">
      <c r="A1" s="95" t="s">
        <v>843</v>
      </c>
      <c r="B1" s="95"/>
      <c r="C1" s="95"/>
      <c r="D1" s="95"/>
    </row>
    <row r="3" spans="1:4">
      <c r="A3" s="12" t="s">
        <v>844</v>
      </c>
      <c r="B3" s="12" t="s">
        <v>845</v>
      </c>
    </row>
    <row r="4" spans="1:4">
      <c r="A4" s="13" t="s">
        <v>846</v>
      </c>
      <c r="B4" s="16">
        <f>MIN(Decisiones!B2:B237)</f>
        <v>36543</v>
      </c>
    </row>
    <row r="5" spans="1:4">
      <c r="A5" s="14" t="s">
        <v>847</v>
      </c>
      <c r="B5" s="17">
        <v>46240</v>
      </c>
    </row>
    <row r="6" spans="1:4">
      <c r="A6" s="14" t="s">
        <v>848</v>
      </c>
      <c r="B6" s="18">
        <v>237</v>
      </c>
    </row>
    <row r="7" spans="1:4">
      <c r="A7" s="14" t="s">
        <v>849</v>
      </c>
      <c r="B7" s="18">
        <v>234</v>
      </c>
    </row>
    <row r="8" spans="1:4">
      <c r="A8" s="14" t="s">
        <v>850</v>
      </c>
      <c r="B8" s="18">
        <v>3</v>
      </c>
    </row>
    <row r="9" spans="1:4">
      <c r="A9" s="14" t="s">
        <v>851</v>
      </c>
      <c r="B9" s="18">
        <v>80</v>
      </c>
    </row>
    <row r="10" spans="1:4">
      <c r="A10" s="14" t="s">
        <v>852</v>
      </c>
      <c r="B10" s="18">
        <v>33</v>
      </c>
    </row>
    <row r="11" spans="1:4">
      <c r="A11" s="14" t="s">
        <v>853</v>
      </c>
      <c r="B11" s="18">
        <v>124</v>
      </c>
    </row>
    <row r="12" spans="1:4">
      <c r="A12" s="14" t="s">
        <v>854</v>
      </c>
      <c r="B12" s="18">
        <v>339</v>
      </c>
    </row>
    <row r="13" spans="1:4">
      <c r="A13" s="14" t="s">
        <v>855</v>
      </c>
      <c r="B13" s="18">
        <f>COUNTIF(Votaciones!E2:E336,"Parcial")</f>
        <v>0</v>
      </c>
    </row>
    <row r="14" spans="1:4">
      <c r="A14" s="15" t="s">
        <v>856</v>
      </c>
      <c r="B14" s="19">
        <f>COUNTIF(Votaciones!E2:E336,"Anónimo")</f>
        <v>1</v>
      </c>
    </row>
    <row r="16" spans="1:4">
      <c r="A16" s="96" t="s">
        <v>857</v>
      </c>
      <c r="B16" s="96"/>
      <c r="C16" s="96"/>
      <c r="D16" s="96"/>
    </row>
    <row r="17" spans="1:4" ht="34.049999999999997" customHeight="1">
      <c r="A17" s="97" t="s">
        <v>858</v>
      </c>
      <c r="B17" s="97"/>
      <c r="C17" s="97"/>
      <c r="D17" s="97"/>
    </row>
    <row r="18" spans="1:4" ht="34.049999999999997" customHeight="1">
      <c r="A18" s="98" t="s">
        <v>859</v>
      </c>
      <c r="B18" s="98"/>
      <c r="C18" s="98"/>
      <c r="D18" s="98"/>
    </row>
    <row r="19" spans="1:4" ht="34.049999999999997" customHeight="1">
      <c r="A19" s="99" t="s">
        <v>860</v>
      </c>
      <c r="B19" s="99"/>
      <c r="C19" s="99"/>
      <c r="D19" s="99"/>
    </row>
  </sheetData>
  <mergeCells count="5">
    <mergeCell ref="A1:D1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86"/>
  <sheetViews>
    <sheetView showGridLines="0" workbookViewId="0">
      <selection activeCell="A3" sqref="A3:L3"/>
    </sheetView>
  </sheetViews>
  <sheetFormatPr defaultRowHeight="13.8"/>
  <cols>
    <col min="1" max="1" width="28" customWidth="1"/>
    <col min="2" max="3" width="14" customWidth="1"/>
    <col min="4" max="4" width="19" customWidth="1"/>
    <col min="5" max="5" width="20" customWidth="1"/>
    <col min="6" max="6" width="17" customWidth="1"/>
    <col min="7" max="7" width="16" customWidth="1"/>
    <col min="8" max="8" width="21" customWidth="1"/>
    <col min="9" max="9" width="22" customWidth="1"/>
    <col min="10" max="12" width="12" customWidth="1"/>
    <col min="13" max="13" width="2" customWidth="1"/>
    <col min="24" max="26" width="2" customWidth="1"/>
    <col min="27" max="27" width="9.8984375" style="94" bestFit="1" customWidth="1"/>
  </cols>
  <sheetData>
    <row r="1" spans="1:27" ht="36" customHeight="1">
      <c r="A1" s="108" t="s">
        <v>861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X1" s="50" t="s">
        <v>862</v>
      </c>
      <c r="Y1" s="50" t="s">
        <v>863</v>
      </c>
      <c r="Z1" s="50" t="s">
        <v>864</v>
      </c>
      <c r="AA1" s="93" t="s">
        <v>865</v>
      </c>
    </row>
    <row r="2" spans="1:27">
      <c r="A2" s="20" t="s">
        <v>866</v>
      </c>
      <c r="B2" s="109">
        <v>46289</v>
      </c>
      <c r="C2" s="110"/>
      <c r="D2" s="111"/>
      <c r="E2" s="23" t="s">
        <v>867</v>
      </c>
      <c r="F2" s="149">
        <f>IFERROR(INDEX(Decisiones!$B$2:$B$239,MATCH($X$2,Decisiones!$A$2:$A$239,0)-1),"— inicio —")</f>
        <v>46240</v>
      </c>
      <c r="G2" s="112"/>
      <c r="H2" s="112"/>
      <c r="I2" s="48" t="s">
        <v>868</v>
      </c>
      <c r="J2" s="149" t="str">
        <f>IFERROR(INDEX(Decisiones!$B$2:$B$239,MATCH($X$2,Decisiones!$A$2:$A$239,0)+1),"— final —")</f>
        <v>— final —</v>
      </c>
      <c r="K2" s="113"/>
      <c r="L2" s="114"/>
      <c r="X2" t="str">
        <f>INDEX($Z$2:$Z$258,MATCH($B$2,$AA$2:$AA$258,0))</f>
        <v>D20260924</v>
      </c>
      <c r="Z2" t="s">
        <v>14</v>
      </c>
      <c r="AA2" s="94">
        <v>36543</v>
      </c>
    </row>
    <row r="3" spans="1:27" ht="27" customHeight="1">
      <c r="A3" s="115" t="s">
        <v>869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Z3" t="s">
        <v>20</v>
      </c>
      <c r="AA3" s="94">
        <v>36662</v>
      </c>
    </row>
    <row r="4" spans="1:27">
      <c r="Z4" t="s">
        <v>22</v>
      </c>
      <c r="AA4" s="94">
        <v>36703</v>
      </c>
    </row>
    <row r="5" spans="1:27">
      <c r="Z5" t="s">
        <v>24</v>
      </c>
      <c r="AA5" s="94">
        <v>36738</v>
      </c>
    </row>
    <row r="6" spans="1:27">
      <c r="Z6" t="s">
        <v>26</v>
      </c>
      <c r="AA6" s="94">
        <v>36816</v>
      </c>
    </row>
    <row r="7" spans="1:27">
      <c r="Z7" t="s">
        <v>28</v>
      </c>
      <c r="AA7" s="94">
        <v>36840</v>
      </c>
    </row>
    <row r="8" spans="1:27">
      <c r="Z8" t="s">
        <v>30</v>
      </c>
      <c r="AA8" s="94">
        <v>36903</v>
      </c>
    </row>
    <row r="9" spans="1:27">
      <c r="Z9" t="s">
        <v>32</v>
      </c>
      <c r="AA9" s="94">
        <v>37029</v>
      </c>
    </row>
    <row r="10" spans="1:27">
      <c r="Z10" t="s">
        <v>34</v>
      </c>
      <c r="AA10" s="94">
        <v>37103</v>
      </c>
    </row>
    <row r="11" spans="1:27">
      <c r="Z11" t="s">
        <v>36</v>
      </c>
      <c r="AA11" s="94">
        <v>37295</v>
      </c>
    </row>
    <row r="12" spans="1:27">
      <c r="Z12" t="s">
        <v>38</v>
      </c>
      <c r="AA12" s="94">
        <v>37358</v>
      </c>
    </row>
    <row r="13" spans="1:27">
      <c r="Z13" t="s">
        <v>40</v>
      </c>
      <c r="AA13" s="94">
        <v>37522</v>
      </c>
    </row>
    <row r="14" spans="1:27">
      <c r="Z14" t="s">
        <v>42</v>
      </c>
      <c r="AA14" s="94">
        <v>37596</v>
      </c>
    </row>
    <row r="15" spans="1:27">
      <c r="Z15" t="s">
        <v>44</v>
      </c>
      <c r="AA15" s="94">
        <v>37631</v>
      </c>
    </row>
    <row r="16" spans="1:27">
      <c r="Z16" t="s">
        <v>46</v>
      </c>
      <c r="AA16" s="94">
        <v>37645</v>
      </c>
    </row>
    <row r="17" spans="1:27">
      <c r="Z17" t="s">
        <v>49</v>
      </c>
      <c r="AA17" s="94">
        <v>37659</v>
      </c>
    </row>
    <row r="18" spans="1:27">
      <c r="Z18" t="s">
        <v>51</v>
      </c>
      <c r="AA18" s="94">
        <v>37673</v>
      </c>
    </row>
    <row r="19" spans="1:27">
      <c r="A19" s="100" t="s">
        <v>870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Z19" t="s">
        <v>53</v>
      </c>
      <c r="AA19" s="94">
        <v>37708</v>
      </c>
    </row>
    <row r="20" spans="1:27">
      <c r="Z20" t="s">
        <v>55</v>
      </c>
      <c r="AA20" s="94">
        <v>37736</v>
      </c>
    </row>
    <row r="21" spans="1:27">
      <c r="A21" s="103" t="s">
        <v>866</v>
      </c>
      <c r="B21" s="103" t="s">
        <v>0</v>
      </c>
      <c r="C21" s="103" t="s">
        <v>0</v>
      </c>
      <c r="D21" s="103" t="s">
        <v>0</v>
      </c>
      <c r="E21" s="103" t="s">
        <v>871</v>
      </c>
      <c r="F21" s="103" t="s">
        <v>871</v>
      </c>
      <c r="G21" s="103" t="s">
        <v>871</v>
      </c>
      <c r="H21" s="103" t="s">
        <v>871</v>
      </c>
      <c r="I21" s="103" t="s">
        <v>872</v>
      </c>
      <c r="J21" s="103" t="s">
        <v>872</v>
      </c>
      <c r="K21" s="103" t="s">
        <v>872</v>
      </c>
      <c r="L21" s="103" t="s">
        <v>872</v>
      </c>
      <c r="Z21" t="s">
        <v>57</v>
      </c>
      <c r="AA21" s="94">
        <v>37764</v>
      </c>
    </row>
    <row r="22" spans="1:27">
      <c r="A22" s="142">
        <f>INDEX(Decisiones!$B$2:$B$239,MATCH($X$2,Decisiones!$A$2:$A$239,0))</f>
        <v>46289</v>
      </c>
      <c r="B22" s="104"/>
      <c r="C22" s="104"/>
      <c r="D22" s="104"/>
      <c r="E22" s="143">
        <f>IFERROR(INDEX(Decisiones!$B$2:$B$239,MATCH($X$2,Decisiones!$A$2:$A$239,0)),"")</f>
        <v>46289</v>
      </c>
      <c r="F22" s="107"/>
      <c r="G22" s="107"/>
      <c r="H22" s="107"/>
      <c r="I22" s="145" t="str">
        <f>IFERROR(INDEX(Decisiones!$D$2:$D$237,MATCH($X$2,Decisiones!$A$2:$A$239,0)),"")</f>
        <v/>
      </c>
      <c r="J22" s="104"/>
      <c r="K22" s="104"/>
      <c r="L22" s="104"/>
      <c r="Z22" t="s">
        <v>59</v>
      </c>
      <c r="AA22" s="94">
        <v>37799</v>
      </c>
    </row>
    <row r="23" spans="1:27">
      <c r="A23" s="103" t="s">
        <v>873</v>
      </c>
      <c r="B23" s="103" t="s">
        <v>873</v>
      </c>
      <c r="C23" s="103" t="s">
        <v>873</v>
      </c>
      <c r="D23" s="103" t="s">
        <v>873</v>
      </c>
      <c r="E23" s="103" t="s">
        <v>874</v>
      </c>
      <c r="F23" s="103" t="s">
        <v>874</v>
      </c>
      <c r="G23" s="103" t="s">
        <v>874</v>
      </c>
      <c r="H23" s="103" t="s">
        <v>874</v>
      </c>
      <c r="I23" s="103" t="s">
        <v>875</v>
      </c>
      <c r="J23" s="103" t="s">
        <v>875</v>
      </c>
      <c r="K23" s="103" t="s">
        <v>875</v>
      </c>
      <c r="L23" s="103" t="s">
        <v>875</v>
      </c>
      <c r="Z23" t="s">
        <v>61</v>
      </c>
      <c r="AA23" s="94">
        <v>37827</v>
      </c>
    </row>
    <row r="24" spans="1:27">
      <c r="A24" s="148">
        <f>IFERROR(INDEX(Decisiones!$F$2:$F$239,MATCH($X$2,Decisiones!$A$2:$A$239,0)),"")</f>
        <v>6.5</v>
      </c>
      <c r="B24" s="106"/>
      <c r="C24" s="106"/>
      <c r="D24" s="106"/>
      <c r="E24" s="144">
        <f>IFERROR(INDEX(Decisiones!$G$2:$G$239,MATCH($X$2,Decisiones!$A$2:$A$239,0)),"")</f>
        <v>0</v>
      </c>
      <c r="F24" s="105"/>
      <c r="G24" s="105"/>
      <c r="H24" s="105"/>
      <c r="I24" s="148">
        <f>IFERROR(INDEX(Decisiones!$H$2:$H$239,MATCH($X$2,Decisiones!$A$2:$A$239,0)),"")</f>
        <v>6.5</v>
      </c>
      <c r="J24" s="106"/>
      <c r="K24" s="106"/>
      <c r="L24" s="106"/>
      <c r="Z24" t="s">
        <v>63</v>
      </c>
      <c r="AA24" s="94">
        <v>37855</v>
      </c>
    </row>
    <row r="25" spans="1:27">
      <c r="A25" s="103" t="s">
        <v>876</v>
      </c>
      <c r="B25" s="103" t="s">
        <v>876</v>
      </c>
      <c r="C25" s="103" t="s">
        <v>876</v>
      </c>
      <c r="D25" s="103" t="s">
        <v>876</v>
      </c>
      <c r="E25" s="103" t="s">
        <v>877</v>
      </c>
      <c r="F25" s="103" t="s">
        <v>877</v>
      </c>
      <c r="G25" s="103" t="s">
        <v>877</v>
      </c>
      <c r="H25" s="103" t="s">
        <v>877</v>
      </c>
      <c r="I25" s="103" t="s">
        <v>878</v>
      </c>
      <c r="J25" s="103" t="s">
        <v>878</v>
      </c>
      <c r="K25" s="103" t="s">
        <v>878</v>
      </c>
      <c r="L25" s="103" t="s">
        <v>878</v>
      </c>
      <c r="Z25" t="s">
        <v>65</v>
      </c>
      <c r="AA25" s="94">
        <v>37890</v>
      </c>
    </row>
    <row r="26" spans="1:27">
      <c r="A26" s="145" t="str">
        <f>IFERROR(INDEX(Decisiones!$I$2:$I$239,MATCH($X$2,Decisiones!$A$2:$A$239,0)),"")</f>
        <v>Sin cambio</v>
      </c>
      <c r="B26" s="104"/>
      <c r="C26" s="104"/>
      <c r="D26" s="104"/>
      <c r="E26" s="145" t="str">
        <f>IFERROR(INDEX(Decisiones!$J$2:$J$239,MATCH($X$2,Decisiones!$A$2:$A$239,0)),"")</f>
        <v>Sí</v>
      </c>
      <c r="F26" s="104"/>
      <c r="G26" s="104"/>
      <c r="H26" s="104"/>
      <c r="I26" s="144">
        <f>IFERROR(INDEX(Decisiones!$K$2:$K$239,MATCH($X$2,Decisiones!$A$2:$A$239,0)),"")</f>
        <v>0</v>
      </c>
      <c r="J26" s="105"/>
      <c r="K26" s="105"/>
      <c r="L26" s="105"/>
      <c r="Z26" t="s">
        <v>67</v>
      </c>
      <c r="AA26" s="94">
        <v>37918</v>
      </c>
    </row>
    <row r="27" spans="1:27">
      <c r="A27" s="100" t="s">
        <v>879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Z27" t="s">
        <v>69</v>
      </c>
      <c r="AA27" s="94">
        <v>37946</v>
      </c>
    </row>
    <row r="28" spans="1:27">
      <c r="A28" s="22" t="s">
        <v>871</v>
      </c>
      <c r="B28" s="25">
        <f>INDEX(Decisiones!$B$2:$B$239,MAX(1,MIN(MATCH($X$2,Decisiones!$A$2:$A$239,0)-5,ROWS(Decisiones!$A$2:$A$239)-10))+0)</f>
        <v>45834</v>
      </c>
      <c r="C28" s="26">
        <f>INDEX(Decisiones!$B$2:$B$239,MAX(1,MIN(MATCH($X$2,Decisiones!$A$2:$A$239,0)-5,ROWS(Decisiones!$A$2:$A$239)-10))+1)</f>
        <v>45876</v>
      </c>
      <c r="D28" s="26">
        <f>INDEX(Decisiones!$B$2:$B$239,MAX(1,MIN(MATCH($X$2,Decisiones!$A$2:$A$239,0)-5,ROWS(Decisiones!$A$2:$A$239)-10))+2)</f>
        <v>45925</v>
      </c>
      <c r="E28" s="26">
        <f>INDEX(Decisiones!$B$2:$B$239,MAX(1,MIN(MATCH($X$2,Decisiones!$A$2:$A$239,0)-5,ROWS(Decisiones!$A$2:$A$239)-10))+3)</f>
        <v>45967</v>
      </c>
      <c r="F28" s="26">
        <f>INDEX(Decisiones!$B$2:$B$239,MAX(1,MIN(MATCH($X$2,Decisiones!$A$2:$A$239,0)-5,ROWS(Decisiones!$A$2:$A$239)-10))+4)</f>
        <v>46009</v>
      </c>
      <c r="G28" s="34">
        <f>INDEX(Decisiones!$B$2:$B$239,MAX(1,MIN(MATCH($X$2,Decisiones!$A$2:$A$239,0)-5,ROWS(Decisiones!$A$2:$A$239)-10))+5)</f>
        <v>46058</v>
      </c>
      <c r="H28" s="26">
        <f>INDEX(Decisiones!$B$2:$B$239,MAX(1,MIN(MATCH($X$2,Decisiones!$A$2:$A$239,0)-5,ROWS(Decisiones!$A$2:$A$239)-10))+6)</f>
        <v>46107</v>
      </c>
      <c r="I28" s="26">
        <f>INDEX(Decisiones!$B$2:$B$239,MAX(1,MIN(MATCH($X$2,Decisiones!$A$2:$A$239,0)-5,ROWS(Decisiones!$A$2:$A$239)-10))+7)</f>
        <v>46149</v>
      </c>
      <c r="J28" s="26">
        <f>INDEX(Decisiones!$B$2:$B$239,MAX(1,MIN(MATCH($X$2,Decisiones!$A$2:$A$239,0)-5,ROWS(Decisiones!$A$2:$A$239)-10))+8)</f>
        <v>46198</v>
      </c>
      <c r="K28" s="26">
        <f>INDEX(Decisiones!$B$2:$B$239,MAX(1,MIN(MATCH($X$2,Decisiones!$A$2:$A$239,0)-5,ROWS(Decisiones!$A$2:$A$239)-10))+9)</f>
        <v>46240</v>
      </c>
      <c r="L28" s="27">
        <f>INDEX(Decisiones!$B$2:$B$239,MAX(1,MIN(MATCH($X$2,Decisiones!$A$2:$A$239,0)-5,ROWS(Decisiones!$A$2:$A$239)-10))+10)</f>
        <v>46289</v>
      </c>
      <c r="Z28" t="s">
        <v>71</v>
      </c>
      <c r="AA28" s="94">
        <v>37966</v>
      </c>
    </row>
    <row r="29" spans="1:27">
      <c r="A29" s="22" t="s">
        <v>880</v>
      </c>
      <c r="B29" s="28">
        <f>INDEX(Decisiones!$H$2:$H$239,MAX(1,MIN(MATCH($X$2,Decisiones!$A$2:$A$239,0)-5,ROWS(Decisiones!$A$2:$A$239)-10))+0)</f>
        <v>8</v>
      </c>
      <c r="C29" s="29">
        <f>INDEX(Decisiones!$H$2:$H$239,MAX(1,MIN(MATCH($X$2,Decisiones!$A$2:$A$239,0)-5,ROWS(Decisiones!$A$2:$A$239)-10))+1)</f>
        <v>7.75</v>
      </c>
      <c r="D29" s="29">
        <f>INDEX(Decisiones!$H$2:$H$239,MAX(1,MIN(MATCH($X$2,Decisiones!$A$2:$A$239,0)-5,ROWS(Decisiones!$A$2:$A$239)-10))+2)</f>
        <v>7.5</v>
      </c>
      <c r="E29" s="29">
        <f>INDEX(Decisiones!$H$2:$H$239,MAX(1,MIN(MATCH($X$2,Decisiones!$A$2:$A$239,0)-5,ROWS(Decisiones!$A$2:$A$239)-10))+3)</f>
        <v>7.25</v>
      </c>
      <c r="F29" s="29">
        <f>INDEX(Decisiones!$H$2:$H$239,MAX(1,MIN(MATCH($X$2,Decisiones!$A$2:$A$239,0)-5,ROWS(Decisiones!$A$2:$A$239)-10))+4)</f>
        <v>7</v>
      </c>
      <c r="G29" s="35">
        <f>INDEX(Decisiones!$H$2:$H$239,MAX(1,MIN(MATCH($X$2,Decisiones!$A$2:$A$239,0)-5,ROWS(Decisiones!$A$2:$A$239)-10))+5)</f>
        <v>7</v>
      </c>
      <c r="H29" s="29">
        <f>INDEX(Decisiones!$H$2:$H$239,MAX(1,MIN(MATCH($X$2,Decisiones!$A$2:$A$239,0)-5,ROWS(Decisiones!$A$2:$A$239)-10))+6)</f>
        <v>6.75</v>
      </c>
      <c r="I29" s="29">
        <f>INDEX(Decisiones!$H$2:$H$239,MAX(1,MIN(MATCH($X$2,Decisiones!$A$2:$A$239,0)-5,ROWS(Decisiones!$A$2:$A$239)-10))+7)</f>
        <v>6.5</v>
      </c>
      <c r="J29" s="29">
        <f>INDEX(Decisiones!$H$2:$H$239,MAX(1,MIN(MATCH($X$2,Decisiones!$A$2:$A$239,0)-5,ROWS(Decisiones!$A$2:$A$239)-10))+8)</f>
        <v>6.5</v>
      </c>
      <c r="K29" s="29">
        <f>INDEX(Decisiones!$H$2:$H$239,MAX(1,MIN(MATCH($X$2,Decisiones!$A$2:$A$239,0)-5,ROWS(Decisiones!$A$2:$A$239)-10))+9)</f>
        <v>6.5</v>
      </c>
      <c r="L29" s="30">
        <f>INDEX(Decisiones!$H$2:$H$239,MAX(1,MIN(MATCH($X$2,Decisiones!$A$2:$A$239,0)-5,ROWS(Decisiones!$A$2:$A$239)-10))+10)</f>
        <v>6.5</v>
      </c>
      <c r="Z29" t="s">
        <v>73</v>
      </c>
      <c r="AA29" s="94">
        <v>38009</v>
      </c>
    </row>
    <row r="30" spans="1:27">
      <c r="A30" s="22" t="s">
        <v>881</v>
      </c>
      <c r="B30" s="31" t="str">
        <f>IF(INDEX(Decisiones!$I$2:$I$239,MAX(1,MIN(MATCH($X$2,Decisiones!$A$2:$A$239,0)-5,ROWS(Decisiones!$A$2:$A$239)-10))+0)="Sube","↑",IF(INDEX(Decisiones!$I$2:$I$239,MAX(1,MIN(MATCH($X$2,Decisiones!$A$2:$A$239,0)-5,ROWS(Decisiones!$A$2:$A$239)-10))+0)="Baja","↓","="))</f>
        <v>↓</v>
      </c>
      <c r="C30" s="32" t="str">
        <f>IF(INDEX(Decisiones!$I$2:$I$239,MAX(1,MIN(MATCH($X$2,Decisiones!$A$2:$A$239,0)-5,ROWS(Decisiones!$A$2:$A$239)-10))+1)="Sube","↑",IF(INDEX(Decisiones!$I$2:$I$239,MAX(1,MIN(MATCH($X$2,Decisiones!$A$2:$A$239,0)-5,ROWS(Decisiones!$A$2:$A$239)-10))+1)="Baja","↓","="))</f>
        <v>↓</v>
      </c>
      <c r="D30" s="32" t="str">
        <f>IF(INDEX(Decisiones!$I$2:$I$239,MAX(1,MIN(MATCH($X$2,Decisiones!$A$2:$A$239,0)-5,ROWS(Decisiones!$A$2:$A$239)-10))+2)="Sube","↑",IF(INDEX(Decisiones!$I$2:$I$239,MAX(1,MIN(MATCH($X$2,Decisiones!$A$2:$A$239,0)-5,ROWS(Decisiones!$A$2:$A$239)-10))+2)="Baja","↓","="))</f>
        <v>↓</v>
      </c>
      <c r="E30" s="32" t="str">
        <f>IF(INDEX(Decisiones!$I$2:$I$239,MAX(1,MIN(MATCH($X$2,Decisiones!$A$2:$A$239,0)-5,ROWS(Decisiones!$A$2:$A$239)-10))+3)="Sube","↑",IF(INDEX(Decisiones!$I$2:$I$239,MAX(1,MIN(MATCH($X$2,Decisiones!$A$2:$A$239,0)-5,ROWS(Decisiones!$A$2:$A$239)-10))+3)="Baja","↓","="))</f>
        <v>↓</v>
      </c>
      <c r="F30" s="32" t="str">
        <f>IF(INDEX(Decisiones!$I$2:$I$239,MAX(1,MIN(MATCH($X$2,Decisiones!$A$2:$A$239,0)-5,ROWS(Decisiones!$A$2:$A$239)-10))+4)="Sube","↑",IF(INDEX(Decisiones!$I$2:$I$239,MAX(1,MIN(MATCH($X$2,Decisiones!$A$2:$A$239,0)-5,ROWS(Decisiones!$A$2:$A$239)-10))+4)="Baja","↓","="))</f>
        <v>↓</v>
      </c>
      <c r="G30" s="36" t="str">
        <f>IF(INDEX(Decisiones!$I$2:$I$239,MAX(1,MIN(MATCH($X$2,Decisiones!$A$2:$A$239,0)-5,ROWS(Decisiones!$A$2:$A$239)-10))+5)="Sube","↑",IF(INDEX(Decisiones!$I$2:$I$239,MAX(1,MIN(MATCH($X$2,Decisiones!$A$2:$A$239,0)-5,ROWS(Decisiones!$A$2:$A$239)-10))+5)="Baja","↓","="))</f>
        <v>=</v>
      </c>
      <c r="H30" s="32" t="str">
        <f>IF(INDEX(Decisiones!$I$2:$I$239,MAX(1,MIN(MATCH($X$2,Decisiones!$A$2:$A$239,0)-5,ROWS(Decisiones!$A$2:$A$239)-10))+6)="Sube","↑",IF(INDEX(Decisiones!$I$2:$I$239,MAX(1,MIN(MATCH($X$2,Decisiones!$A$2:$A$239,0)-5,ROWS(Decisiones!$A$2:$A$239)-10))+6)="Baja","↓","="))</f>
        <v>↓</v>
      </c>
      <c r="I30" s="32" t="str">
        <f>IF(INDEX(Decisiones!$I$2:$I$239,MAX(1,MIN(MATCH($X$2,Decisiones!$A$2:$A$239,0)-5,ROWS(Decisiones!$A$2:$A$239)-10))+7)="Sube","↑",IF(INDEX(Decisiones!$I$2:$I$239,MAX(1,MIN(MATCH($X$2,Decisiones!$A$2:$A$239,0)-5,ROWS(Decisiones!$A$2:$A$239)-10))+7)="Baja","↓","="))</f>
        <v>↓</v>
      </c>
      <c r="J30" s="32" t="str">
        <f>IF(INDEX(Decisiones!$I$2:$I$239,MAX(1,MIN(MATCH($X$2,Decisiones!$A$2:$A$239,0)-5,ROWS(Decisiones!$A$2:$A$239)-10))+8)="Sube","↑",IF(INDEX(Decisiones!$I$2:$I$239,MAX(1,MIN(MATCH($X$2,Decisiones!$A$2:$A$239,0)-5,ROWS(Decisiones!$A$2:$A$239)-10))+8)="Baja","↓","="))</f>
        <v>=</v>
      </c>
      <c r="K30" s="32" t="str">
        <f>IF(INDEX(Decisiones!$I$2:$I$239,MAX(1,MIN(MATCH($X$2,Decisiones!$A$2:$A$239,0)-5,ROWS(Decisiones!$A$2:$A$239)-10))+9)="Sube","↑",IF(INDEX(Decisiones!$I$2:$I$239,MAX(1,MIN(MATCH($X$2,Decisiones!$A$2:$A$239,0)-5,ROWS(Decisiones!$A$2:$A$239)-10))+9)="Baja","↓","="))</f>
        <v>=</v>
      </c>
      <c r="L30" s="33" t="str">
        <f>IF(INDEX(Decisiones!$I$2:$I$239,MAX(1,MIN(MATCH($X$2,Decisiones!$A$2:$A$239,0)-5,ROWS(Decisiones!$A$2:$A$239)-10))+10)="Sube","↑",IF(INDEX(Decisiones!$I$2:$I$239,MAX(1,MIN(MATCH($X$2,Decisiones!$A$2:$A$239,0)-5,ROWS(Decisiones!$A$2:$A$239)-10))+10)="Baja","↓","="))</f>
        <v>=</v>
      </c>
      <c r="Z30" t="s">
        <v>75</v>
      </c>
      <c r="AA30" s="94">
        <v>38037</v>
      </c>
    </row>
    <row r="31" spans="1:27" ht="1.95" customHeight="1">
      <c r="A31" s="49" t="s">
        <v>0</v>
      </c>
      <c r="B31" s="146" t="str">
        <f>INDEX(Decisiones!$A$2:$A$239,MAX(1,MIN(MATCH($X$2,Decisiones!$A$2:$A$239,0)-5,ROWS(Decisiones!$A$2:$A$239)-10))+0)</f>
        <v>D20250626</v>
      </c>
      <c r="C31" s="141" t="str">
        <f>INDEX(Decisiones!$A$2:$A$239,MAX(1,MIN(MATCH($X$2,Decisiones!$A$2:$A$239,0)-5,ROWS(Decisiones!$A$2:$A$239)-10))+1)</f>
        <v>D20250807</v>
      </c>
      <c r="D31" s="141" t="str">
        <f>INDEX(Decisiones!$A$2:$A$239,MAX(1,MIN(MATCH($X$2,Decisiones!$A$2:$A$239,0)-5,ROWS(Decisiones!$A$2:$A$239)-10))+2)</f>
        <v>D20250925</v>
      </c>
      <c r="E31" s="141" t="str">
        <f>INDEX(Decisiones!$A$2:$A$239,MAX(1,MIN(MATCH($X$2,Decisiones!$A$2:$A$239,0)-5,ROWS(Decisiones!$A$2:$A$239)-10))+3)</f>
        <v>D20251106</v>
      </c>
      <c r="F31" s="141" t="str">
        <f>INDEX(Decisiones!$A$2:$A$239,MAX(1,MIN(MATCH($X$2,Decisiones!$A$2:$A$239,0)-5,ROWS(Decisiones!$A$2:$A$239)-10))+4)</f>
        <v>D20251218</v>
      </c>
      <c r="G31" s="150" t="str">
        <f>INDEX(Decisiones!$A$2:$A$239,MAX(1,MIN(MATCH($X$2,Decisiones!$A$2:$A$239,0)-5,ROWS(Decisiones!$A$2:$A$239)-10))+5)</f>
        <v>D20260205</v>
      </c>
      <c r="H31" s="141" t="str">
        <f>INDEX(Decisiones!$A$2:$A$239,MAX(1,MIN(MATCH($X$2,Decisiones!$A$2:$A$239,0)-5,ROWS(Decisiones!$A$2:$A$239)-10))+6)</f>
        <v>D20260326</v>
      </c>
      <c r="I31" s="141" t="str">
        <f>INDEX(Decisiones!$A$2:$A$239,MAX(1,MIN(MATCH($X$2,Decisiones!$A$2:$A$239,0)-5,ROWS(Decisiones!$A$2:$A$239)-10))+7)</f>
        <v>D20260507</v>
      </c>
      <c r="J31" s="141" t="str">
        <f>INDEX(Decisiones!$A$2:$A$239,MAX(1,MIN(MATCH($X$2,Decisiones!$A$2:$A$239,0)-5,ROWS(Decisiones!$A$2:$A$239)-10))+8)</f>
        <v>D20260625</v>
      </c>
      <c r="K31" s="141" t="str">
        <f>INDEX(Decisiones!$A$2:$A$239,MAX(1,MIN(MATCH($X$2,Decisiones!$A$2:$A$239,0)-5,ROWS(Decisiones!$A$2:$A$239)-10))+9)</f>
        <v>D20260806</v>
      </c>
      <c r="L31" s="147" t="str">
        <f>INDEX(Decisiones!$A$2:$A$239,MAX(1,MIN(MATCH($X$2,Decisiones!$A$2:$A$239,0)-5,ROWS(Decisiones!$A$2:$A$239)-10))+10)</f>
        <v>D20260924</v>
      </c>
      <c r="M31" s="50"/>
      <c r="Z31" t="s">
        <v>77</v>
      </c>
      <c r="AA31" s="94">
        <v>38058</v>
      </c>
    </row>
    <row r="32" spans="1:27">
      <c r="G32" s="21"/>
      <c r="Z32" t="s">
        <v>79</v>
      </c>
      <c r="AA32" s="94">
        <v>38072</v>
      </c>
    </row>
    <row r="33" spans="1:27">
      <c r="A33" s="37" t="s">
        <v>882</v>
      </c>
      <c r="B33" s="37" t="str">
        <f t="shared" ref="B33:L33" si="0">TEXT(B28,"dd-mmm")</f>
        <v>26-Jun</v>
      </c>
      <c r="C33" s="37" t="str">
        <f t="shared" si="0"/>
        <v>07-Aug</v>
      </c>
      <c r="D33" s="37" t="str">
        <f t="shared" si="0"/>
        <v>25-Sep</v>
      </c>
      <c r="E33" s="37" t="str">
        <f t="shared" si="0"/>
        <v>06-Nov</v>
      </c>
      <c r="F33" s="37" t="str">
        <f t="shared" si="0"/>
        <v>18-Dec</v>
      </c>
      <c r="G33" s="37" t="str">
        <f t="shared" si="0"/>
        <v>05-Feb</v>
      </c>
      <c r="H33" s="37" t="str">
        <f t="shared" si="0"/>
        <v>26-Mar</v>
      </c>
      <c r="I33" s="37" t="str">
        <f t="shared" si="0"/>
        <v>07-May</v>
      </c>
      <c r="J33" s="37" t="str">
        <f t="shared" si="0"/>
        <v>25-Jun</v>
      </c>
      <c r="K33" s="37" t="str">
        <f t="shared" si="0"/>
        <v>06-Aug</v>
      </c>
      <c r="L33" s="37" t="str">
        <f t="shared" si="0"/>
        <v>24-Sep</v>
      </c>
      <c r="Z33" t="s">
        <v>81</v>
      </c>
      <c r="AA33" s="94">
        <v>38100</v>
      </c>
    </row>
    <row r="34" spans="1:27">
      <c r="G34" s="21"/>
      <c r="Z34" t="s">
        <v>83</v>
      </c>
      <c r="AA34" s="94">
        <v>38104</v>
      </c>
    </row>
    <row r="35" spans="1:27" ht="22.95" customHeight="1">
      <c r="A35" s="24" t="str">
        <f>IF($M35="","",IFERROR(INDEX(Personas!$B$2:$B$30,MATCH($M35,Personas!$A$2:$A$30,0)),"?"))</f>
        <v/>
      </c>
      <c r="B35" s="165" t="str">
        <f>IF($A35="","",IF(B$31="","",IF(COUNTIFS(Votaciones!$A$2:$A$346,B$31,Votaciones!$B$2:$B$346,$M35)&gt;0,IF(COUNTIFS(Votaciones!$A$2:$A$346,B$31,Votaciones!$B$2:$B$346,$M35,Votaciones!$D$2:$D$346,"Consenso")&gt;0,"●",IF(COUNTIFS(Votaciones!$A$2:$A$346,B$31,Votaciones!$B$2:$B$346,$M35,Votaciones!$D$2:$D$346,"Disenso restrictivo")&gt;0,"▲",IF(COUNTIFS(Votaciones!$A$2:$A$346,B$31,Votaciones!$B$2:$B$346,$M35,Votaciones!$D$2:$D$346,"Disenso acomodaticio")&gt;0,"▼","?"))),IF(COUNTIFS(Participacion_Junta!$A$2:$A$346,B$31,Participacion_Junta!$B$2:$B$346,$M35)&gt;0,"○","?"))))</f>
        <v/>
      </c>
      <c r="C35" s="163" t="str">
        <f>IF($A35="","",IF(C$31="","",IF(COUNTIFS(Votaciones!$A$2:$A$346,C$31,Votaciones!$B$2:$B$346,$M35)&gt;0,IF(COUNTIFS(Votaciones!$A$2:$A$346,C$31,Votaciones!$B$2:$B$346,$M35,Votaciones!$D$2:$D$346,"Consenso")&gt;0,"●",IF(COUNTIFS(Votaciones!$A$2:$A$346,C$31,Votaciones!$B$2:$B$346,$M35,Votaciones!$D$2:$D$346,"Disenso restrictivo")&gt;0,"▲",IF(COUNTIFS(Votaciones!$A$2:$A$346,C$31,Votaciones!$B$2:$B$346,$M35,Votaciones!$D$2:$D$346,"Disenso acomodaticio")&gt;0,"▼","?"))),IF(COUNTIFS(Participacion_Junta!$A$2:$A$346,C$31,Participacion_Junta!$B$2:$B$346,$M35)&gt;0,"○","?"))))</f>
        <v/>
      </c>
      <c r="D35" s="163" t="str">
        <f>IF($A35="","",IF(D$31="","",IF(COUNTIFS(Votaciones!$A$2:$A$346,D$31,Votaciones!$B$2:$B$346,$M35)&gt;0,IF(COUNTIFS(Votaciones!$A$2:$A$346,D$31,Votaciones!$B$2:$B$346,$M35,Votaciones!$D$2:$D$346,"Consenso")&gt;0,"●",IF(COUNTIFS(Votaciones!$A$2:$A$346,D$31,Votaciones!$B$2:$B$346,$M35,Votaciones!$D$2:$D$346,"Disenso restrictivo")&gt;0,"▲",IF(COUNTIFS(Votaciones!$A$2:$A$346,D$31,Votaciones!$B$2:$B$346,$M35,Votaciones!$D$2:$D$346,"Disenso acomodaticio")&gt;0,"▼","?"))),IF(COUNTIFS(Participacion_Junta!$A$2:$A$346,D$31,Participacion_Junta!$B$2:$B$346,$M35)&gt;0,"○","?"))))</f>
        <v/>
      </c>
      <c r="E35" s="163" t="str">
        <f>IF($A35="","",IF(E$31="","",IF(COUNTIFS(Votaciones!$A$2:$A$346,E$31,Votaciones!$B$2:$B$346,$M35)&gt;0,IF(COUNTIFS(Votaciones!$A$2:$A$346,E$31,Votaciones!$B$2:$B$346,$M35,Votaciones!$D$2:$D$346,"Consenso")&gt;0,"●",IF(COUNTIFS(Votaciones!$A$2:$A$346,E$31,Votaciones!$B$2:$B$346,$M35,Votaciones!$D$2:$D$346,"Disenso restrictivo")&gt;0,"▲",IF(COUNTIFS(Votaciones!$A$2:$A$346,E$31,Votaciones!$B$2:$B$346,$M35,Votaciones!$D$2:$D$346,"Disenso acomodaticio")&gt;0,"▼","?"))),IF(COUNTIFS(Participacion_Junta!$A$2:$A$346,E$31,Participacion_Junta!$B$2:$B$346,$M35)&gt;0,"○","?"))))</f>
        <v/>
      </c>
      <c r="F35" s="163" t="str">
        <f>IF($A35="","",IF(F$31="","",IF(COUNTIFS(Votaciones!$A$2:$A$346,F$31,Votaciones!$B$2:$B$346,$M35)&gt;0,IF(COUNTIFS(Votaciones!$A$2:$A$346,F$31,Votaciones!$B$2:$B$346,$M35,Votaciones!$D$2:$D$346,"Consenso")&gt;0,"●",IF(COUNTIFS(Votaciones!$A$2:$A$346,F$31,Votaciones!$B$2:$B$346,$M35,Votaciones!$D$2:$D$346,"Disenso restrictivo")&gt;0,"▲",IF(COUNTIFS(Votaciones!$A$2:$A$346,F$31,Votaciones!$B$2:$B$346,$M35,Votaciones!$D$2:$D$346,"Disenso acomodaticio")&gt;0,"▼","?"))),IF(COUNTIFS(Participacion_Junta!$A$2:$A$346,F$31,Participacion_Junta!$B$2:$B$346,$M35)&gt;0,"○","?"))))</f>
        <v/>
      </c>
      <c r="G35" s="164" t="str">
        <f>IF($A35="","",IF(G$31="","",IF(COUNTIFS(Votaciones!$A$2:$A$346,G$31,Votaciones!$B$2:$B$346,$M35)&gt;0,IF(COUNTIFS(Votaciones!$A$2:$A$346,G$31,Votaciones!$B$2:$B$346,$M35,Votaciones!$D$2:$D$346,"Consenso")&gt;0,"●",IF(COUNTIFS(Votaciones!$A$2:$A$346,G$31,Votaciones!$B$2:$B$346,$M35,Votaciones!$D$2:$D$346,"Disenso restrictivo")&gt;0,"▲",IF(COUNTIFS(Votaciones!$A$2:$A$346,G$31,Votaciones!$B$2:$B$346,$M35,Votaciones!$D$2:$D$346,"Disenso acomodaticio")&gt;0,"▼","?"))),IF(COUNTIFS(Participacion_Junta!$A$2:$A$346,G$31,Participacion_Junta!$B$2:$B$346,$M35)&gt;0,"○","?"))))</f>
        <v/>
      </c>
      <c r="H35" s="163" t="str">
        <f>IF($A35="","",IF(H$31="","",IF(COUNTIFS(Votaciones!$A$2:$A$346,H$31,Votaciones!$B$2:$B$346,$M35)&gt;0,IF(COUNTIFS(Votaciones!$A$2:$A$346,H$31,Votaciones!$B$2:$B$346,$M35,Votaciones!$D$2:$D$346,"Consenso")&gt;0,"●",IF(COUNTIFS(Votaciones!$A$2:$A$346,H$31,Votaciones!$B$2:$B$346,$M35,Votaciones!$D$2:$D$346,"Disenso restrictivo")&gt;0,"▲",IF(COUNTIFS(Votaciones!$A$2:$A$346,H$31,Votaciones!$B$2:$B$346,$M35,Votaciones!$D$2:$D$346,"Disenso acomodaticio")&gt;0,"▼","?"))),IF(COUNTIFS(Participacion_Junta!$A$2:$A$346,H$31,Participacion_Junta!$B$2:$B$346,$M35)&gt;0,"○","?"))))</f>
        <v/>
      </c>
      <c r="I35" s="163" t="str">
        <f>IF($A35="","",IF(I$31="","",IF(COUNTIFS(Votaciones!$A$2:$A$346,I$31,Votaciones!$B$2:$B$346,$M35)&gt;0,IF(COUNTIFS(Votaciones!$A$2:$A$346,I$31,Votaciones!$B$2:$B$346,$M35,Votaciones!$D$2:$D$346,"Consenso")&gt;0,"●",IF(COUNTIFS(Votaciones!$A$2:$A$346,I$31,Votaciones!$B$2:$B$346,$M35,Votaciones!$D$2:$D$346,"Disenso restrictivo")&gt;0,"▲",IF(COUNTIFS(Votaciones!$A$2:$A$346,I$31,Votaciones!$B$2:$B$346,$M35,Votaciones!$D$2:$D$346,"Disenso acomodaticio")&gt;0,"▼","?"))),IF(COUNTIFS(Participacion_Junta!$A$2:$A$346,I$31,Participacion_Junta!$B$2:$B$346,$M35)&gt;0,"○","?"))))</f>
        <v/>
      </c>
      <c r="J35" s="163" t="str">
        <f>IF($A35="","",IF(J$31="","",IF(COUNTIFS(Votaciones!$A$2:$A$346,J$31,Votaciones!$B$2:$B$346,$M35)&gt;0,IF(COUNTIFS(Votaciones!$A$2:$A$346,J$31,Votaciones!$B$2:$B$346,$M35,Votaciones!$D$2:$D$346,"Consenso")&gt;0,"●",IF(COUNTIFS(Votaciones!$A$2:$A$346,J$31,Votaciones!$B$2:$B$346,$M35,Votaciones!$D$2:$D$346,"Disenso restrictivo")&gt;0,"▲",IF(COUNTIFS(Votaciones!$A$2:$A$346,J$31,Votaciones!$B$2:$B$346,$M35,Votaciones!$D$2:$D$346,"Disenso acomodaticio")&gt;0,"▼","?"))),IF(COUNTIFS(Participacion_Junta!$A$2:$A$346,J$31,Participacion_Junta!$B$2:$B$346,$M35)&gt;0,"○","?"))))</f>
        <v/>
      </c>
      <c r="K35" s="163" t="str">
        <f>IF($A35="","",IF(K$31="","",IF(COUNTIFS(Votaciones!$A$2:$A$346,K$31,Votaciones!$B$2:$B$346,$M35)&gt;0,IF(COUNTIFS(Votaciones!$A$2:$A$346,K$31,Votaciones!$B$2:$B$346,$M35,Votaciones!$D$2:$D$346,"Consenso")&gt;0,"●",IF(COUNTIFS(Votaciones!$A$2:$A$346,K$31,Votaciones!$B$2:$B$346,$M35,Votaciones!$D$2:$D$346,"Disenso restrictivo")&gt;0,"▲",IF(COUNTIFS(Votaciones!$A$2:$A$346,K$31,Votaciones!$B$2:$B$346,$M35,Votaciones!$D$2:$D$346,"Disenso acomodaticio")&gt;0,"▼","?"))),IF(COUNTIFS(Participacion_Junta!$A$2:$A$346,K$31,Participacion_Junta!$B$2:$B$346,$M35)&gt;0,"○","?"))))</f>
        <v/>
      </c>
      <c r="L35" s="166" t="str">
        <f>IF($A35="","",IF(L$31="","",IF(COUNTIFS(Votaciones!$A$2:$A$346,L$31,Votaciones!$B$2:$B$346,$M35)&gt;0,IF(COUNTIFS(Votaciones!$A$2:$A$346,L$31,Votaciones!$B$2:$B$346,$M35,Votaciones!$D$2:$D$346,"Consenso")&gt;0,"●",IF(COUNTIFS(Votaciones!$A$2:$A$346,L$31,Votaciones!$B$2:$B$346,$M35,Votaciones!$D$2:$D$346,"Disenso restrictivo")&gt;0,"▲",IF(COUNTIFS(Votaciones!$A$2:$A$346,L$31,Votaciones!$B$2:$B$346,$M35,Votaciones!$D$2:$D$346,"Disenso acomodaticio")&gt;0,"▼","?"))),IF(COUNTIFS(Participacion_Junta!$A$2:$A$346,L$31,Participacion_Junta!$B$2:$B$346,$M35)&gt;0,"○","?"))))</f>
        <v/>
      </c>
      <c r="M35" t="str">
        <f>IFERROR(INDEX($B$351:$B$586,MATCH($X$2,$A$351:$A$586,0)),"")</f>
        <v/>
      </c>
      <c r="Z35" t="s">
        <v>85</v>
      </c>
      <c r="AA35" s="94">
        <v>38135</v>
      </c>
    </row>
    <row r="36" spans="1:27" ht="22.95" customHeight="1">
      <c r="A36" s="24" t="str">
        <f>IF($M36="","",IFERROR(INDEX(Personas!$B$2:$B$30,MATCH($M36,Personas!$A$2:$A$30,0)),"?"))</f>
        <v/>
      </c>
      <c r="B36" s="161" t="str">
        <f>IF($A36="","",IF(B$31="","",IF(COUNTIFS(Votaciones!$A$2:$A$346,B$31,Votaciones!$B$2:$B$346,$M36)&gt;0,IF(COUNTIFS(Votaciones!$A$2:$A$346,B$31,Votaciones!$B$2:$B$346,$M36,Votaciones!$D$2:$D$346,"Consenso")&gt;0,"●",IF(COUNTIFS(Votaciones!$A$2:$A$346,B$31,Votaciones!$B$2:$B$346,$M36,Votaciones!$D$2:$D$346,"Disenso restrictivo")&gt;0,"▲",IF(COUNTIFS(Votaciones!$A$2:$A$346,B$31,Votaciones!$B$2:$B$346,$M36,Votaciones!$D$2:$D$346,"Disenso acomodaticio")&gt;0,"▼","?"))),IF(COUNTIFS(Participacion_Junta!$A$2:$A$346,B$31,Participacion_Junta!$B$2:$B$346,$M36)&gt;0,"○","?"))))</f>
        <v/>
      </c>
      <c r="C36" s="152" t="str">
        <f>IF($A36="","",IF(C$31="","",IF(COUNTIFS(Votaciones!$A$2:$A$346,C$31,Votaciones!$B$2:$B$346,$M36)&gt;0,IF(COUNTIFS(Votaciones!$A$2:$A$346,C$31,Votaciones!$B$2:$B$346,$M36,Votaciones!$D$2:$D$346,"Consenso")&gt;0,"●",IF(COUNTIFS(Votaciones!$A$2:$A$346,C$31,Votaciones!$B$2:$B$346,$M36,Votaciones!$D$2:$D$346,"Disenso restrictivo")&gt;0,"▲",IF(COUNTIFS(Votaciones!$A$2:$A$346,C$31,Votaciones!$B$2:$B$346,$M36,Votaciones!$D$2:$D$346,"Disenso acomodaticio")&gt;0,"▼","?"))),IF(COUNTIFS(Participacion_Junta!$A$2:$A$346,C$31,Participacion_Junta!$B$2:$B$346,$M36)&gt;0,"○","?"))))</f>
        <v/>
      </c>
      <c r="D36" s="152" t="str">
        <f>IF($A36="","",IF(D$31="","",IF(COUNTIFS(Votaciones!$A$2:$A$346,D$31,Votaciones!$B$2:$B$346,$M36)&gt;0,IF(COUNTIFS(Votaciones!$A$2:$A$346,D$31,Votaciones!$B$2:$B$346,$M36,Votaciones!$D$2:$D$346,"Consenso")&gt;0,"●",IF(COUNTIFS(Votaciones!$A$2:$A$346,D$31,Votaciones!$B$2:$B$346,$M36,Votaciones!$D$2:$D$346,"Disenso restrictivo")&gt;0,"▲",IF(COUNTIFS(Votaciones!$A$2:$A$346,D$31,Votaciones!$B$2:$B$346,$M36,Votaciones!$D$2:$D$346,"Disenso acomodaticio")&gt;0,"▼","?"))),IF(COUNTIFS(Participacion_Junta!$A$2:$A$346,D$31,Participacion_Junta!$B$2:$B$346,$M36)&gt;0,"○","?"))))</f>
        <v/>
      </c>
      <c r="E36" s="152" t="str">
        <f>IF($A36="","",IF(E$31="","",IF(COUNTIFS(Votaciones!$A$2:$A$346,E$31,Votaciones!$B$2:$B$346,$M36)&gt;0,IF(COUNTIFS(Votaciones!$A$2:$A$346,E$31,Votaciones!$B$2:$B$346,$M36,Votaciones!$D$2:$D$346,"Consenso")&gt;0,"●",IF(COUNTIFS(Votaciones!$A$2:$A$346,E$31,Votaciones!$B$2:$B$346,$M36,Votaciones!$D$2:$D$346,"Disenso restrictivo")&gt;0,"▲",IF(COUNTIFS(Votaciones!$A$2:$A$346,E$31,Votaciones!$B$2:$B$346,$M36,Votaciones!$D$2:$D$346,"Disenso acomodaticio")&gt;0,"▼","?"))),IF(COUNTIFS(Participacion_Junta!$A$2:$A$346,E$31,Participacion_Junta!$B$2:$B$346,$M36)&gt;0,"○","?"))))</f>
        <v/>
      </c>
      <c r="F36" s="152" t="str">
        <f>IF($A36="","",IF(F$31="","",IF(COUNTIFS(Votaciones!$A$2:$A$346,F$31,Votaciones!$B$2:$B$346,$M36)&gt;0,IF(COUNTIFS(Votaciones!$A$2:$A$346,F$31,Votaciones!$B$2:$B$346,$M36,Votaciones!$D$2:$D$346,"Consenso")&gt;0,"●",IF(COUNTIFS(Votaciones!$A$2:$A$346,F$31,Votaciones!$B$2:$B$346,$M36,Votaciones!$D$2:$D$346,"Disenso restrictivo")&gt;0,"▲",IF(COUNTIFS(Votaciones!$A$2:$A$346,F$31,Votaciones!$B$2:$B$346,$M36,Votaciones!$D$2:$D$346,"Disenso acomodaticio")&gt;0,"▼","?"))),IF(COUNTIFS(Participacion_Junta!$A$2:$A$346,F$31,Participacion_Junta!$B$2:$B$346,$M36)&gt;0,"○","?"))))</f>
        <v/>
      </c>
      <c r="G36" s="159" t="str">
        <f>IF($A36="","",IF(G$31="","",IF(COUNTIFS(Votaciones!$A$2:$A$346,G$31,Votaciones!$B$2:$B$346,$M36)&gt;0,IF(COUNTIFS(Votaciones!$A$2:$A$346,G$31,Votaciones!$B$2:$B$346,$M36,Votaciones!$D$2:$D$346,"Consenso")&gt;0,"●",IF(COUNTIFS(Votaciones!$A$2:$A$346,G$31,Votaciones!$B$2:$B$346,$M36,Votaciones!$D$2:$D$346,"Disenso restrictivo")&gt;0,"▲",IF(COUNTIFS(Votaciones!$A$2:$A$346,G$31,Votaciones!$B$2:$B$346,$M36,Votaciones!$D$2:$D$346,"Disenso acomodaticio")&gt;0,"▼","?"))),IF(COUNTIFS(Participacion_Junta!$A$2:$A$346,G$31,Participacion_Junta!$B$2:$B$346,$M36)&gt;0,"○","?"))))</f>
        <v/>
      </c>
      <c r="H36" s="152" t="str">
        <f>IF($A36="","",IF(H$31="","",IF(COUNTIFS(Votaciones!$A$2:$A$346,H$31,Votaciones!$B$2:$B$346,$M36)&gt;0,IF(COUNTIFS(Votaciones!$A$2:$A$346,H$31,Votaciones!$B$2:$B$346,$M36,Votaciones!$D$2:$D$346,"Consenso")&gt;0,"●",IF(COUNTIFS(Votaciones!$A$2:$A$346,H$31,Votaciones!$B$2:$B$346,$M36,Votaciones!$D$2:$D$346,"Disenso restrictivo")&gt;0,"▲",IF(COUNTIFS(Votaciones!$A$2:$A$346,H$31,Votaciones!$B$2:$B$346,$M36,Votaciones!$D$2:$D$346,"Disenso acomodaticio")&gt;0,"▼","?"))),IF(COUNTIFS(Participacion_Junta!$A$2:$A$346,H$31,Participacion_Junta!$B$2:$B$346,$M36)&gt;0,"○","?"))))</f>
        <v/>
      </c>
      <c r="I36" s="152" t="str">
        <f>IF($A36="","",IF(I$31="","",IF(COUNTIFS(Votaciones!$A$2:$A$346,I$31,Votaciones!$B$2:$B$346,$M36)&gt;0,IF(COUNTIFS(Votaciones!$A$2:$A$346,I$31,Votaciones!$B$2:$B$346,$M36,Votaciones!$D$2:$D$346,"Consenso")&gt;0,"●",IF(COUNTIFS(Votaciones!$A$2:$A$346,I$31,Votaciones!$B$2:$B$346,$M36,Votaciones!$D$2:$D$346,"Disenso restrictivo")&gt;0,"▲",IF(COUNTIFS(Votaciones!$A$2:$A$346,I$31,Votaciones!$B$2:$B$346,$M36,Votaciones!$D$2:$D$346,"Disenso acomodaticio")&gt;0,"▼","?"))),IF(COUNTIFS(Participacion_Junta!$A$2:$A$346,I$31,Participacion_Junta!$B$2:$B$346,$M36)&gt;0,"○","?"))))</f>
        <v/>
      </c>
      <c r="J36" s="152" t="str">
        <f>IF($A36="","",IF(J$31="","",IF(COUNTIFS(Votaciones!$A$2:$A$346,J$31,Votaciones!$B$2:$B$346,$M36)&gt;0,IF(COUNTIFS(Votaciones!$A$2:$A$346,J$31,Votaciones!$B$2:$B$346,$M36,Votaciones!$D$2:$D$346,"Consenso")&gt;0,"●",IF(COUNTIFS(Votaciones!$A$2:$A$346,J$31,Votaciones!$B$2:$B$346,$M36,Votaciones!$D$2:$D$346,"Disenso restrictivo")&gt;0,"▲",IF(COUNTIFS(Votaciones!$A$2:$A$346,J$31,Votaciones!$B$2:$B$346,$M36,Votaciones!$D$2:$D$346,"Disenso acomodaticio")&gt;0,"▼","?"))),IF(COUNTIFS(Participacion_Junta!$A$2:$A$346,J$31,Participacion_Junta!$B$2:$B$346,$M36)&gt;0,"○","?"))))</f>
        <v/>
      </c>
      <c r="K36" s="152" t="str">
        <f>IF($A36="","",IF(K$31="","",IF(COUNTIFS(Votaciones!$A$2:$A$346,K$31,Votaciones!$B$2:$B$346,$M36)&gt;0,IF(COUNTIFS(Votaciones!$A$2:$A$346,K$31,Votaciones!$B$2:$B$346,$M36,Votaciones!$D$2:$D$346,"Consenso")&gt;0,"●",IF(COUNTIFS(Votaciones!$A$2:$A$346,K$31,Votaciones!$B$2:$B$346,$M36,Votaciones!$D$2:$D$346,"Disenso restrictivo")&gt;0,"▲",IF(COUNTIFS(Votaciones!$A$2:$A$346,K$31,Votaciones!$B$2:$B$346,$M36,Votaciones!$D$2:$D$346,"Disenso acomodaticio")&gt;0,"▼","?"))),IF(COUNTIFS(Participacion_Junta!$A$2:$A$346,K$31,Participacion_Junta!$B$2:$B$346,$M36)&gt;0,"○","?"))))</f>
        <v/>
      </c>
      <c r="L36" s="160" t="str">
        <f>IF($A36="","",IF(L$31="","",IF(COUNTIFS(Votaciones!$A$2:$A$346,L$31,Votaciones!$B$2:$B$346,$M36)&gt;0,IF(COUNTIFS(Votaciones!$A$2:$A$346,L$31,Votaciones!$B$2:$B$346,$M36,Votaciones!$D$2:$D$346,"Consenso")&gt;0,"●",IF(COUNTIFS(Votaciones!$A$2:$A$346,L$31,Votaciones!$B$2:$B$346,$M36,Votaciones!$D$2:$D$346,"Disenso restrictivo")&gt;0,"▲",IF(COUNTIFS(Votaciones!$A$2:$A$346,L$31,Votaciones!$B$2:$B$346,$M36,Votaciones!$D$2:$D$346,"Disenso acomodaticio")&gt;0,"▼","?"))),IF(COUNTIFS(Participacion_Junta!$A$2:$A$346,L$31,Participacion_Junta!$B$2:$B$346,$M36)&gt;0,"○","?"))))</f>
        <v/>
      </c>
      <c r="M36" t="str">
        <f>IFERROR(INDEX($C$351:$C$586,MATCH($X$2,$A$351:$A$586,0)),"")</f>
        <v/>
      </c>
      <c r="Z36" t="s">
        <v>87</v>
      </c>
      <c r="AA36" s="94">
        <v>38163</v>
      </c>
    </row>
    <row r="37" spans="1:27" ht="22.95" customHeight="1">
      <c r="A37" s="24" t="str">
        <f>IF($M37="","",IFERROR(INDEX(Personas!$B$2:$B$30,MATCH($M37,Personas!$A$2:$A$30,0)),"?"))</f>
        <v/>
      </c>
      <c r="B37" s="161" t="str">
        <f>IF($A37="","",IF(B$31="","",IF(COUNTIFS(Votaciones!$A$2:$A$346,B$31,Votaciones!$B$2:$B$346,$M37)&gt;0,IF(COUNTIFS(Votaciones!$A$2:$A$346,B$31,Votaciones!$B$2:$B$346,$M37,Votaciones!$D$2:$D$346,"Consenso")&gt;0,"●",IF(COUNTIFS(Votaciones!$A$2:$A$346,B$31,Votaciones!$B$2:$B$346,$M37,Votaciones!$D$2:$D$346,"Disenso restrictivo")&gt;0,"▲",IF(COUNTIFS(Votaciones!$A$2:$A$346,B$31,Votaciones!$B$2:$B$346,$M37,Votaciones!$D$2:$D$346,"Disenso acomodaticio")&gt;0,"▼","?"))),IF(COUNTIFS(Participacion_Junta!$A$2:$A$346,B$31,Participacion_Junta!$B$2:$B$346,$M37)&gt;0,"○","?"))))</f>
        <v/>
      </c>
      <c r="C37" s="152" t="str">
        <f>IF($A37="","",IF(C$31="","",IF(COUNTIFS(Votaciones!$A$2:$A$346,C$31,Votaciones!$B$2:$B$346,$M37)&gt;0,IF(COUNTIFS(Votaciones!$A$2:$A$346,C$31,Votaciones!$B$2:$B$346,$M37,Votaciones!$D$2:$D$346,"Consenso")&gt;0,"●",IF(COUNTIFS(Votaciones!$A$2:$A$346,C$31,Votaciones!$B$2:$B$346,$M37,Votaciones!$D$2:$D$346,"Disenso restrictivo")&gt;0,"▲",IF(COUNTIFS(Votaciones!$A$2:$A$346,C$31,Votaciones!$B$2:$B$346,$M37,Votaciones!$D$2:$D$346,"Disenso acomodaticio")&gt;0,"▼","?"))),IF(COUNTIFS(Participacion_Junta!$A$2:$A$346,C$31,Participacion_Junta!$B$2:$B$346,$M37)&gt;0,"○","?"))))</f>
        <v/>
      </c>
      <c r="D37" s="152" t="str">
        <f>IF($A37="","",IF(D$31="","",IF(COUNTIFS(Votaciones!$A$2:$A$346,D$31,Votaciones!$B$2:$B$346,$M37)&gt;0,IF(COUNTIFS(Votaciones!$A$2:$A$346,D$31,Votaciones!$B$2:$B$346,$M37,Votaciones!$D$2:$D$346,"Consenso")&gt;0,"●",IF(COUNTIFS(Votaciones!$A$2:$A$346,D$31,Votaciones!$B$2:$B$346,$M37,Votaciones!$D$2:$D$346,"Disenso restrictivo")&gt;0,"▲",IF(COUNTIFS(Votaciones!$A$2:$A$346,D$31,Votaciones!$B$2:$B$346,$M37,Votaciones!$D$2:$D$346,"Disenso acomodaticio")&gt;0,"▼","?"))),IF(COUNTIFS(Participacion_Junta!$A$2:$A$346,D$31,Participacion_Junta!$B$2:$B$346,$M37)&gt;0,"○","?"))))</f>
        <v/>
      </c>
      <c r="E37" s="152" t="str">
        <f>IF($A37="","",IF(E$31="","",IF(COUNTIFS(Votaciones!$A$2:$A$346,E$31,Votaciones!$B$2:$B$346,$M37)&gt;0,IF(COUNTIFS(Votaciones!$A$2:$A$346,E$31,Votaciones!$B$2:$B$346,$M37,Votaciones!$D$2:$D$346,"Consenso")&gt;0,"●",IF(COUNTIFS(Votaciones!$A$2:$A$346,E$31,Votaciones!$B$2:$B$346,$M37,Votaciones!$D$2:$D$346,"Disenso restrictivo")&gt;0,"▲",IF(COUNTIFS(Votaciones!$A$2:$A$346,E$31,Votaciones!$B$2:$B$346,$M37,Votaciones!$D$2:$D$346,"Disenso acomodaticio")&gt;0,"▼","?"))),IF(COUNTIFS(Participacion_Junta!$A$2:$A$346,E$31,Participacion_Junta!$B$2:$B$346,$M37)&gt;0,"○","?"))))</f>
        <v/>
      </c>
      <c r="F37" s="152" t="str">
        <f>IF($A37="","",IF(F$31="","",IF(COUNTIFS(Votaciones!$A$2:$A$346,F$31,Votaciones!$B$2:$B$346,$M37)&gt;0,IF(COUNTIFS(Votaciones!$A$2:$A$346,F$31,Votaciones!$B$2:$B$346,$M37,Votaciones!$D$2:$D$346,"Consenso")&gt;0,"●",IF(COUNTIFS(Votaciones!$A$2:$A$346,F$31,Votaciones!$B$2:$B$346,$M37,Votaciones!$D$2:$D$346,"Disenso restrictivo")&gt;0,"▲",IF(COUNTIFS(Votaciones!$A$2:$A$346,F$31,Votaciones!$B$2:$B$346,$M37,Votaciones!$D$2:$D$346,"Disenso acomodaticio")&gt;0,"▼","?"))),IF(COUNTIFS(Participacion_Junta!$A$2:$A$346,F$31,Participacion_Junta!$B$2:$B$346,$M37)&gt;0,"○","?"))))</f>
        <v/>
      </c>
      <c r="G37" s="159" t="str">
        <f>IF($A37="","",IF(G$31="","",IF(COUNTIFS(Votaciones!$A$2:$A$346,G$31,Votaciones!$B$2:$B$346,$M37)&gt;0,IF(COUNTIFS(Votaciones!$A$2:$A$346,G$31,Votaciones!$B$2:$B$346,$M37,Votaciones!$D$2:$D$346,"Consenso")&gt;0,"●",IF(COUNTIFS(Votaciones!$A$2:$A$346,G$31,Votaciones!$B$2:$B$346,$M37,Votaciones!$D$2:$D$346,"Disenso restrictivo")&gt;0,"▲",IF(COUNTIFS(Votaciones!$A$2:$A$346,G$31,Votaciones!$B$2:$B$346,$M37,Votaciones!$D$2:$D$346,"Disenso acomodaticio")&gt;0,"▼","?"))),IF(COUNTIFS(Participacion_Junta!$A$2:$A$346,G$31,Participacion_Junta!$B$2:$B$346,$M37)&gt;0,"○","?"))))</f>
        <v/>
      </c>
      <c r="H37" s="152" t="str">
        <f>IF($A37="","",IF(H$31="","",IF(COUNTIFS(Votaciones!$A$2:$A$346,H$31,Votaciones!$B$2:$B$346,$M37)&gt;0,IF(COUNTIFS(Votaciones!$A$2:$A$346,H$31,Votaciones!$B$2:$B$346,$M37,Votaciones!$D$2:$D$346,"Consenso")&gt;0,"●",IF(COUNTIFS(Votaciones!$A$2:$A$346,H$31,Votaciones!$B$2:$B$346,$M37,Votaciones!$D$2:$D$346,"Disenso restrictivo")&gt;0,"▲",IF(COUNTIFS(Votaciones!$A$2:$A$346,H$31,Votaciones!$B$2:$B$346,$M37,Votaciones!$D$2:$D$346,"Disenso acomodaticio")&gt;0,"▼","?"))),IF(COUNTIFS(Participacion_Junta!$A$2:$A$346,H$31,Participacion_Junta!$B$2:$B$346,$M37)&gt;0,"○","?"))))</f>
        <v/>
      </c>
      <c r="I37" s="152" t="str">
        <f>IF($A37="","",IF(I$31="","",IF(COUNTIFS(Votaciones!$A$2:$A$346,I$31,Votaciones!$B$2:$B$346,$M37)&gt;0,IF(COUNTIFS(Votaciones!$A$2:$A$346,I$31,Votaciones!$B$2:$B$346,$M37,Votaciones!$D$2:$D$346,"Consenso")&gt;0,"●",IF(COUNTIFS(Votaciones!$A$2:$A$346,I$31,Votaciones!$B$2:$B$346,$M37,Votaciones!$D$2:$D$346,"Disenso restrictivo")&gt;0,"▲",IF(COUNTIFS(Votaciones!$A$2:$A$346,I$31,Votaciones!$B$2:$B$346,$M37,Votaciones!$D$2:$D$346,"Disenso acomodaticio")&gt;0,"▼","?"))),IF(COUNTIFS(Participacion_Junta!$A$2:$A$346,I$31,Participacion_Junta!$B$2:$B$346,$M37)&gt;0,"○","?"))))</f>
        <v/>
      </c>
      <c r="J37" s="152" t="str">
        <f>IF($A37="","",IF(J$31="","",IF(COUNTIFS(Votaciones!$A$2:$A$346,J$31,Votaciones!$B$2:$B$346,$M37)&gt;0,IF(COUNTIFS(Votaciones!$A$2:$A$346,J$31,Votaciones!$B$2:$B$346,$M37,Votaciones!$D$2:$D$346,"Consenso")&gt;0,"●",IF(COUNTIFS(Votaciones!$A$2:$A$346,J$31,Votaciones!$B$2:$B$346,$M37,Votaciones!$D$2:$D$346,"Disenso restrictivo")&gt;0,"▲",IF(COUNTIFS(Votaciones!$A$2:$A$346,J$31,Votaciones!$B$2:$B$346,$M37,Votaciones!$D$2:$D$346,"Disenso acomodaticio")&gt;0,"▼","?"))),IF(COUNTIFS(Participacion_Junta!$A$2:$A$346,J$31,Participacion_Junta!$B$2:$B$346,$M37)&gt;0,"○","?"))))</f>
        <v/>
      </c>
      <c r="K37" s="152" t="str">
        <f>IF($A37="","",IF(K$31="","",IF(COUNTIFS(Votaciones!$A$2:$A$346,K$31,Votaciones!$B$2:$B$346,$M37)&gt;0,IF(COUNTIFS(Votaciones!$A$2:$A$346,K$31,Votaciones!$B$2:$B$346,$M37,Votaciones!$D$2:$D$346,"Consenso")&gt;0,"●",IF(COUNTIFS(Votaciones!$A$2:$A$346,K$31,Votaciones!$B$2:$B$346,$M37,Votaciones!$D$2:$D$346,"Disenso restrictivo")&gt;0,"▲",IF(COUNTIFS(Votaciones!$A$2:$A$346,K$31,Votaciones!$B$2:$B$346,$M37,Votaciones!$D$2:$D$346,"Disenso acomodaticio")&gt;0,"▼","?"))),IF(COUNTIFS(Participacion_Junta!$A$2:$A$346,K$31,Participacion_Junta!$B$2:$B$346,$M37)&gt;0,"○","?"))))</f>
        <v/>
      </c>
      <c r="L37" s="160" t="str">
        <f>IF($A37="","",IF(L$31="","",IF(COUNTIFS(Votaciones!$A$2:$A$346,L$31,Votaciones!$B$2:$B$346,$M37)&gt;0,IF(COUNTIFS(Votaciones!$A$2:$A$346,L$31,Votaciones!$B$2:$B$346,$M37,Votaciones!$D$2:$D$346,"Consenso")&gt;0,"●",IF(COUNTIFS(Votaciones!$A$2:$A$346,L$31,Votaciones!$B$2:$B$346,$M37,Votaciones!$D$2:$D$346,"Disenso restrictivo")&gt;0,"▲",IF(COUNTIFS(Votaciones!$A$2:$A$346,L$31,Votaciones!$B$2:$B$346,$M37,Votaciones!$D$2:$D$346,"Disenso acomodaticio")&gt;0,"▼","?"))),IF(COUNTIFS(Participacion_Junta!$A$2:$A$346,L$31,Participacion_Junta!$B$2:$B$346,$M37)&gt;0,"○","?"))))</f>
        <v/>
      </c>
      <c r="M37" t="str">
        <f>IFERROR(INDEX($D$351:$D$586,MATCH($X$2,$A$351:$A$586,0)),"")</f>
        <v/>
      </c>
      <c r="Z37" t="s">
        <v>89</v>
      </c>
      <c r="AA37" s="94">
        <v>38191</v>
      </c>
    </row>
    <row r="38" spans="1:27" ht="22.95" customHeight="1">
      <c r="A38" s="24" t="str">
        <f>IF($M38="","",IFERROR(INDEX(Personas!$B$2:$B$30,MATCH($M38,Personas!$A$2:$A$30,0)),"?"))</f>
        <v/>
      </c>
      <c r="B38" s="161" t="str">
        <f>IF($A38="","",IF(B$31="","",IF(COUNTIFS(Votaciones!$A$2:$A$346,B$31,Votaciones!$B$2:$B$346,$M38)&gt;0,IF(COUNTIFS(Votaciones!$A$2:$A$346,B$31,Votaciones!$B$2:$B$346,$M38,Votaciones!$D$2:$D$346,"Consenso")&gt;0,"●",IF(COUNTIFS(Votaciones!$A$2:$A$346,B$31,Votaciones!$B$2:$B$346,$M38,Votaciones!$D$2:$D$346,"Disenso restrictivo")&gt;0,"▲",IF(COUNTIFS(Votaciones!$A$2:$A$346,B$31,Votaciones!$B$2:$B$346,$M38,Votaciones!$D$2:$D$346,"Disenso acomodaticio")&gt;0,"▼","?"))),IF(COUNTIFS(Participacion_Junta!$A$2:$A$346,B$31,Participacion_Junta!$B$2:$B$346,$M38)&gt;0,"○","?"))))</f>
        <v/>
      </c>
      <c r="C38" s="152" t="str">
        <f>IF($A38="","",IF(C$31="","",IF(COUNTIFS(Votaciones!$A$2:$A$346,C$31,Votaciones!$B$2:$B$346,$M38)&gt;0,IF(COUNTIFS(Votaciones!$A$2:$A$346,C$31,Votaciones!$B$2:$B$346,$M38,Votaciones!$D$2:$D$346,"Consenso")&gt;0,"●",IF(COUNTIFS(Votaciones!$A$2:$A$346,C$31,Votaciones!$B$2:$B$346,$M38,Votaciones!$D$2:$D$346,"Disenso restrictivo")&gt;0,"▲",IF(COUNTIFS(Votaciones!$A$2:$A$346,C$31,Votaciones!$B$2:$B$346,$M38,Votaciones!$D$2:$D$346,"Disenso acomodaticio")&gt;0,"▼","?"))),IF(COUNTIFS(Participacion_Junta!$A$2:$A$346,C$31,Participacion_Junta!$B$2:$B$346,$M38)&gt;0,"○","?"))))</f>
        <v/>
      </c>
      <c r="D38" s="152" t="str">
        <f>IF($A38="","",IF(D$31="","",IF(COUNTIFS(Votaciones!$A$2:$A$346,D$31,Votaciones!$B$2:$B$346,$M38)&gt;0,IF(COUNTIFS(Votaciones!$A$2:$A$346,D$31,Votaciones!$B$2:$B$346,$M38,Votaciones!$D$2:$D$346,"Consenso")&gt;0,"●",IF(COUNTIFS(Votaciones!$A$2:$A$346,D$31,Votaciones!$B$2:$B$346,$M38,Votaciones!$D$2:$D$346,"Disenso restrictivo")&gt;0,"▲",IF(COUNTIFS(Votaciones!$A$2:$A$346,D$31,Votaciones!$B$2:$B$346,$M38,Votaciones!$D$2:$D$346,"Disenso acomodaticio")&gt;0,"▼","?"))),IF(COUNTIFS(Participacion_Junta!$A$2:$A$346,D$31,Participacion_Junta!$B$2:$B$346,$M38)&gt;0,"○","?"))))</f>
        <v/>
      </c>
      <c r="E38" s="152" t="str">
        <f>IF($A38="","",IF(E$31="","",IF(COUNTIFS(Votaciones!$A$2:$A$346,E$31,Votaciones!$B$2:$B$346,$M38)&gt;0,IF(COUNTIFS(Votaciones!$A$2:$A$346,E$31,Votaciones!$B$2:$B$346,$M38,Votaciones!$D$2:$D$346,"Consenso")&gt;0,"●",IF(COUNTIFS(Votaciones!$A$2:$A$346,E$31,Votaciones!$B$2:$B$346,$M38,Votaciones!$D$2:$D$346,"Disenso restrictivo")&gt;0,"▲",IF(COUNTIFS(Votaciones!$A$2:$A$346,E$31,Votaciones!$B$2:$B$346,$M38,Votaciones!$D$2:$D$346,"Disenso acomodaticio")&gt;0,"▼","?"))),IF(COUNTIFS(Participacion_Junta!$A$2:$A$346,E$31,Participacion_Junta!$B$2:$B$346,$M38)&gt;0,"○","?"))))</f>
        <v/>
      </c>
      <c r="F38" s="152" t="str">
        <f>IF($A38="","",IF(F$31="","",IF(COUNTIFS(Votaciones!$A$2:$A$346,F$31,Votaciones!$B$2:$B$346,$M38)&gt;0,IF(COUNTIFS(Votaciones!$A$2:$A$346,F$31,Votaciones!$B$2:$B$346,$M38,Votaciones!$D$2:$D$346,"Consenso")&gt;0,"●",IF(COUNTIFS(Votaciones!$A$2:$A$346,F$31,Votaciones!$B$2:$B$346,$M38,Votaciones!$D$2:$D$346,"Disenso restrictivo")&gt;0,"▲",IF(COUNTIFS(Votaciones!$A$2:$A$346,F$31,Votaciones!$B$2:$B$346,$M38,Votaciones!$D$2:$D$346,"Disenso acomodaticio")&gt;0,"▼","?"))),IF(COUNTIFS(Participacion_Junta!$A$2:$A$346,F$31,Participacion_Junta!$B$2:$B$346,$M38)&gt;0,"○","?"))))</f>
        <v/>
      </c>
      <c r="G38" s="159" t="str">
        <f>IF($A38="","",IF(G$31="","",IF(COUNTIFS(Votaciones!$A$2:$A$346,G$31,Votaciones!$B$2:$B$346,$M38)&gt;0,IF(COUNTIFS(Votaciones!$A$2:$A$346,G$31,Votaciones!$B$2:$B$346,$M38,Votaciones!$D$2:$D$346,"Consenso")&gt;0,"●",IF(COUNTIFS(Votaciones!$A$2:$A$346,G$31,Votaciones!$B$2:$B$346,$M38,Votaciones!$D$2:$D$346,"Disenso restrictivo")&gt;0,"▲",IF(COUNTIFS(Votaciones!$A$2:$A$346,G$31,Votaciones!$B$2:$B$346,$M38,Votaciones!$D$2:$D$346,"Disenso acomodaticio")&gt;0,"▼","?"))),IF(COUNTIFS(Participacion_Junta!$A$2:$A$346,G$31,Participacion_Junta!$B$2:$B$346,$M38)&gt;0,"○","?"))))</f>
        <v/>
      </c>
      <c r="H38" s="152" t="str">
        <f>IF($A38="","",IF(H$31="","",IF(COUNTIFS(Votaciones!$A$2:$A$346,H$31,Votaciones!$B$2:$B$346,$M38)&gt;0,IF(COUNTIFS(Votaciones!$A$2:$A$346,H$31,Votaciones!$B$2:$B$346,$M38,Votaciones!$D$2:$D$346,"Consenso")&gt;0,"●",IF(COUNTIFS(Votaciones!$A$2:$A$346,H$31,Votaciones!$B$2:$B$346,$M38,Votaciones!$D$2:$D$346,"Disenso restrictivo")&gt;0,"▲",IF(COUNTIFS(Votaciones!$A$2:$A$346,H$31,Votaciones!$B$2:$B$346,$M38,Votaciones!$D$2:$D$346,"Disenso acomodaticio")&gt;0,"▼","?"))),IF(COUNTIFS(Participacion_Junta!$A$2:$A$346,H$31,Participacion_Junta!$B$2:$B$346,$M38)&gt;0,"○","?"))))</f>
        <v/>
      </c>
      <c r="I38" s="152" t="str">
        <f>IF($A38="","",IF(I$31="","",IF(COUNTIFS(Votaciones!$A$2:$A$346,I$31,Votaciones!$B$2:$B$346,$M38)&gt;0,IF(COUNTIFS(Votaciones!$A$2:$A$346,I$31,Votaciones!$B$2:$B$346,$M38,Votaciones!$D$2:$D$346,"Consenso")&gt;0,"●",IF(COUNTIFS(Votaciones!$A$2:$A$346,I$31,Votaciones!$B$2:$B$346,$M38,Votaciones!$D$2:$D$346,"Disenso restrictivo")&gt;0,"▲",IF(COUNTIFS(Votaciones!$A$2:$A$346,I$31,Votaciones!$B$2:$B$346,$M38,Votaciones!$D$2:$D$346,"Disenso acomodaticio")&gt;0,"▼","?"))),IF(COUNTIFS(Participacion_Junta!$A$2:$A$346,I$31,Participacion_Junta!$B$2:$B$346,$M38)&gt;0,"○","?"))))</f>
        <v/>
      </c>
      <c r="J38" s="152" t="str">
        <f>IF($A38="","",IF(J$31="","",IF(COUNTIFS(Votaciones!$A$2:$A$346,J$31,Votaciones!$B$2:$B$346,$M38)&gt;0,IF(COUNTIFS(Votaciones!$A$2:$A$346,J$31,Votaciones!$B$2:$B$346,$M38,Votaciones!$D$2:$D$346,"Consenso")&gt;0,"●",IF(COUNTIFS(Votaciones!$A$2:$A$346,J$31,Votaciones!$B$2:$B$346,$M38,Votaciones!$D$2:$D$346,"Disenso restrictivo")&gt;0,"▲",IF(COUNTIFS(Votaciones!$A$2:$A$346,J$31,Votaciones!$B$2:$B$346,$M38,Votaciones!$D$2:$D$346,"Disenso acomodaticio")&gt;0,"▼","?"))),IF(COUNTIFS(Participacion_Junta!$A$2:$A$346,J$31,Participacion_Junta!$B$2:$B$346,$M38)&gt;0,"○","?"))))</f>
        <v/>
      </c>
      <c r="K38" s="152" t="str">
        <f>IF($A38="","",IF(K$31="","",IF(COUNTIFS(Votaciones!$A$2:$A$346,K$31,Votaciones!$B$2:$B$346,$M38)&gt;0,IF(COUNTIFS(Votaciones!$A$2:$A$346,K$31,Votaciones!$B$2:$B$346,$M38,Votaciones!$D$2:$D$346,"Consenso")&gt;0,"●",IF(COUNTIFS(Votaciones!$A$2:$A$346,K$31,Votaciones!$B$2:$B$346,$M38,Votaciones!$D$2:$D$346,"Disenso restrictivo")&gt;0,"▲",IF(COUNTIFS(Votaciones!$A$2:$A$346,K$31,Votaciones!$B$2:$B$346,$M38,Votaciones!$D$2:$D$346,"Disenso acomodaticio")&gt;0,"▼","?"))),IF(COUNTIFS(Participacion_Junta!$A$2:$A$346,K$31,Participacion_Junta!$B$2:$B$346,$M38)&gt;0,"○","?"))))</f>
        <v/>
      </c>
      <c r="L38" s="160" t="str">
        <f>IF($A38="","",IF(L$31="","",IF(COUNTIFS(Votaciones!$A$2:$A$346,L$31,Votaciones!$B$2:$B$346,$M38)&gt;0,IF(COUNTIFS(Votaciones!$A$2:$A$346,L$31,Votaciones!$B$2:$B$346,$M38,Votaciones!$D$2:$D$346,"Consenso")&gt;0,"●",IF(COUNTIFS(Votaciones!$A$2:$A$346,L$31,Votaciones!$B$2:$B$346,$M38,Votaciones!$D$2:$D$346,"Disenso restrictivo")&gt;0,"▲",IF(COUNTIFS(Votaciones!$A$2:$A$346,L$31,Votaciones!$B$2:$B$346,$M38,Votaciones!$D$2:$D$346,"Disenso acomodaticio")&gt;0,"▼","?"))),IF(COUNTIFS(Participacion_Junta!$A$2:$A$346,L$31,Participacion_Junta!$B$2:$B$346,$M38)&gt;0,"○","?"))))</f>
        <v/>
      </c>
      <c r="M38" t="str">
        <f>IFERROR(INDEX($E$351:$E$586,MATCH($X$2,$A$351:$A$586,0)),"")</f>
        <v/>
      </c>
      <c r="Z38" t="s">
        <v>91</v>
      </c>
      <c r="AA38" s="94">
        <v>38226</v>
      </c>
    </row>
    <row r="39" spans="1:27" ht="22.95" customHeight="1">
      <c r="A39" s="24" t="str">
        <f>IF($M39="","",IFERROR(INDEX(Personas!$B$2:$B$30,MATCH($M39,Personas!$A$2:$A$30,0)),"?"))</f>
        <v/>
      </c>
      <c r="B39" s="161" t="str">
        <f>IF($A39="","",IF(B$31="","",IF(COUNTIFS(Votaciones!$A$2:$A$346,B$31,Votaciones!$B$2:$B$346,$M39)&gt;0,IF(COUNTIFS(Votaciones!$A$2:$A$346,B$31,Votaciones!$B$2:$B$346,$M39,Votaciones!$D$2:$D$346,"Consenso")&gt;0,"●",IF(COUNTIFS(Votaciones!$A$2:$A$346,B$31,Votaciones!$B$2:$B$346,$M39,Votaciones!$D$2:$D$346,"Disenso restrictivo")&gt;0,"▲",IF(COUNTIFS(Votaciones!$A$2:$A$346,B$31,Votaciones!$B$2:$B$346,$M39,Votaciones!$D$2:$D$346,"Disenso acomodaticio")&gt;0,"▼","?"))),IF(COUNTIFS(Participacion_Junta!$A$2:$A$346,B$31,Participacion_Junta!$B$2:$B$346,$M39)&gt;0,"○","?"))))</f>
        <v/>
      </c>
      <c r="C39" s="152" t="str">
        <f>IF($A39="","",IF(C$31="","",IF(COUNTIFS(Votaciones!$A$2:$A$346,C$31,Votaciones!$B$2:$B$346,$M39)&gt;0,IF(COUNTIFS(Votaciones!$A$2:$A$346,C$31,Votaciones!$B$2:$B$346,$M39,Votaciones!$D$2:$D$346,"Consenso")&gt;0,"●",IF(COUNTIFS(Votaciones!$A$2:$A$346,C$31,Votaciones!$B$2:$B$346,$M39,Votaciones!$D$2:$D$346,"Disenso restrictivo")&gt;0,"▲",IF(COUNTIFS(Votaciones!$A$2:$A$346,C$31,Votaciones!$B$2:$B$346,$M39,Votaciones!$D$2:$D$346,"Disenso acomodaticio")&gt;0,"▼","?"))),IF(COUNTIFS(Participacion_Junta!$A$2:$A$346,C$31,Participacion_Junta!$B$2:$B$346,$M39)&gt;0,"○","?"))))</f>
        <v/>
      </c>
      <c r="D39" s="152" t="str">
        <f>IF($A39="","",IF(D$31="","",IF(COUNTIFS(Votaciones!$A$2:$A$346,D$31,Votaciones!$B$2:$B$346,$M39)&gt;0,IF(COUNTIFS(Votaciones!$A$2:$A$346,D$31,Votaciones!$B$2:$B$346,$M39,Votaciones!$D$2:$D$346,"Consenso")&gt;0,"●",IF(COUNTIFS(Votaciones!$A$2:$A$346,D$31,Votaciones!$B$2:$B$346,$M39,Votaciones!$D$2:$D$346,"Disenso restrictivo")&gt;0,"▲",IF(COUNTIFS(Votaciones!$A$2:$A$346,D$31,Votaciones!$B$2:$B$346,$M39,Votaciones!$D$2:$D$346,"Disenso acomodaticio")&gt;0,"▼","?"))),IF(COUNTIFS(Participacion_Junta!$A$2:$A$346,D$31,Participacion_Junta!$B$2:$B$346,$M39)&gt;0,"○","?"))))</f>
        <v/>
      </c>
      <c r="E39" s="152" t="str">
        <f>IF($A39="","",IF(E$31="","",IF(COUNTIFS(Votaciones!$A$2:$A$346,E$31,Votaciones!$B$2:$B$346,$M39)&gt;0,IF(COUNTIFS(Votaciones!$A$2:$A$346,E$31,Votaciones!$B$2:$B$346,$M39,Votaciones!$D$2:$D$346,"Consenso")&gt;0,"●",IF(COUNTIFS(Votaciones!$A$2:$A$346,E$31,Votaciones!$B$2:$B$346,$M39,Votaciones!$D$2:$D$346,"Disenso restrictivo")&gt;0,"▲",IF(COUNTIFS(Votaciones!$A$2:$A$346,E$31,Votaciones!$B$2:$B$346,$M39,Votaciones!$D$2:$D$346,"Disenso acomodaticio")&gt;0,"▼","?"))),IF(COUNTIFS(Participacion_Junta!$A$2:$A$346,E$31,Participacion_Junta!$B$2:$B$346,$M39)&gt;0,"○","?"))))</f>
        <v/>
      </c>
      <c r="F39" s="152" t="str">
        <f>IF($A39="","",IF(F$31="","",IF(COUNTIFS(Votaciones!$A$2:$A$346,F$31,Votaciones!$B$2:$B$346,$M39)&gt;0,IF(COUNTIFS(Votaciones!$A$2:$A$346,F$31,Votaciones!$B$2:$B$346,$M39,Votaciones!$D$2:$D$346,"Consenso")&gt;0,"●",IF(COUNTIFS(Votaciones!$A$2:$A$346,F$31,Votaciones!$B$2:$B$346,$M39,Votaciones!$D$2:$D$346,"Disenso restrictivo")&gt;0,"▲",IF(COUNTIFS(Votaciones!$A$2:$A$346,F$31,Votaciones!$B$2:$B$346,$M39,Votaciones!$D$2:$D$346,"Disenso acomodaticio")&gt;0,"▼","?"))),IF(COUNTIFS(Participacion_Junta!$A$2:$A$346,F$31,Participacion_Junta!$B$2:$B$346,$M39)&gt;0,"○","?"))))</f>
        <v/>
      </c>
      <c r="G39" s="159" t="str">
        <f>IF($A39="","",IF(G$31="","",IF(COUNTIFS(Votaciones!$A$2:$A$346,G$31,Votaciones!$B$2:$B$346,$M39)&gt;0,IF(COUNTIFS(Votaciones!$A$2:$A$346,G$31,Votaciones!$B$2:$B$346,$M39,Votaciones!$D$2:$D$346,"Consenso")&gt;0,"●",IF(COUNTIFS(Votaciones!$A$2:$A$346,G$31,Votaciones!$B$2:$B$346,$M39,Votaciones!$D$2:$D$346,"Disenso restrictivo")&gt;0,"▲",IF(COUNTIFS(Votaciones!$A$2:$A$346,G$31,Votaciones!$B$2:$B$346,$M39,Votaciones!$D$2:$D$346,"Disenso acomodaticio")&gt;0,"▼","?"))),IF(COUNTIFS(Participacion_Junta!$A$2:$A$346,G$31,Participacion_Junta!$B$2:$B$346,$M39)&gt;0,"○","?"))))</f>
        <v/>
      </c>
      <c r="H39" s="152" t="str">
        <f>IF($A39="","",IF(H$31="","",IF(COUNTIFS(Votaciones!$A$2:$A$346,H$31,Votaciones!$B$2:$B$346,$M39)&gt;0,IF(COUNTIFS(Votaciones!$A$2:$A$346,H$31,Votaciones!$B$2:$B$346,$M39,Votaciones!$D$2:$D$346,"Consenso")&gt;0,"●",IF(COUNTIFS(Votaciones!$A$2:$A$346,H$31,Votaciones!$B$2:$B$346,$M39,Votaciones!$D$2:$D$346,"Disenso restrictivo")&gt;0,"▲",IF(COUNTIFS(Votaciones!$A$2:$A$346,H$31,Votaciones!$B$2:$B$346,$M39,Votaciones!$D$2:$D$346,"Disenso acomodaticio")&gt;0,"▼","?"))),IF(COUNTIFS(Participacion_Junta!$A$2:$A$346,H$31,Participacion_Junta!$B$2:$B$346,$M39)&gt;0,"○","?"))))</f>
        <v/>
      </c>
      <c r="I39" s="152" t="str">
        <f>IF($A39="","",IF(I$31="","",IF(COUNTIFS(Votaciones!$A$2:$A$346,I$31,Votaciones!$B$2:$B$346,$M39)&gt;0,IF(COUNTIFS(Votaciones!$A$2:$A$346,I$31,Votaciones!$B$2:$B$346,$M39,Votaciones!$D$2:$D$346,"Consenso")&gt;0,"●",IF(COUNTIFS(Votaciones!$A$2:$A$346,I$31,Votaciones!$B$2:$B$346,$M39,Votaciones!$D$2:$D$346,"Disenso restrictivo")&gt;0,"▲",IF(COUNTIFS(Votaciones!$A$2:$A$346,I$31,Votaciones!$B$2:$B$346,$M39,Votaciones!$D$2:$D$346,"Disenso acomodaticio")&gt;0,"▼","?"))),IF(COUNTIFS(Participacion_Junta!$A$2:$A$346,I$31,Participacion_Junta!$B$2:$B$346,$M39)&gt;0,"○","?"))))</f>
        <v/>
      </c>
      <c r="J39" s="152" t="str">
        <f>IF($A39="","",IF(J$31="","",IF(COUNTIFS(Votaciones!$A$2:$A$346,J$31,Votaciones!$B$2:$B$346,$M39)&gt;0,IF(COUNTIFS(Votaciones!$A$2:$A$346,J$31,Votaciones!$B$2:$B$346,$M39,Votaciones!$D$2:$D$346,"Consenso")&gt;0,"●",IF(COUNTIFS(Votaciones!$A$2:$A$346,J$31,Votaciones!$B$2:$B$346,$M39,Votaciones!$D$2:$D$346,"Disenso restrictivo")&gt;0,"▲",IF(COUNTIFS(Votaciones!$A$2:$A$346,J$31,Votaciones!$B$2:$B$346,$M39,Votaciones!$D$2:$D$346,"Disenso acomodaticio")&gt;0,"▼","?"))),IF(COUNTIFS(Participacion_Junta!$A$2:$A$346,J$31,Participacion_Junta!$B$2:$B$346,$M39)&gt;0,"○","?"))))</f>
        <v/>
      </c>
      <c r="K39" s="152" t="str">
        <f>IF($A39="","",IF(K$31="","",IF(COUNTIFS(Votaciones!$A$2:$A$346,K$31,Votaciones!$B$2:$B$346,$M39)&gt;0,IF(COUNTIFS(Votaciones!$A$2:$A$346,K$31,Votaciones!$B$2:$B$346,$M39,Votaciones!$D$2:$D$346,"Consenso")&gt;0,"●",IF(COUNTIFS(Votaciones!$A$2:$A$346,K$31,Votaciones!$B$2:$B$346,$M39,Votaciones!$D$2:$D$346,"Disenso restrictivo")&gt;0,"▲",IF(COUNTIFS(Votaciones!$A$2:$A$346,K$31,Votaciones!$B$2:$B$346,$M39,Votaciones!$D$2:$D$346,"Disenso acomodaticio")&gt;0,"▼","?"))),IF(COUNTIFS(Participacion_Junta!$A$2:$A$346,K$31,Participacion_Junta!$B$2:$B$346,$M39)&gt;0,"○","?"))))</f>
        <v/>
      </c>
      <c r="L39" s="160" t="str">
        <f>IF($A39="","",IF(L$31="","",IF(COUNTIFS(Votaciones!$A$2:$A$346,L$31,Votaciones!$B$2:$B$346,$M39)&gt;0,IF(COUNTIFS(Votaciones!$A$2:$A$346,L$31,Votaciones!$B$2:$B$346,$M39,Votaciones!$D$2:$D$346,"Consenso")&gt;0,"●",IF(COUNTIFS(Votaciones!$A$2:$A$346,L$31,Votaciones!$B$2:$B$346,$M39,Votaciones!$D$2:$D$346,"Disenso restrictivo")&gt;0,"▲",IF(COUNTIFS(Votaciones!$A$2:$A$346,L$31,Votaciones!$B$2:$B$346,$M39,Votaciones!$D$2:$D$346,"Disenso acomodaticio")&gt;0,"▼","?"))),IF(COUNTIFS(Participacion_Junta!$A$2:$A$346,L$31,Participacion_Junta!$B$2:$B$346,$M39)&gt;0,"○","?"))))</f>
        <v/>
      </c>
      <c r="M39" t="str">
        <f>IFERROR(INDEX($F$351:$F$586,MATCH($X$2,$A$351:$A$586,0)),"")</f>
        <v/>
      </c>
      <c r="Z39" t="s">
        <v>93</v>
      </c>
      <c r="AA39" s="94">
        <v>38254</v>
      </c>
    </row>
    <row r="40" spans="1:27" ht="22.95" customHeight="1">
      <c r="A40" s="24" t="str">
        <f>IF($M40="","",IFERROR(INDEX(Personas!$B$2:$B$30,MATCH($M40,Personas!$A$2:$A$30,0)),"?"))</f>
        <v/>
      </c>
      <c r="B40" s="161" t="str">
        <f>IF($A40="","",IF(B$31="","",IF(COUNTIFS(Votaciones!$A$2:$A$346,B$31,Votaciones!$B$2:$B$346,$M40)&gt;0,IF(COUNTIFS(Votaciones!$A$2:$A$346,B$31,Votaciones!$B$2:$B$346,$M40,Votaciones!$D$2:$D$346,"Consenso")&gt;0,"●",IF(COUNTIFS(Votaciones!$A$2:$A$346,B$31,Votaciones!$B$2:$B$346,$M40,Votaciones!$D$2:$D$346,"Disenso restrictivo")&gt;0,"▲",IF(COUNTIFS(Votaciones!$A$2:$A$346,B$31,Votaciones!$B$2:$B$346,$M40,Votaciones!$D$2:$D$346,"Disenso acomodaticio")&gt;0,"▼","?"))),IF(COUNTIFS(Participacion_Junta!$A$2:$A$346,B$31,Participacion_Junta!$B$2:$B$346,$M40)&gt;0,"○","?"))))</f>
        <v/>
      </c>
      <c r="C40" s="152" t="str">
        <f>IF($A40="","",IF(C$31="","",IF(COUNTIFS(Votaciones!$A$2:$A$346,C$31,Votaciones!$B$2:$B$346,$M40)&gt;0,IF(COUNTIFS(Votaciones!$A$2:$A$346,C$31,Votaciones!$B$2:$B$346,$M40,Votaciones!$D$2:$D$346,"Consenso")&gt;0,"●",IF(COUNTIFS(Votaciones!$A$2:$A$346,C$31,Votaciones!$B$2:$B$346,$M40,Votaciones!$D$2:$D$346,"Disenso restrictivo")&gt;0,"▲",IF(COUNTIFS(Votaciones!$A$2:$A$346,C$31,Votaciones!$B$2:$B$346,$M40,Votaciones!$D$2:$D$346,"Disenso acomodaticio")&gt;0,"▼","?"))),IF(COUNTIFS(Participacion_Junta!$A$2:$A$346,C$31,Participacion_Junta!$B$2:$B$346,$M40)&gt;0,"○","?"))))</f>
        <v/>
      </c>
      <c r="D40" s="152" t="str">
        <f>IF($A40="","",IF(D$31="","",IF(COUNTIFS(Votaciones!$A$2:$A$346,D$31,Votaciones!$B$2:$B$346,$M40)&gt;0,IF(COUNTIFS(Votaciones!$A$2:$A$346,D$31,Votaciones!$B$2:$B$346,$M40,Votaciones!$D$2:$D$346,"Consenso")&gt;0,"●",IF(COUNTIFS(Votaciones!$A$2:$A$346,D$31,Votaciones!$B$2:$B$346,$M40,Votaciones!$D$2:$D$346,"Disenso restrictivo")&gt;0,"▲",IF(COUNTIFS(Votaciones!$A$2:$A$346,D$31,Votaciones!$B$2:$B$346,$M40,Votaciones!$D$2:$D$346,"Disenso acomodaticio")&gt;0,"▼","?"))),IF(COUNTIFS(Participacion_Junta!$A$2:$A$346,D$31,Participacion_Junta!$B$2:$B$346,$M40)&gt;0,"○","?"))))</f>
        <v/>
      </c>
      <c r="E40" s="152" t="str">
        <f>IF($A40="","",IF(E$31="","",IF(COUNTIFS(Votaciones!$A$2:$A$346,E$31,Votaciones!$B$2:$B$346,$M40)&gt;0,IF(COUNTIFS(Votaciones!$A$2:$A$346,E$31,Votaciones!$B$2:$B$346,$M40,Votaciones!$D$2:$D$346,"Consenso")&gt;0,"●",IF(COUNTIFS(Votaciones!$A$2:$A$346,E$31,Votaciones!$B$2:$B$346,$M40,Votaciones!$D$2:$D$346,"Disenso restrictivo")&gt;0,"▲",IF(COUNTIFS(Votaciones!$A$2:$A$346,E$31,Votaciones!$B$2:$B$346,$M40,Votaciones!$D$2:$D$346,"Disenso acomodaticio")&gt;0,"▼","?"))),IF(COUNTIFS(Participacion_Junta!$A$2:$A$346,E$31,Participacion_Junta!$B$2:$B$346,$M40)&gt;0,"○","?"))))</f>
        <v/>
      </c>
      <c r="F40" s="152" t="str">
        <f>IF($A40="","",IF(F$31="","",IF(COUNTIFS(Votaciones!$A$2:$A$346,F$31,Votaciones!$B$2:$B$346,$M40)&gt;0,IF(COUNTIFS(Votaciones!$A$2:$A$346,F$31,Votaciones!$B$2:$B$346,$M40,Votaciones!$D$2:$D$346,"Consenso")&gt;0,"●",IF(COUNTIFS(Votaciones!$A$2:$A$346,F$31,Votaciones!$B$2:$B$346,$M40,Votaciones!$D$2:$D$346,"Disenso restrictivo")&gt;0,"▲",IF(COUNTIFS(Votaciones!$A$2:$A$346,F$31,Votaciones!$B$2:$B$346,$M40,Votaciones!$D$2:$D$346,"Disenso acomodaticio")&gt;0,"▼","?"))),IF(COUNTIFS(Participacion_Junta!$A$2:$A$346,F$31,Participacion_Junta!$B$2:$B$346,$M40)&gt;0,"○","?"))))</f>
        <v/>
      </c>
      <c r="G40" s="159" t="str">
        <f>IF($A40="","",IF(G$31="","",IF(COUNTIFS(Votaciones!$A$2:$A$346,G$31,Votaciones!$B$2:$B$346,$M40)&gt;0,IF(COUNTIFS(Votaciones!$A$2:$A$346,G$31,Votaciones!$B$2:$B$346,$M40,Votaciones!$D$2:$D$346,"Consenso")&gt;0,"●",IF(COUNTIFS(Votaciones!$A$2:$A$346,G$31,Votaciones!$B$2:$B$346,$M40,Votaciones!$D$2:$D$346,"Disenso restrictivo")&gt;0,"▲",IF(COUNTIFS(Votaciones!$A$2:$A$346,G$31,Votaciones!$B$2:$B$346,$M40,Votaciones!$D$2:$D$346,"Disenso acomodaticio")&gt;0,"▼","?"))),IF(COUNTIFS(Participacion_Junta!$A$2:$A$346,G$31,Participacion_Junta!$B$2:$B$346,$M40)&gt;0,"○","?"))))</f>
        <v/>
      </c>
      <c r="H40" s="152" t="str">
        <f>IF($A40="","",IF(H$31="","",IF(COUNTIFS(Votaciones!$A$2:$A$346,H$31,Votaciones!$B$2:$B$346,$M40)&gt;0,IF(COUNTIFS(Votaciones!$A$2:$A$346,H$31,Votaciones!$B$2:$B$346,$M40,Votaciones!$D$2:$D$346,"Consenso")&gt;0,"●",IF(COUNTIFS(Votaciones!$A$2:$A$346,H$31,Votaciones!$B$2:$B$346,$M40,Votaciones!$D$2:$D$346,"Disenso restrictivo")&gt;0,"▲",IF(COUNTIFS(Votaciones!$A$2:$A$346,H$31,Votaciones!$B$2:$B$346,$M40,Votaciones!$D$2:$D$346,"Disenso acomodaticio")&gt;0,"▼","?"))),IF(COUNTIFS(Participacion_Junta!$A$2:$A$346,H$31,Participacion_Junta!$B$2:$B$346,$M40)&gt;0,"○","?"))))</f>
        <v/>
      </c>
      <c r="I40" s="152" t="str">
        <f>IF($A40="","",IF(I$31="","",IF(COUNTIFS(Votaciones!$A$2:$A$346,I$31,Votaciones!$B$2:$B$346,$M40)&gt;0,IF(COUNTIFS(Votaciones!$A$2:$A$346,I$31,Votaciones!$B$2:$B$346,$M40,Votaciones!$D$2:$D$346,"Consenso")&gt;0,"●",IF(COUNTIFS(Votaciones!$A$2:$A$346,I$31,Votaciones!$B$2:$B$346,$M40,Votaciones!$D$2:$D$346,"Disenso restrictivo")&gt;0,"▲",IF(COUNTIFS(Votaciones!$A$2:$A$346,I$31,Votaciones!$B$2:$B$346,$M40,Votaciones!$D$2:$D$346,"Disenso acomodaticio")&gt;0,"▼","?"))),IF(COUNTIFS(Participacion_Junta!$A$2:$A$346,I$31,Participacion_Junta!$B$2:$B$346,$M40)&gt;0,"○","?"))))</f>
        <v/>
      </c>
      <c r="J40" s="152" t="str">
        <f>IF($A40="","",IF(J$31="","",IF(COUNTIFS(Votaciones!$A$2:$A$346,J$31,Votaciones!$B$2:$B$346,$M40)&gt;0,IF(COUNTIFS(Votaciones!$A$2:$A$346,J$31,Votaciones!$B$2:$B$346,$M40,Votaciones!$D$2:$D$346,"Consenso")&gt;0,"●",IF(COUNTIFS(Votaciones!$A$2:$A$346,J$31,Votaciones!$B$2:$B$346,$M40,Votaciones!$D$2:$D$346,"Disenso restrictivo")&gt;0,"▲",IF(COUNTIFS(Votaciones!$A$2:$A$346,J$31,Votaciones!$B$2:$B$346,$M40,Votaciones!$D$2:$D$346,"Disenso acomodaticio")&gt;0,"▼","?"))),IF(COUNTIFS(Participacion_Junta!$A$2:$A$346,J$31,Participacion_Junta!$B$2:$B$346,$M40)&gt;0,"○","?"))))</f>
        <v/>
      </c>
      <c r="K40" s="152" t="str">
        <f>IF($A40="","",IF(K$31="","",IF(COUNTIFS(Votaciones!$A$2:$A$346,K$31,Votaciones!$B$2:$B$346,$M40)&gt;0,IF(COUNTIFS(Votaciones!$A$2:$A$346,K$31,Votaciones!$B$2:$B$346,$M40,Votaciones!$D$2:$D$346,"Consenso")&gt;0,"●",IF(COUNTIFS(Votaciones!$A$2:$A$346,K$31,Votaciones!$B$2:$B$346,$M40,Votaciones!$D$2:$D$346,"Disenso restrictivo")&gt;0,"▲",IF(COUNTIFS(Votaciones!$A$2:$A$346,K$31,Votaciones!$B$2:$B$346,$M40,Votaciones!$D$2:$D$346,"Disenso acomodaticio")&gt;0,"▼","?"))),IF(COUNTIFS(Participacion_Junta!$A$2:$A$346,K$31,Participacion_Junta!$B$2:$B$346,$M40)&gt;0,"○","?"))))</f>
        <v/>
      </c>
      <c r="L40" s="160" t="str">
        <f>IF($A40="","",IF(L$31="","",IF(COUNTIFS(Votaciones!$A$2:$A$346,L$31,Votaciones!$B$2:$B$346,$M40)&gt;0,IF(COUNTIFS(Votaciones!$A$2:$A$346,L$31,Votaciones!$B$2:$B$346,$M40,Votaciones!$D$2:$D$346,"Consenso")&gt;0,"●",IF(COUNTIFS(Votaciones!$A$2:$A$346,L$31,Votaciones!$B$2:$B$346,$M40,Votaciones!$D$2:$D$346,"Disenso restrictivo")&gt;0,"▲",IF(COUNTIFS(Votaciones!$A$2:$A$346,L$31,Votaciones!$B$2:$B$346,$M40,Votaciones!$D$2:$D$346,"Disenso acomodaticio")&gt;0,"▼","?"))),IF(COUNTIFS(Participacion_Junta!$A$2:$A$346,L$31,Participacion_Junta!$B$2:$B$346,$M40)&gt;0,"○","?"))))</f>
        <v/>
      </c>
      <c r="M40" t="str">
        <f>IFERROR(INDEX($G$351:$G$586,MATCH($X$2,$A$351:$A$586,0)),"")</f>
        <v/>
      </c>
      <c r="Z40" t="s">
        <v>95</v>
      </c>
      <c r="AA40" s="94">
        <v>38282</v>
      </c>
    </row>
    <row r="41" spans="1:27" ht="22.95" customHeight="1">
      <c r="A41" s="24" t="str">
        <f>IF($M41="","",IFERROR(INDEX(Personas!$B$2:$B$30,MATCH($M41,Personas!$A$2:$A$30,0)),"?"))</f>
        <v/>
      </c>
      <c r="B41" s="161" t="str">
        <f>IF($A41="","",IF(B$31="","",IF(COUNTIFS(Votaciones!$A$2:$A$346,B$31,Votaciones!$B$2:$B$346,$M41)&gt;0,IF(COUNTIFS(Votaciones!$A$2:$A$346,B$31,Votaciones!$B$2:$B$346,$M41,Votaciones!$D$2:$D$346,"Consenso")&gt;0,"●",IF(COUNTIFS(Votaciones!$A$2:$A$346,B$31,Votaciones!$B$2:$B$346,$M41,Votaciones!$D$2:$D$346,"Disenso restrictivo")&gt;0,"▲",IF(COUNTIFS(Votaciones!$A$2:$A$346,B$31,Votaciones!$B$2:$B$346,$M41,Votaciones!$D$2:$D$346,"Disenso acomodaticio")&gt;0,"▼","?"))),IF(COUNTIFS(Participacion_Junta!$A$2:$A$346,B$31,Participacion_Junta!$B$2:$B$346,$M41)&gt;0,"○","?"))))</f>
        <v/>
      </c>
      <c r="C41" s="152" t="str">
        <f>IF($A41="","",IF(C$31="","",IF(COUNTIFS(Votaciones!$A$2:$A$346,C$31,Votaciones!$B$2:$B$346,$M41)&gt;0,IF(COUNTIFS(Votaciones!$A$2:$A$346,C$31,Votaciones!$B$2:$B$346,$M41,Votaciones!$D$2:$D$346,"Consenso")&gt;0,"●",IF(COUNTIFS(Votaciones!$A$2:$A$346,C$31,Votaciones!$B$2:$B$346,$M41,Votaciones!$D$2:$D$346,"Disenso restrictivo")&gt;0,"▲",IF(COUNTIFS(Votaciones!$A$2:$A$346,C$31,Votaciones!$B$2:$B$346,$M41,Votaciones!$D$2:$D$346,"Disenso acomodaticio")&gt;0,"▼","?"))),IF(COUNTIFS(Participacion_Junta!$A$2:$A$346,C$31,Participacion_Junta!$B$2:$B$346,$M41)&gt;0,"○","?"))))</f>
        <v/>
      </c>
      <c r="D41" s="152" t="str">
        <f>IF($A41="","",IF(D$31="","",IF(COUNTIFS(Votaciones!$A$2:$A$346,D$31,Votaciones!$B$2:$B$346,$M41)&gt;0,IF(COUNTIFS(Votaciones!$A$2:$A$346,D$31,Votaciones!$B$2:$B$346,$M41,Votaciones!$D$2:$D$346,"Consenso")&gt;0,"●",IF(COUNTIFS(Votaciones!$A$2:$A$346,D$31,Votaciones!$B$2:$B$346,$M41,Votaciones!$D$2:$D$346,"Disenso restrictivo")&gt;0,"▲",IF(COUNTIFS(Votaciones!$A$2:$A$346,D$31,Votaciones!$B$2:$B$346,$M41,Votaciones!$D$2:$D$346,"Disenso acomodaticio")&gt;0,"▼","?"))),IF(COUNTIFS(Participacion_Junta!$A$2:$A$346,D$31,Participacion_Junta!$B$2:$B$346,$M41)&gt;0,"○","?"))))</f>
        <v/>
      </c>
      <c r="E41" s="152" t="str">
        <f>IF($A41="","",IF(E$31="","",IF(COUNTIFS(Votaciones!$A$2:$A$346,E$31,Votaciones!$B$2:$B$346,$M41)&gt;0,IF(COUNTIFS(Votaciones!$A$2:$A$346,E$31,Votaciones!$B$2:$B$346,$M41,Votaciones!$D$2:$D$346,"Consenso")&gt;0,"●",IF(COUNTIFS(Votaciones!$A$2:$A$346,E$31,Votaciones!$B$2:$B$346,$M41,Votaciones!$D$2:$D$346,"Disenso restrictivo")&gt;0,"▲",IF(COUNTIFS(Votaciones!$A$2:$A$346,E$31,Votaciones!$B$2:$B$346,$M41,Votaciones!$D$2:$D$346,"Disenso acomodaticio")&gt;0,"▼","?"))),IF(COUNTIFS(Participacion_Junta!$A$2:$A$346,E$31,Participacion_Junta!$B$2:$B$346,$M41)&gt;0,"○","?"))))</f>
        <v/>
      </c>
      <c r="F41" s="152" t="str">
        <f>IF($A41="","",IF(F$31="","",IF(COUNTIFS(Votaciones!$A$2:$A$346,F$31,Votaciones!$B$2:$B$346,$M41)&gt;0,IF(COUNTIFS(Votaciones!$A$2:$A$346,F$31,Votaciones!$B$2:$B$346,$M41,Votaciones!$D$2:$D$346,"Consenso")&gt;0,"●",IF(COUNTIFS(Votaciones!$A$2:$A$346,F$31,Votaciones!$B$2:$B$346,$M41,Votaciones!$D$2:$D$346,"Disenso restrictivo")&gt;0,"▲",IF(COUNTIFS(Votaciones!$A$2:$A$346,F$31,Votaciones!$B$2:$B$346,$M41,Votaciones!$D$2:$D$346,"Disenso acomodaticio")&gt;0,"▼","?"))),IF(COUNTIFS(Participacion_Junta!$A$2:$A$346,F$31,Participacion_Junta!$B$2:$B$346,$M41)&gt;0,"○","?"))))</f>
        <v/>
      </c>
      <c r="G41" s="159" t="str">
        <f>IF($A41="","",IF(G$31="","",IF(COUNTIFS(Votaciones!$A$2:$A$346,G$31,Votaciones!$B$2:$B$346,$M41)&gt;0,IF(COUNTIFS(Votaciones!$A$2:$A$346,G$31,Votaciones!$B$2:$B$346,$M41,Votaciones!$D$2:$D$346,"Consenso")&gt;0,"●",IF(COUNTIFS(Votaciones!$A$2:$A$346,G$31,Votaciones!$B$2:$B$346,$M41,Votaciones!$D$2:$D$346,"Disenso restrictivo")&gt;0,"▲",IF(COUNTIFS(Votaciones!$A$2:$A$346,G$31,Votaciones!$B$2:$B$346,$M41,Votaciones!$D$2:$D$346,"Disenso acomodaticio")&gt;0,"▼","?"))),IF(COUNTIFS(Participacion_Junta!$A$2:$A$346,G$31,Participacion_Junta!$B$2:$B$346,$M41)&gt;0,"○","?"))))</f>
        <v/>
      </c>
      <c r="H41" s="152" t="str">
        <f>IF($A41="","",IF(H$31="","",IF(COUNTIFS(Votaciones!$A$2:$A$346,H$31,Votaciones!$B$2:$B$346,$M41)&gt;0,IF(COUNTIFS(Votaciones!$A$2:$A$346,H$31,Votaciones!$B$2:$B$346,$M41,Votaciones!$D$2:$D$346,"Consenso")&gt;0,"●",IF(COUNTIFS(Votaciones!$A$2:$A$346,H$31,Votaciones!$B$2:$B$346,$M41,Votaciones!$D$2:$D$346,"Disenso restrictivo")&gt;0,"▲",IF(COUNTIFS(Votaciones!$A$2:$A$346,H$31,Votaciones!$B$2:$B$346,$M41,Votaciones!$D$2:$D$346,"Disenso acomodaticio")&gt;0,"▼","?"))),IF(COUNTIFS(Participacion_Junta!$A$2:$A$346,H$31,Participacion_Junta!$B$2:$B$346,$M41)&gt;0,"○","?"))))</f>
        <v/>
      </c>
      <c r="I41" s="152" t="str">
        <f>IF($A41="","",IF(I$31="","",IF(COUNTIFS(Votaciones!$A$2:$A$346,I$31,Votaciones!$B$2:$B$346,$M41)&gt;0,IF(COUNTIFS(Votaciones!$A$2:$A$346,I$31,Votaciones!$B$2:$B$346,$M41,Votaciones!$D$2:$D$346,"Consenso")&gt;0,"●",IF(COUNTIFS(Votaciones!$A$2:$A$346,I$31,Votaciones!$B$2:$B$346,$M41,Votaciones!$D$2:$D$346,"Disenso restrictivo")&gt;0,"▲",IF(COUNTIFS(Votaciones!$A$2:$A$346,I$31,Votaciones!$B$2:$B$346,$M41,Votaciones!$D$2:$D$346,"Disenso acomodaticio")&gt;0,"▼","?"))),IF(COUNTIFS(Participacion_Junta!$A$2:$A$346,I$31,Participacion_Junta!$B$2:$B$346,$M41)&gt;0,"○","?"))))</f>
        <v/>
      </c>
      <c r="J41" s="152" t="str">
        <f>IF($A41="","",IF(J$31="","",IF(COUNTIFS(Votaciones!$A$2:$A$346,J$31,Votaciones!$B$2:$B$346,$M41)&gt;0,IF(COUNTIFS(Votaciones!$A$2:$A$346,J$31,Votaciones!$B$2:$B$346,$M41,Votaciones!$D$2:$D$346,"Consenso")&gt;0,"●",IF(COUNTIFS(Votaciones!$A$2:$A$346,J$31,Votaciones!$B$2:$B$346,$M41,Votaciones!$D$2:$D$346,"Disenso restrictivo")&gt;0,"▲",IF(COUNTIFS(Votaciones!$A$2:$A$346,J$31,Votaciones!$B$2:$B$346,$M41,Votaciones!$D$2:$D$346,"Disenso acomodaticio")&gt;0,"▼","?"))),IF(COUNTIFS(Participacion_Junta!$A$2:$A$346,J$31,Participacion_Junta!$B$2:$B$346,$M41)&gt;0,"○","?"))))</f>
        <v/>
      </c>
      <c r="K41" s="152" t="str">
        <f>IF($A41="","",IF(K$31="","",IF(COUNTIFS(Votaciones!$A$2:$A$346,K$31,Votaciones!$B$2:$B$346,$M41)&gt;0,IF(COUNTIFS(Votaciones!$A$2:$A$346,K$31,Votaciones!$B$2:$B$346,$M41,Votaciones!$D$2:$D$346,"Consenso")&gt;0,"●",IF(COUNTIFS(Votaciones!$A$2:$A$346,K$31,Votaciones!$B$2:$B$346,$M41,Votaciones!$D$2:$D$346,"Disenso restrictivo")&gt;0,"▲",IF(COUNTIFS(Votaciones!$A$2:$A$346,K$31,Votaciones!$B$2:$B$346,$M41,Votaciones!$D$2:$D$346,"Disenso acomodaticio")&gt;0,"▼","?"))),IF(COUNTIFS(Participacion_Junta!$A$2:$A$346,K$31,Participacion_Junta!$B$2:$B$346,$M41)&gt;0,"○","?"))))</f>
        <v/>
      </c>
      <c r="L41" s="160" t="str">
        <f>IF($A41="","",IF(L$31="","",IF(COUNTIFS(Votaciones!$A$2:$A$346,L$31,Votaciones!$B$2:$B$346,$M41)&gt;0,IF(COUNTIFS(Votaciones!$A$2:$A$346,L$31,Votaciones!$B$2:$B$346,$M41,Votaciones!$D$2:$D$346,"Consenso")&gt;0,"●",IF(COUNTIFS(Votaciones!$A$2:$A$346,L$31,Votaciones!$B$2:$B$346,$M41,Votaciones!$D$2:$D$346,"Disenso restrictivo")&gt;0,"▲",IF(COUNTIFS(Votaciones!$A$2:$A$346,L$31,Votaciones!$B$2:$B$346,$M41,Votaciones!$D$2:$D$346,"Disenso acomodaticio")&gt;0,"▼","?"))),IF(COUNTIFS(Participacion_Junta!$A$2:$A$346,L$31,Participacion_Junta!$B$2:$B$346,$M41)&gt;0,"○","?"))))</f>
        <v/>
      </c>
      <c r="M41" t="str">
        <f>IFERROR(INDEX($H$351:$H$586,MATCH($X$2,$A$351:$A$586,0)),"")</f>
        <v/>
      </c>
      <c r="Z41" t="s">
        <v>97</v>
      </c>
      <c r="AA41" s="94">
        <v>38317</v>
      </c>
    </row>
    <row r="42" spans="1:27" ht="22.95" customHeight="1">
      <c r="A42" s="24" t="str">
        <f>IF($M42="","",IFERROR(INDEX(Personas!$B$2:$B$30,MATCH($M42,Personas!$A$2:$A$30,0)),"?"))</f>
        <v/>
      </c>
      <c r="B42" s="161" t="str">
        <f>IF($A42="","",IF(B$31="","",IF(COUNTIFS(Votaciones!$A$2:$A$346,B$31,Votaciones!$B$2:$B$346,$M42)&gt;0,IF(COUNTIFS(Votaciones!$A$2:$A$346,B$31,Votaciones!$B$2:$B$346,$M42,Votaciones!$D$2:$D$346,"Consenso")&gt;0,"●",IF(COUNTIFS(Votaciones!$A$2:$A$346,B$31,Votaciones!$B$2:$B$346,$M42,Votaciones!$D$2:$D$346,"Disenso restrictivo")&gt;0,"▲",IF(COUNTIFS(Votaciones!$A$2:$A$346,B$31,Votaciones!$B$2:$B$346,$M42,Votaciones!$D$2:$D$346,"Disenso acomodaticio")&gt;0,"▼","?"))),IF(COUNTIFS(Participacion_Junta!$A$2:$A$346,B$31,Participacion_Junta!$B$2:$B$346,$M42)&gt;0,"○","?"))))</f>
        <v/>
      </c>
      <c r="C42" s="152" t="str">
        <f>IF($A42="","",IF(C$31="","",IF(COUNTIFS(Votaciones!$A$2:$A$346,C$31,Votaciones!$B$2:$B$346,$M42)&gt;0,IF(COUNTIFS(Votaciones!$A$2:$A$346,C$31,Votaciones!$B$2:$B$346,$M42,Votaciones!$D$2:$D$346,"Consenso")&gt;0,"●",IF(COUNTIFS(Votaciones!$A$2:$A$346,C$31,Votaciones!$B$2:$B$346,$M42,Votaciones!$D$2:$D$346,"Disenso restrictivo")&gt;0,"▲",IF(COUNTIFS(Votaciones!$A$2:$A$346,C$31,Votaciones!$B$2:$B$346,$M42,Votaciones!$D$2:$D$346,"Disenso acomodaticio")&gt;0,"▼","?"))),IF(COUNTIFS(Participacion_Junta!$A$2:$A$346,C$31,Participacion_Junta!$B$2:$B$346,$M42)&gt;0,"○","?"))))</f>
        <v/>
      </c>
      <c r="D42" s="152" t="str">
        <f>IF($A42="","",IF(D$31="","",IF(COUNTIFS(Votaciones!$A$2:$A$346,D$31,Votaciones!$B$2:$B$346,$M42)&gt;0,IF(COUNTIFS(Votaciones!$A$2:$A$346,D$31,Votaciones!$B$2:$B$346,$M42,Votaciones!$D$2:$D$346,"Consenso")&gt;0,"●",IF(COUNTIFS(Votaciones!$A$2:$A$346,D$31,Votaciones!$B$2:$B$346,$M42,Votaciones!$D$2:$D$346,"Disenso restrictivo")&gt;0,"▲",IF(COUNTIFS(Votaciones!$A$2:$A$346,D$31,Votaciones!$B$2:$B$346,$M42,Votaciones!$D$2:$D$346,"Disenso acomodaticio")&gt;0,"▼","?"))),IF(COUNTIFS(Participacion_Junta!$A$2:$A$346,D$31,Participacion_Junta!$B$2:$B$346,$M42)&gt;0,"○","?"))))</f>
        <v/>
      </c>
      <c r="E42" s="152" t="str">
        <f>IF($A42="","",IF(E$31="","",IF(COUNTIFS(Votaciones!$A$2:$A$346,E$31,Votaciones!$B$2:$B$346,$M42)&gt;0,IF(COUNTIFS(Votaciones!$A$2:$A$346,E$31,Votaciones!$B$2:$B$346,$M42,Votaciones!$D$2:$D$346,"Consenso")&gt;0,"●",IF(COUNTIFS(Votaciones!$A$2:$A$346,E$31,Votaciones!$B$2:$B$346,$M42,Votaciones!$D$2:$D$346,"Disenso restrictivo")&gt;0,"▲",IF(COUNTIFS(Votaciones!$A$2:$A$346,E$31,Votaciones!$B$2:$B$346,$M42,Votaciones!$D$2:$D$346,"Disenso acomodaticio")&gt;0,"▼","?"))),IF(COUNTIFS(Participacion_Junta!$A$2:$A$346,E$31,Participacion_Junta!$B$2:$B$346,$M42)&gt;0,"○","?"))))</f>
        <v/>
      </c>
      <c r="F42" s="152" t="str">
        <f>IF($A42="","",IF(F$31="","",IF(COUNTIFS(Votaciones!$A$2:$A$346,F$31,Votaciones!$B$2:$B$346,$M42)&gt;0,IF(COUNTIFS(Votaciones!$A$2:$A$346,F$31,Votaciones!$B$2:$B$346,$M42,Votaciones!$D$2:$D$346,"Consenso")&gt;0,"●",IF(COUNTIFS(Votaciones!$A$2:$A$346,F$31,Votaciones!$B$2:$B$346,$M42,Votaciones!$D$2:$D$346,"Disenso restrictivo")&gt;0,"▲",IF(COUNTIFS(Votaciones!$A$2:$A$346,F$31,Votaciones!$B$2:$B$346,$M42,Votaciones!$D$2:$D$346,"Disenso acomodaticio")&gt;0,"▼","?"))),IF(COUNTIFS(Participacion_Junta!$A$2:$A$346,F$31,Participacion_Junta!$B$2:$B$346,$M42)&gt;0,"○","?"))))</f>
        <v/>
      </c>
      <c r="G42" s="159" t="str">
        <f>IF($A42="","",IF(G$31="","",IF(COUNTIFS(Votaciones!$A$2:$A$346,G$31,Votaciones!$B$2:$B$346,$M42)&gt;0,IF(COUNTIFS(Votaciones!$A$2:$A$346,G$31,Votaciones!$B$2:$B$346,$M42,Votaciones!$D$2:$D$346,"Consenso")&gt;0,"●",IF(COUNTIFS(Votaciones!$A$2:$A$346,G$31,Votaciones!$B$2:$B$346,$M42,Votaciones!$D$2:$D$346,"Disenso restrictivo")&gt;0,"▲",IF(COUNTIFS(Votaciones!$A$2:$A$346,G$31,Votaciones!$B$2:$B$346,$M42,Votaciones!$D$2:$D$346,"Disenso acomodaticio")&gt;0,"▼","?"))),IF(COUNTIFS(Participacion_Junta!$A$2:$A$346,G$31,Participacion_Junta!$B$2:$B$346,$M42)&gt;0,"○","?"))))</f>
        <v/>
      </c>
      <c r="H42" s="152" t="str">
        <f>IF($A42="","",IF(H$31="","",IF(COUNTIFS(Votaciones!$A$2:$A$346,H$31,Votaciones!$B$2:$B$346,$M42)&gt;0,IF(COUNTIFS(Votaciones!$A$2:$A$346,H$31,Votaciones!$B$2:$B$346,$M42,Votaciones!$D$2:$D$346,"Consenso")&gt;0,"●",IF(COUNTIFS(Votaciones!$A$2:$A$346,H$31,Votaciones!$B$2:$B$346,$M42,Votaciones!$D$2:$D$346,"Disenso restrictivo")&gt;0,"▲",IF(COUNTIFS(Votaciones!$A$2:$A$346,H$31,Votaciones!$B$2:$B$346,$M42,Votaciones!$D$2:$D$346,"Disenso acomodaticio")&gt;0,"▼","?"))),IF(COUNTIFS(Participacion_Junta!$A$2:$A$346,H$31,Participacion_Junta!$B$2:$B$346,$M42)&gt;0,"○","?"))))</f>
        <v/>
      </c>
      <c r="I42" s="152" t="str">
        <f>IF($A42="","",IF(I$31="","",IF(COUNTIFS(Votaciones!$A$2:$A$346,I$31,Votaciones!$B$2:$B$346,$M42)&gt;0,IF(COUNTIFS(Votaciones!$A$2:$A$346,I$31,Votaciones!$B$2:$B$346,$M42,Votaciones!$D$2:$D$346,"Consenso")&gt;0,"●",IF(COUNTIFS(Votaciones!$A$2:$A$346,I$31,Votaciones!$B$2:$B$346,$M42,Votaciones!$D$2:$D$346,"Disenso restrictivo")&gt;0,"▲",IF(COUNTIFS(Votaciones!$A$2:$A$346,I$31,Votaciones!$B$2:$B$346,$M42,Votaciones!$D$2:$D$346,"Disenso acomodaticio")&gt;0,"▼","?"))),IF(COUNTIFS(Participacion_Junta!$A$2:$A$346,I$31,Participacion_Junta!$B$2:$B$346,$M42)&gt;0,"○","?"))))</f>
        <v/>
      </c>
      <c r="J42" s="152" t="str">
        <f>IF($A42="","",IF(J$31="","",IF(COUNTIFS(Votaciones!$A$2:$A$346,J$31,Votaciones!$B$2:$B$346,$M42)&gt;0,IF(COUNTIFS(Votaciones!$A$2:$A$346,J$31,Votaciones!$B$2:$B$346,$M42,Votaciones!$D$2:$D$346,"Consenso")&gt;0,"●",IF(COUNTIFS(Votaciones!$A$2:$A$346,J$31,Votaciones!$B$2:$B$346,$M42,Votaciones!$D$2:$D$346,"Disenso restrictivo")&gt;0,"▲",IF(COUNTIFS(Votaciones!$A$2:$A$346,J$31,Votaciones!$B$2:$B$346,$M42,Votaciones!$D$2:$D$346,"Disenso acomodaticio")&gt;0,"▼","?"))),IF(COUNTIFS(Participacion_Junta!$A$2:$A$346,J$31,Participacion_Junta!$B$2:$B$346,$M42)&gt;0,"○","?"))))</f>
        <v/>
      </c>
      <c r="K42" s="152" t="str">
        <f>IF($A42="","",IF(K$31="","",IF(COUNTIFS(Votaciones!$A$2:$A$346,K$31,Votaciones!$B$2:$B$346,$M42)&gt;0,IF(COUNTIFS(Votaciones!$A$2:$A$346,K$31,Votaciones!$B$2:$B$346,$M42,Votaciones!$D$2:$D$346,"Consenso")&gt;0,"●",IF(COUNTIFS(Votaciones!$A$2:$A$346,K$31,Votaciones!$B$2:$B$346,$M42,Votaciones!$D$2:$D$346,"Disenso restrictivo")&gt;0,"▲",IF(COUNTIFS(Votaciones!$A$2:$A$346,K$31,Votaciones!$B$2:$B$346,$M42,Votaciones!$D$2:$D$346,"Disenso acomodaticio")&gt;0,"▼","?"))),IF(COUNTIFS(Participacion_Junta!$A$2:$A$346,K$31,Participacion_Junta!$B$2:$B$346,$M42)&gt;0,"○","?"))))</f>
        <v/>
      </c>
      <c r="L42" s="160" t="str">
        <f>IF($A42="","",IF(L$31="","",IF(COUNTIFS(Votaciones!$A$2:$A$346,L$31,Votaciones!$B$2:$B$346,$M42)&gt;0,IF(COUNTIFS(Votaciones!$A$2:$A$346,L$31,Votaciones!$B$2:$B$346,$M42,Votaciones!$D$2:$D$346,"Consenso")&gt;0,"●",IF(COUNTIFS(Votaciones!$A$2:$A$346,L$31,Votaciones!$B$2:$B$346,$M42,Votaciones!$D$2:$D$346,"Disenso restrictivo")&gt;0,"▲",IF(COUNTIFS(Votaciones!$A$2:$A$346,L$31,Votaciones!$B$2:$B$346,$M42,Votaciones!$D$2:$D$346,"Disenso acomodaticio")&gt;0,"▼","?"))),IF(COUNTIFS(Participacion_Junta!$A$2:$A$346,L$31,Participacion_Junta!$B$2:$B$346,$M42)&gt;0,"○","?"))))</f>
        <v/>
      </c>
      <c r="M42" t="str">
        <f>IFERROR(INDEX($I$351:$I$586,MATCH($X$2,$A$351:$A$586,0)),"")</f>
        <v/>
      </c>
      <c r="Z42" t="s">
        <v>99</v>
      </c>
      <c r="AA42" s="94">
        <v>38331</v>
      </c>
    </row>
    <row r="43" spans="1:27" ht="22.95" customHeight="1">
      <c r="A43" s="24" t="str">
        <f>IF($M43="","",IFERROR(INDEX(Personas!$B$2:$B$30,MATCH($M43,Personas!$A$2:$A$30,0)),"?"))</f>
        <v/>
      </c>
      <c r="B43" s="161" t="str">
        <f>IF($A43="","",IF(B$31="","",IF(COUNTIFS(Votaciones!$A$2:$A$346,B$31,Votaciones!$B$2:$B$346,$M43)&gt;0,IF(COUNTIFS(Votaciones!$A$2:$A$346,B$31,Votaciones!$B$2:$B$346,$M43,Votaciones!$D$2:$D$346,"Consenso")&gt;0,"●",IF(COUNTIFS(Votaciones!$A$2:$A$346,B$31,Votaciones!$B$2:$B$346,$M43,Votaciones!$D$2:$D$346,"Disenso restrictivo")&gt;0,"▲",IF(COUNTIFS(Votaciones!$A$2:$A$346,B$31,Votaciones!$B$2:$B$346,$M43,Votaciones!$D$2:$D$346,"Disenso acomodaticio")&gt;0,"▼","?"))),IF(COUNTIFS(Participacion_Junta!$A$2:$A$346,B$31,Participacion_Junta!$B$2:$B$346,$M43)&gt;0,"○","?"))))</f>
        <v/>
      </c>
      <c r="C43" s="152" t="str">
        <f>IF($A43="","",IF(C$31="","",IF(COUNTIFS(Votaciones!$A$2:$A$346,C$31,Votaciones!$B$2:$B$346,$M43)&gt;0,IF(COUNTIFS(Votaciones!$A$2:$A$346,C$31,Votaciones!$B$2:$B$346,$M43,Votaciones!$D$2:$D$346,"Consenso")&gt;0,"●",IF(COUNTIFS(Votaciones!$A$2:$A$346,C$31,Votaciones!$B$2:$B$346,$M43,Votaciones!$D$2:$D$346,"Disenso restrictivo")&gt;0,"▲",IF(COUNTIFS(Votaciones!$A$2:$A$346,C$31,Votaciones!$B$2:$B$346,$M43,Votaciones!$D$2:$D$346,"Disenso acomodaticio")&gt;0,"▼","?"))),IF(COUNTIFS(Participacion_Junta!$A$2:$A$346,C$31,Participacion_Junta!$B$2:$B$346,$M43)&gt;0,"○","?"))))</f>
        <v/>
      </c>
      <c r="D43" s="152" t="str">
        <f>IF($A43="","",IF(D$31="","",IF(COUNTIFS(Votaciones!$A$2:$A$346,D$31,Votaciones!$B$2:$B$346,$M43)&gt;0,IF(COUNTIFS(Votaciones!$A$2:$A$346,D$31,Votaciones!$B$2:$B$346,$M43,Votaciones!$D$2:$D$346,"Consenso")&gt;0,"●",IF(COUNTIFS(Votaciones!$A$2:$A$346,D$31,Votaciones!$B$2:$B$346,$M43,Votaciones!$D$2:$D$346,"Disenso restrictivo")&gt;0,"▲",IF(COUNTIFS(Votaciones!$A$2:$A$346,D$31,Votaciones!$B$2:$B$346,$M43,Votaciones!$D$2:$D$346,"Disenso acomodaticio")&gt;0,"▼","?"))),IF(COUNTIFS(Participacion_Junta!$A$2:$A$346,D$31,Participacion_Junta!$B$2:$B$346,$M43)&gt;0,"○","?"))))</f>
        <v/>
      </c>
      <c r="E43" s="152" t="str">
        <f>IF($A43="","",IF(E$31="","",IF(COUNTIFS(Votaciones!$A$2:$A$346,E$31,Votaciones!$B$2:$B$346,$M43)&gt;0,IF(COUNTIFS(Votaciones!$A$2:$A$346,E$31,Votaciones!$B$2:$B$346,$M43,Votaciones!$D$2:$D$346,"Consenso")&gt;0,"●",IF(COUNTIFS(Votaciones!$A$2:$A$346,E$31,Votaciones!$B$2:$B$346,$M43,Votaciones!$D$2:$D$346,"Disenso restrictivo")&gt;0,"▲",IF(COUNTIFS(Votaciones!$A$2:$A$346,E$31,Votaciones!$B$2:$B$346,$M43,Votaciones!$D$2:$D$346,"Disenso acomodaticio")&gt;0,"▼","?"))),IF(COUNTIFS(Participacion_Junta!$A$2:$A$346,E$31,Participacion_Junta!$B$2:$B$346,$M43)&gt;0,"○","?"))))</f>
        <v/>
      </c>
      <c r="F43" s="152" t="str">
        <f>IF($A43="","",IF(F$31="","",IF(COUNTIFS(Votaciones!$A$2:$A$346,F$31,Votaciones!$B$2:$B$346,$M43)&gt;0,IF(COUNTIFS(Votaciones!$A$2:$A$346,F$31,Votaciones!$B$2:$B$346,$M43,Votaciones!$D$2:$D$346,"Consenso")&gt;0,"●",IF(COUNTIFS(Votaciones!$A$2:$A$346,F$31,Votaciones!$B$2:$B$346,$M43,Votaciones!$D$2:$D$346,"Disenso restrictivo")&gt;0,"▲",IF(COUNTIFS(Votaciones!$A$2:$A$346,F$31,Votaciones!$B$2:$B$346,$M43,Votaciones!$D$2:$D$346,"Disenso acomodaticio")&gt;0,"▼","?"))),IF(COUNTIFS(Participacion_Junta!$A$2:$A$346,F$31,Participacion_Junta!$B$2:$B$346,$M43)&gt;0,"○","?"))))</f>
        <v/>
      </c>
      <c r="G43" s="159" t="str">
        <f>IF($A43="","",IF(G$31="","",IF(COUNTIFS(Votaciones!$A$2:$A$346,G$31,Votaciones!$B$2:$B$346,$M43)&gt;0,IF(COUNTIFS(Votaciones!$A$2:$A$346,G$31,Votaciones!$B$2:$B$346,$M43,Votaciones!$D$2:$D$346,"Consenso")&gt;0,"●",IF(COUNTIFS(Votaciones!$A$2:$A$346,G$31,Votaciones!$B$2:$B$346,$M43,Votaciones!$D$2:$D$346,"Disenso restrictivo")&gt;0,"▲",IF(COUNTIFS(Votaciones!$A$2:$A$346,G$31,Votaciones!$B$2:$B$346,$M43,Votaciones!$D$2:$D$346,"Disenso acomodaticio")&gt;0,"▼","?"))),IF(COUNTIFS(Participacion_Junta!$A$2:$A$346,G$31,Participacion_Junta!$B$2:$B$346,$M43)&gt;0,"○","?"))))</f>
        <v/>
      </c>
      <c r="H43" s="152" t="str">
        <f>IF($A43="","",IF(H$31="","",IF(COUNTIFS(Votaciones!$A$2:$A$346,H$31,Votaciones!$B$2:$B$346,$M43)&gt;0,IF(COUNTIFS(Votaciones!$A$2:$A$346,H$31,Votaciones!$B$2:$B$346,$M43,Votaciones!$D$2:$D$346,"Consenso")&gt;0,"●",IF(COUNTIFS(Votaciones!$A$2:$A$346,H$31,Votaciones!$B$2:$B$346,$M43,Votaciones!$D$2:$D$346,"Disenso restrictivo")&gt;0,"▲",IF(COUNTIFS(Votaciones!$A$2:$A$346,H$31,Votaciones!$B$2:$B$346,$M43,Votaciones!$D$2:$D$346,"Disenso acomodaticio")&gt;0,"▼","?"))),IF(COUNTIFS(Participacion_Junta!$A$2:$A$346,H$31,Participacion_Junta!$B$2:$B$346,$M43)&gt;0,"○","?"))))</f>
        <v/>
      </c>
      <c r="I43" s="152" t="str">
        <f>IF($A43="","",IF(I$31="","",IF(COUNTIFS(Votaciones!$A$2:$A$346,I$31,Votaciones!$B$2:$B$346,$M43)&gt;0,IF(COUNTIFS(Votaciones!$A$2:$A$346,I$31,Votaciones!$B$2:$B$346,$M43,Votaciones!$D$2:$D$346,"Consenso")&gt;0,"●",IF(COUNTIFS(Votaciones!$A$2:$A$346,I$31,Votaciones!$B$2:$B$346,$M43,Votaciones!$D$2:$D$346,"Disenso restrictivo")&gt;0,"▲",IF(COUNTIFS(Votaciones!$A$2:$A$346,I$31,Votaciones!$B$2:$B$346,$M43,Votaciones!$D$2:$D$346,"Disenso acomodaticio")&gt;0,"▼","?"))),IF(COUNTIFS(Participacion_Junta!$A$2:$A$346,I$31,Participacion_Junta!$B$2:$B$346,$M43)&gt;0,"○","?"))))</f>
        <v/>
      </c>
      <c r="J43" s="152" t="str">
        <f>IF($A43="","",IF(J$31="","",IF(COUNTIFS(Votaciones!$A$2:$A$346,J$31,Votaciones!$B$2:$B$346,$M43)&gt;0,IF(COUNTIFS(Votaciones!$A$2:$A$346,J$31,Votaciones!$B$2:$B$346,$M43,Votaciones!$D$2:$D$346,"Consenso")&gt;0,"●",IF(COUNTIFS(Votaciones!$A$2:$A$346,J$31,Votaciones!$B$2:$B$346,$M43,Votaciones!$D$2:$D$346,"Disenso restrictivo")&gt;0,"▲",IF(COUNTIFS(Votaciones!$A$2:$A$346,J$31,Votaciones!$B$2:$B$346,$M43,Votaciones!$D$2:$D$346,"Disenso acomodaticio")&gt;0,"▼","?"))),IF(COUNTIFS(Participacion_Junta!$A$2:$A$346,J$31,Participacion_Junta!$B$2:$B$346,$M43)&gt;0,"○","?"))))</f>
        <v/>
      </c>
      <c r="K43" s="152" t="str">
        <f>IF($A43="","",IF(K$31="","",IF(COUNTIFS(Votaciones!$A$2:$A$346,K$31,Votaciones!$B$2:$B$346,$M43)&gt;0,IF(COUNTIFS(Votaciones!$A$2:$A$346,K$31,Votaciones!$B$2:$B$346,$M43,Votaciones!$D$2:$D$346,"Consenso")&gt;0,"●",IF(COUNTIFS(Votaciones!$A$2:$A$346,K$31,Votaciones!$B$2:$B$346,$M43,Votaciones!$D$2:$D$346,"Disenso restrictivo")&gt;0,"▲",IF(COUNTIFS(Votaciones!$A$2:$A$346,K$31,Votaciones!$B$2:$B$346,$M43,Votaciones!$D$2:$D$346,"Disenso acomodaticio")&gt;0,"▼","?"))),IF(COUNTIFS(Participacion_Junta!$A$2:$A$346,K$31,Participacion_Junta!$B$2:$B$346,$M43)&gt;0,"○","?"))))</f>
        <v/>
      </c>
      <c r="L43" s="160" t="str">
        <f>IF($A43="","",IF(L$31="","",IF(COUNTIFS(Votaciones!$A$2:$A$346,L$31,Votaciones!$B$2:$B$346,$M43)&gt;0,IF(COUNTIFS(Votaciones!$A$2:$A$346,L$31,Votaciones!$B$2:$B$346,$M43,Votaciones!$D$2:$D$346,"Consenso")&gt;0,"●",IF(COUNTIFS(Votaciones!$A$2:$A$346,L$31,Votaciones!$B$2:$B$346,$M43,Votaciones!$D$2:$D$346,"Disenso restrictivo")&gt;0,"▲",IF(COUNTIFS(Votaciones!$A$2:$A$346,L$31,Votaciones!$B$2:$B$346,$M43,Votaciones!$D$2:$D$346,"Disenso acomodaticio")&gt;0,"▼","?"))),IF(COUNTIFS(Participacion_Junta!$A$2:$A$346,L$31,Participacion_Junta!$B$2:$B$346,$M43)&gt;0,"○","?"))))</f>
        <v/>
      </c>
      <c r="M43" t="str">
        <f>IFERROR(INDEX($J$351:$J$586,MATCH($X$2,$A$351:$A$586,0)),"")</f>
        <v/>
      </c>
      <c r="Z43" t="s">
        <v>101</v>
      </c>
      <c r="AA43" s="94">
        <v>38380</v>
      </c>
    </row>
    <row r="44" spans="1:27" ht="22.95" customHeight="1">
      <c r="A44" s="24" t="str">
        <f>IF($M44="","",IFERROR(INDEX(Personas!$B$2:$B$30,MATCH($M44,Personas!$A$2:$A$30,0)),"?"))</f>
        <v/>
      </c>
      <c r="B44" s="157" t="str">
        <f>IF($A44="","",IF(B$31="","",IF(COUNTIFS(Votaciones!$A$2:$A$346,B$31,Votaciones!$B$2:$B$346,$M44)&gt;0,IF(COUNTIFS(Votaciones!$A$2:$A$346,B$31,Votaciones!$B$2:$B$346,$M44,Votaciones!$D$2:$D$346,"Consenso")&gt;0,"●",IF(COUNTIFS(Votaciones!$A$2:$A$346,B$31,Votaciones!$B$2:$B$346,$M44,Votaciones!$D$2:$D$346,"Disenso restrictivo")&gt;0,"▲",IF(COUNTIFS(Votaciones!$A$2:$A$346,B$31,Votaciones!$B$2:$B$346,$M44,Votaciones!$D$2:$D$346,"Disenso acomodaticio")&gt;0,"▼","?"))),IF(COUNTIFS(Participacion_Junta!$A$2:$A$346,B$31,Participacion_Junta!$B$2:$B$346,$M44)&gt;0,"○","?"))))</f>
        <v/>
      </c>
      <c r="C44" s="153" t="str">
        <f>IF($A44="","",IF(C$31="","",IF(COUNTIFS(Votaciones!$A$2:$A$346,C$31,Votaciones!$B$2:$B$346,$M44)&gt;0,IF(COUNTIFS(Votaciones!$A$2:$A$346,C$31,Votaciones!$B$2:$B$346,$M44,Votaciones!$D$2:$D$346,"Consenso")&gt;0,"●",IF(COUNTIFS(Votaciones!$A$2:$A$346,C$31,Votaciones!$B$2:$B$346,$M44,Votaciones!$D$2:$D$346,"Disenso restrictivo")&gt;0,"▲",IF(COUNTIFS(Votaciones!$A$2:$A$346,C$31,Votaciones!$B$2:$B$346,$M44,Votaciones!$D$2:$D$346,"Disenso acomodaticio")&gt;0,"▼","?"))),IF(COUNTIFS(Participacion_Junta!$A$2:$A$346,C$31,Participacion_Junta!$B$2:$B$346,$M44)&gt;0,"○","?"))))</f>
        <v/>
      </c>
      <c r="D44" s="153" t="str">
        <f>IF($A44="","",IF(D$31="","",IF(COUNTIFS(Votaciones!$A$2:$A$346,D$31,Votaciones!$B$2:$B$346,$M44)&gt;0,IF(COUNTIFS(Votaciones!$A$2:$A$346,D$31,Votaciones!$B$2:$B$346,$M44,Votaciones!$D$2:$D$346,"Consenso")&gt;0,"●",IF(COUNTIFS(Votaciones!$A$2:$A$346,D$31,Votaciones!$B$2:$B$346,$M44,Votaciones!$D$2:$D$346,"Disenso restrictivo")&gt;0,"▲",IF(COUNTIFS(Votaciones!$A$2:$A$346,D$31,Votaciones!$B$2:$B$346,$M44,Votaciones!$D$2:$D$346,"Disenso acomodaticio")&gt;0,"▼","?"))),IF(COUNTIFS(Participacion_Junta!$A$2:$A$346,D$31,Participacion_Junta!$B$2:$B$346,$M44)&gt;0,"○","?"))))</f>
        <v/>
      </c>
      <c r="E44" s="153" t="str">
        <f>IF($A44="","",IF(E$31="","",IF(COUNTIFS(Votaciones!$A$2:$A$346,E$31,Votaciones!$B$2:$B$346,$M44)&gt;0,IF(COUNTIFS(Votaciones!$A$2:$A$346,E$31,Votaciones!$B$2:$B$346,$M44,Votaciones!$D$2:$D$346,"Consenso")&gt;0,"●",IF(COUNTIFS(Votaciones!$A$2:$A$346,E$31,Votaciones!$B$2:$B$346,$M44,Votaciones!$D$2:$D$346,"Disenso restrictivo")&gt;0,"▲",IF(COUNTIFS(Votaciones!$A$2:$A$346,E$31,Votaciones!$B$2:$B$346,$M44,Votaciones!$D$2:$D$346,"Disenso acomodaticio")&gt;0,"▼","?"))),IF(COUNTIFS(Participacion_Junta!$A$2:$A$346,E$31,Participacion_Junta!$B$2:$B$346,$M44)&gt;0,"○","?"))))</f>
        <v/>
      </c>
      <c r="F44" s="153" t="str">
        <f>IF($A44="","",IF(F$31="","",IF(COUNTIFS(Votaciones!$A$2:$A$346,F$31,Votaciones!$B$2:$B$346,$M44)&gt;0,IF(COUNTIFS(Votaciones!$A$2:$A$346,F$31,Votaciones!$B$2:$B$346,$M44,Votaciones!$D$2:$D$346,"Consenso")&gt;0,"●",IF(COUNTIFS(Votaciones!$A$2:$A$346,F$31,Votaciones!$B$2:$B$346,$M44,Votaciones!$D$2:$D$346,"Disenso restrictivo")&gt;0,"▲",IF(COUNTIFS(Votaciones!$A$2:$A$346,F$31,Votaciones!$B$2:$B$346,$M44,Votaciones!$D$2:$D$346,"Disenso acomodaticio")&gt;0,"▼","?"))),IF(COUNTIFS(Participacion_Junta!$A$2:$A$346,F$31,Participacion_Junta!$B$2:$B$346,$M44)&gt;0,"○","?"))))</f>
        <v/>
      </c>
      <c r="G44" s="158" t="str">
        <f>IF($A44="","",IF(G$31="","",IF(COUNTIFS(Votaciones!$A$2:$A$346,G$31,Votaciones!$B$2:$B$346,$M44)&gt;0,IF(COUNTIFS(Votaciones!$A$2:$A$346,G$31,Votaciones!$B$2:$B$346,$M44,Votaciones!$D$2:$D$346,"Consenso")&gt;0,"●",IF(COUNTIFS(Votaciones!$A$2:$A$346,G$31,Votaciones!$B$2:$B$346,$M44,Votaciones!$D$2:$D$346,"Disenso restrictivo")&gt;0,"▲",IF(COUNTIFS(Votaciones!$A$2:$A$346,G$31,Votaciones!$B$2:$B$346,$M44,Votaciones!$D$2:$D$346,"Disenso acomodaticio")&gt;0,"▼","?"))),IF(COUNTIFS(Participacion_Junta!$A$2:$A$346,G$31,Participacion_Junta!$B$2:$B$346,$M44)&gt;0,"○","?"))))</f>
        <v/>
      </c>
      <c r="H44" s="153" t="str">
        <f>IF($A44="","",IF(H$31="","",IF(COUNTIFS(Votaciones!$A$2:$A$346,H$31,Votaciones!$B$2:$B$346,$M44)&gt;0,IF(COUNTIFS(Votaciones!$A$2:$A$346,H$31,Votaciones!$B$2:$B$346,$M44,Votaciones!$D$2:$D$346,"Consenso")&gt;0,"●",IF(COUNTIFS(Votaciones!$A$2:$A$346,H$31,Votaciones!$B$2:$B$346,$M44,Votaciones!$D$2:$D$346,"Disenso restrictivo")&gt;0,"▲",IF(COUNTIFS(Votaciones!$A$2:$A$346,H$31,Votaciones!$B$2:$B$346,$M44,Votaciones!$D$2:$D$346,"Disenso acomodaticio")&gt;0,"▼","?"))),IF(COUNTIFS(Participacion_Junta!$A$2:$A$346,H$31,Participacion_Junta!$B$2:$B$346,$M44)&gt;0,"○","?"))))</f>
        <v/>
      </c>
      <c r="I44" s="153" t="str">
        <f>IF($A44="","",IF(I$31="","",IF(COUNTIFS(Votaciones!$A$2:$A$346,I$31,Votaciones!$B$2:$B$346,$M44)&gt;0,IF(COUNTIFS(Votaciones!$A$2:$A$346,I$31,Votaciones!$B$2:$B$346,$M44,Votaciones!$D$2:$D$346,"Consenso")&gt;0,"●",IF(COUNTIFS(Votaciones!$A$2:$A$346,I$31,Votaciones!$B$2:$B$346,$M44,Votaciones!$D$2:$D$346,"Disenso restrictivo")&gt;0,"▲",IF(COUNTIFS(Votaciones!$A$2:$A$346,I$31,Votaciones!$B$2:$B$346,$M44,Votaciones!$D$2:$D$346,"Disenso acomodaticio")&gt;0,"▼","?"))),IF(COUNTIFS(Participacion_Junta!$A$2:$A$346,I$31,Participacion_Junta!$B$2:$B$346,$M44)&gt;0,"○","?"))))</f>
        <v/>
      </c>
      <c r="J44" s="153" t="str">
        <f>IF($A44="","",IF(J$31="","",IF(COUNTIFS(Votaciones!$A$2:$A$346,J$31,Votaciones!$B$2:$B$346,$M44)&gt;0,IF(COUNTIFS(Votaciones!$A$2:$A$346,J$31,Votaciones!$B$2:$B$346,$M44,Votaciones!$D$2:$D$346,"Consenso")&gt;0,"●",IF(COUNTIFS(Votaciones!$A$2:$A$346,J$31,Votaciones!$B$2:$B$346,$M44,Votaciones!$D$2:$D$346,"Disenso restrictivo")&gt;0,"▲",IF(COUNTIFS(Votaciones!$A$2:$A$346,J$31,Votaciones!$B$2:$B$346,$M44,Votaciones!$D$2:$D$346,"Disenso acomodaticio")&gt;0,"▼","?"))),IF(COUNTIFS(Participacion_Junta!$A$2:$A$346,J$31,Participacion_Junta!$B$2:$B$346,$M44)&gt;0,"○","?"))))</f>
        <v/>
      </c>
      <c r="K44" s="153" t="str">
        <f>IF($A44="","",IF(K$31="","",IF(COUNTIFS(Votaciones!$A$2:$A$346,K$31,Votaciones!$B$2:$B$346,$M44)&gt;0,IF(COUNTIFS(Votaciones!$A$2:$A$346,K$31,Votaciones!$B$2:$B$346,$M44,Votaciones!$D$2:$D$346,"Consenso")&gt;0,"●",IF(COUNTIFS(Votaciones!$A$2:$A$346,K$31,Votaciones!$B$2:$B$346,$M44,Votaciones!$D$2:$D$346,"Disenso restrictivo")&gt;0,"▲",IF(COUNTIFS(Votaciones!$A$2:$A$346,K$31,Votaciones!$B$2:$B$346,$M44,Votaciones!$D$2:$D$346,"Disenso acomodaticio")&gt;0,"▼","?"))),IF(COUNTIFS(Participacion_Junta!$A$2:$A$346,K$31,Participacion_Junta!$B$2:$B$346,$M44)&gt;0,"○","?"))))</f>
        <v/>
      </c>
      <c r="L44" s="156" t="str">
        <f>IF($A44="","",IF(L$31="","",IF(COUNTIFS(Votaciones!$A$2:$A$346,L$31,Votaciones!$B$2:$B$346,$M44)&gt;0,IF(COUNTIFS(Votaciones!$A$2:$A$346,L$31,Votaciones!$B$2:$B$346,$M44,Votaciones!$D$2:$D$346,"Consenso")&gt;0,"●",IF(COUNTIFS(Votaciones!$A$2:$A$346,L$31,Votaciones!$B$2:$B$346,$M44,Votaciones!$D$2:$D$346,"Disenso restrictivo")&gt;0,"▲",IF(COUNTIFS(Votaciones!$A$2:$A$346,L$31,Votaciones!$B$2:$B$346,$M44,Votaciones!$D$2:$D$346,"Disenso acomodaticio")&gt;0,"▼","?"))),IF(COUNTIFS(Participacion_Junta!$A$2:$A$346,L$31,Participacion_Junta!$B$2:$B$346,$M44)&gt;0,"○","?"))))</f>
        <v/>
      </c>
      <c r="M44" t="str">
        <f>IFERROR(INDEX($K$351:$K$586,MATCH($X$2,$A$351:$A$586,0)),"")</f>
        <v/>
      </c>
      <c r="Z44" t="s">
        <v>103</v>
      </c>
      <c r="AA44" s="94">
        <v>38408</v>
      </c>
    </row>
    <row r="45" spans="1:27">
      <c r="Z45" t="s">
        <v>105</v>
      </c>
      <c r="AA45" s="94">
        <v>38434</v>
      </c>
    </row>
    <row r="46" spans="1:27">
      <c r="A46" s="101" t="s">
        <v>883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Z46" t="s">
        <v>107</v>
      </c>
      <c r="AA46" s="94">
        <v>38464</v>
      </c>
    </row>
    <row r="47" spans="1:27">
      <c r="Z47" t="s">
        <v>109</v>
      </c>
      <c r="AA47" s="94">
        <v>38499</v>
      </c>
    </row>
    <row r="48" spans="1:27" ht="28.05" customHeight="1">
      <c r="A48" s="102" t="s">
        <v>884</v>
      </c>
      <c r="B48" s="102"/>
      <c r="C48" s="102"/>
      <c r="D48" s="102"/>
      <c r="E48" s="102"/>
      <c r="F48" s="102"/>
      <c r="G48" s="102"/>
      <c r="H48" s="102"/>
      <c r="I48" s="102"/>
      <c r="Z48" t="s">
        <v>111</v>
      </c>
      <c r="AA48" s="94">
        <v>38527</v>
      </c>
    </row>
    <row r="49" spans="1:27" ht="43.95" customHeight="1">
      <c r="A49" s="47" t="s">
        <v>882</v>
      </c>
      <c r="B49" s="47" t="s">
        <v>885</v>
      </c>
      <c r="C49" s="47" t="s">
        <v>886</v>
      </c>
      <c r="D49" s="47" t="s">
        <v>887</v>
      </c>
      <c r="E49" s="47" t="s">
        <v>888</v>
      </c>
      <c r="F49" s="47" t="s">
        <v>889</v>
      </c>
      <c r="G49" s="47" t="s">
        <v>890</v>
      </c>
      <c r="H49" s="47" t="s">
        <v>891</v>
      </c>
      <c r="I49" s="47" t="s">
        <v>892</v>
      </c>
      <c r="Z49" t="s">
        <v>113</v>
      </c>
      <c r="AA49" s="94">
        <v>38555</v>
      </c>
    </row>
    <row r="50" spans="1:27" ht="22.95" customHeight="1">
      <c r="A50" s="162" t="str">
        <f>IF(OR($M35="",NOT(COUNTIFS(Participacion_Junta!$B$2:$B$346,$M35,Participacion_Junta!$A$2:$A$346,"&gt;="&amp;"D"&amp;TEXT(EDATE($E$22,-12),"yyyymmdd"),Participacion_Junta!$A$2:$A$346,"&lt;="&amp;$X$2,Participacion_Junta!$D$2:$D$346,"Presente")&gt;0)),"",$A35)</f>
        <v/>
      </c>
      <c r="B50" s="177" t="str">
        <f>IF($A50="","",COUNTIFS(Votaciones!$B$2:$B$346,$M35,Votaciones!$A$2:$A$346,"&lt;="&amp;$X$2,Votaciones!$E$2:$E$346,"Público"))</f>
        <v/>
      </c>
      <c r="C50" s="178" t="str">
        <f>IF($A50="","",IFERROR((COUNTIFS(Votaciones!$B$2:$B$346,$M35,Votaciones!$A$2:$A$346,"&lt;="&amp;$X$2,Votaciones!$E$2:$E$346,"Público",Votaciones!$D$2:$D$346,"Disenso restrictivo")+COUNTIFS(Votaciones!$B$2:$B$346,$M35,Votaciones!$A$2:$A$346,"&lt;="&amp;$X$2,Votaciones!$E$2:$E$346,"Público",Votaciones!$D$2:$D$346,"Disenso acomodaticio"))/$B50,0))</f>
        <v/>
      </c>
      <c r="D50" s="178" t="str">
        <f>IF($A50="","",IFERROR(COUNTIFS(Votaciones!$B$2:$B$346,$M35,Votaciones!$A$2:$A$346,"&lt;="&amp;$X$2,Votaciones!$E$2:$E$346,"Público",Votaciones!$D$2:$D$346,"Disenso restrictivo")/$B50,0))</f>
        <v/>
      </c>
      <c r="E50" s="178" t="str">
        <f>IF($A50="","",IFERROR(COUNTIFS(Votaciones!$B$2:$B$346,$M35,Votaciones!$A$2:$A$346,"&lt;="&amp;$X$2,Votaciones!$E$2:$E$346,"Público",Votaciones!$D$2:$D$346,"Disenso acomodaticio")/$B50,0))</f>
        <v/>
      </c>
      <c r="F50" s="177" t="str">
        <f>IF($A50="","",COUNTIFS(Votaciones!$B$2:$B$346,$M35,Votaciones!$A$2:$A$346,"&gt;="&amp;"D"&amp;TEXT(EDATE($E$22,-12),"yyyymmdd"),Votaciones!$A$2:$A$346,"&lt;="&amp;$X$2,Votaciones!$E$2:$E$346,"Público"))</f>
        <v/>
      </c>
      <c r="G50" s="178" t="str">
        <f>IF($A50="","",IFERROR((COUNTIFS(Votaciones!$B$2:$B$346,$M35,Votaciones!$A$2:$A$346,"&gt;="&amp;"D"&amp;TEXT(EDATE($E$22,-12),"yyyymmdd"),Votaciones!$A$2:$A$346,"&lt;="&amp;$X$2,Votaciones!$E$2:$E$346,"Público",Votaciones!$D$2:$D$346,"Disenso restrictivo")+COUNTIFS(Votaciones!$B$2:$B$346,$M35,Votaciones!$A$2:$A$346,"&gt;="&amp;"D"&amp;TEXT(EDATE($E$22,-12),"yyyymmdd"),Votaciones!$A$2:$A$346,"&lt;="&amp;$X$2,Votaciones!$E$2:$E$346,"Público",Votaciones!$D$2:$D$346,"Disenso acomodaticio"))/$F50,0))</f>
        <v/>
      </c>
      <c r="H50" s="178" t="str">
        <f>IF($A50="","",IFERROR(COUNTIFS(Votaciones!$B$2:$B$346,$M35,Votaciones!$A$2:$A$346,"&gt;="&amp;"D"&amp;TEXT(EDATE($E$22,-12),"yyyymmdd"),Votaciones!$A$2:$A$346,"&lt;="&amp;$X$2,Votaciones!$E$2:$E$346,"Público",Votaciones!$D$2:$D$346,"Disenso restrictivo")/$F50,0))</f>
        <v/>
      </c>
      <c r="I50" s="179" t="str">
        <f>IF($A50="","",IFERROR(COUNTIFS(Votaciones!$B$2:$B$346,$M35,Votaciones!$A$2:$A$346,"&gt;="&amp;"D"&amp;TEXT(EDATE($E$22,-12),"yyyymmdd"),Votaciones!$A$2:$A$346,"&lt;="&amp;$X$2,Votaciones!$E$2:$E$346,"Público",Votaciones!$D$2:$D$346,"Disenso acomodaticio")/$F50,0))</f>
        <v/>
      </c>
      <c r="Z50" t="s">
        <v>115</v>
      </c>
      <c r="AA50" s="94">
        <v>38590</v>
      </c>
    </row>
    <row r="51" spans="1:27" ht="22.95" customHeight="1">
      <c r="A51" s="154" t="str">
        <f>IF(OR($M36="",NOT(COUNTIFS(Participacion_Junta!$B$2:$B$346,$M36,Participacion_Junta!$A$2:$A$346,"&gt;="&amp;"D"&amp;TEXT(EDATE($E$22,-12),"yyyymmdd"),Participacion_Junta!$A$2:$A$346,"&lt;="&amp;$X$2,Participacion_Junta!$D$2:$D$346,"Presente")&gt;0)),"",$A36)</f>
        <v/>
      </c>
      <c r="B51" s="171" t="str">
        <f>IF($A51="","",COUNTIFS(Votaciones!$B$2:$B$346,$M36,Votaciones!$A$2:$A$346,"&lt;="&amp;$X$2,Votaciones!$E$2:$E$346,"Público"))</f>
        <v/>
      </c>
      <c r="C51" s="172" t="str">
        <f>IF($A51="","",IFERROR((COUNTIFS(Votaciones!$B$2:$B$346,$M36,Votaciones!$A$2:$A$346,"&lt;="&amp;$X$2,Votaciones!$E$2:$E$346,"Público",Votaciones!$D$2:$D$346,"Disenso restrictivo")+COUNTIFS(Votaciones!$B$2:$B$346,$M36,Votaciones!$A$2:$A$346,"&lt;="&amp;$X$2,Votaciones!$E$2:$E$346,"Público",Votaciones!$D$2:$D$346,"Disenso acomodaticio"))/$B51,0))</f>
        <v/>
      </c>
      <c r="D51" s="172" t="str">
        <f>IF($A51="","",IFERROR(COUNTIFS(Votaciones!$B$2:$B$346,$M36,Votaciones!$A$2:$A$346,"&lt;="&amp;$X$2,Votaciones!$E$2:$E$346,"Público",Votaciones!$D$2:$D$346,"Disenso restrictivo")/$B51,0))</f>
        <v/>
      </c>
      <c r="E51" s="172" t="str">
        <f>IF($A51="","",IFERROR(COUNTIFS(Votaciones!$B$2:$B$346,$M36,Votaciones!$A$2:$A$346,"&lt;="&amp;$X$2,Votaciones!$E$2:$E$346,"Público",Votaciones!$D$2:$D$346,"Disenso acomodaticio")/$B51,0))</f>
        <v/>
      </c>
      <c r="F51" s="171" t="str">
        <f>IF($A51="","",COUNTIFS(Votaciones!$B$2:$B$346,$M36,Votaciones!$A$2:$A$346,"&gt;="&amp;"D"&amp;TEXT(EDATE($E$22,-12),"yyyymmdd"),Votaciones!$A$2:$A$346,"&lt;="&amp;$X$2,Votaciones!$E$2:$E$346,"Público"))</f>
        <v/>
      </c>
      <c r="G51" s="172" t="str">
        <f>IF($A51="","",IFERROR((COUNTIFS(Votaciones!$B$2:$B$346,$M36,Votaciones!$A$2:$A$346,"&gt;="&amp;"D"&amp;TEXT(EDATE($E$22,-12),"yyyymmdd"),Votaciones!$A$2:$A$346,"&lt;="&amp;$X$2,Votaciones!$E$2:$E$346,"Público",Votaciones!$D$2:$D$346,"Disenso restrictivo")+COUNTIFS(Votaciones!$B$2:$B$346,$M36,Votaciones!$A$2:$A$346,"&gt;="&amp;"D"&amp;TEXT(EDATE($E$22,-12),"yyyymmdd"),Votaciones!$A$2:$A$346,"&lt;="&amp;$X$2,Votaciones!$E$2:$E$346,"Público",Votaciones!$D$2:$D$346,"Disenso acomodaticio"))/$F51,0))</f>
        <v/>
      </c>
      <c r="H51" s="172" t="str">
        <f>IF($A51="","",IFERROR(COUNTIFS(Votaciones!$B$2:$B$346,$M36,Votaciones!$A$2:$A$346,"&gt;="&amp;"D"&amp;TEXT(EDATE($E$22,-12),"yyyymmdd"),Votaciones!$A$2:$A$346,"&lt;="&amp;$X$2,Votaciones!$E$2:$E$346,"Público",Votaciones!$D$2:$D$346,"Disenso restrictivo")/$F51,0))</f>
        <v/>
      </c>
      <c r="I51" s="174" t="str">
        <f>IF($A51="","",IFERROR(COUNTIFS(Votaciones!$B$2:$B$346,$M36,Votaciones!$A$2:$A$346,"&gt;="&amp;"D"&amp;TEXT(EDATE($E$22,-12),"yyyymmdd"),Votaciones!$A$2:$A$346,"&lt;="&amp;$X$2,Votaciones!$E$2:$E$346,"Público",Votaciones!$D$2:$D$346,"Disenso acomodaticio")/$F51,0))</f>
        <v/>
      </c>
      <c r="Z51" t="s">
        <v>117</v>
      </c>
      <c r="AA51" s="94">
        <v>38618</v>
      </c>
    </row>
    <row r="52" spans="1:27" ht="22.95" customHeight="1">
      <c r="A52" s="154" t="str">
        <f>IF(OR($M37="",NOT(COUNTIFS(Participacion_Junta!$B$2:$B$346,$M37,Participacion_Junta!$A$2:$A$346,"&gt;="&amp;"D"&amp;TEXT(EDATE($E$22,-12),"yyyymmdd"),Participacion_Junta!$A$2:$A$346,"&lt;="&amp;$X$2,Participacion_Junta!$D$2:$D$346,"Presente")&gt;0)),"",$A37)</f>
        <v/>
      </c>
      <c r="B52" s="171" t="str">
        <f>IF($A52="","",COUNTIFS(Votaciones!$B$2:$B$346,$M37,Votaciones!$A$2:$A$346,"&lt;="&amp;$X$2,Votaciones!$E$2:$E$346,"Público"))</f>
        <v/>
      </c>
      <c r="C52" s="172" t="str">
        <f>IF($A52="","",IFERROR((COUNTIFS(Votaciones!$B$2:$B$346,$M37,Votaciones!$A$2:$A$346,"&lt;="&amp;$X$2,Votaciones!$E$2:$E$346,"Público",Votaciones!$D$2:$D$346,"Disenso restrictivo")+COUNTIFS(Votaciones!$B$2:$B$346,$M37,Votaciones!$A$2:$A$346,"&lt;="&amp;$X$2,Votaciones!$E$2:$E$346,"Público",Votaciones!$D$2:$D$346,"Disenso acomodaticio"))/$B52,0))</f>
        <v/>
      </c>
      <c r="D52" s="172" t="str">
        <f>IF($A52="","",IFERROR(COUNTIFS(Votaciones!$B$2:$B$346,$M37,Votaciones!$A$2:$A$346,"&lt;="&amp;$X$2,Votaciones!$E$2:$E$346,"Público",Votaciones!$D$2:$D$346,"Disenso restrictivo")/$B52,0))</f>
        <v/>
      </c>
      <c r="E52" s="172" t="str">
        <f>IF($A52="","",IFERROR(COUNTIFS(Votaciones!$B$2:$B$346,$M37,Votaciones!$A$2:$A$346,"&lt;="&amp;$X$2,Votaciones!$E$2:$E$346,"Público",Votaciones!$D$2:$D$346,"Disenso acomodaticio")/$B52,0))</f>
        <v/>
      </c>
      <c r="F52" s="171" t="str">
        <f>IF($A52="","",COUNTIFS(Votaciones!$B$2:$B$346,$M37,Votaciones!$A$2:$A$346,"&gt;="&amp;"D"&amp;TEXT(EDATE($E$22,-12),"yyyymmdd"),Votaciones!$A$2:$A$346,"&lt;="&amp;$X$2,Votaciones!$E$2:$E$346,"Público"))</f>
        <v/>
      </c>
      <c r="G52" s="172" t="str">
        <f>IF($A52="","",IFERROR((COUNTIFS(Votaciones!$B$2:$B$346,$M37,Votaciones!$A$2:$A$346,"&gt;="&amp;"D"&amp;TEXT(EDATE($E$22,-12),"yyyymmdd"),Votaciones!$A$2:$A$346,"&lt;="&amp;$X$2,Votaciones!$E$2:$E$346,"Público",Votaciones!$D$2:$D$346,"Disenso restrictivo")+COUNTIFS(Votaciones!$B$2:$B$346,$M37,Votaciones!$A$2:$A$346,"&gt;="&amp;"D"&amp;TEXT(EDATE($E$22,-12),"yyyymmdd"),Votaciones!$A$2:$A$346,"&lt;="&amp;$X$2,Votaciones!$E$2:$E$346,"Público",Votaciones!$D$2:$D$346,"Disenso acomodaticio"))/$F52,0))</f>
        <v/>
      </c>
      <c r="H52" s="172" t="str">
        <f>IF($A52="","",IFERROR(COUNTIFS(Votaciones!$B$2:$B$346,$M37,Votaciones!$A$2:$A$346,"&gt;="&amp;"D"&amp;TEXT(EDATE($E$22,-12),"yyyymmdd"),Votaciones!$A$2:$A$346,"&lt;="&amp;$X$2,Votaciones!$E$2:$E$346,"Público",Votaciones!$D$2:$D$346,"Disenso restrictivo")/$F52,0))</f>
        <v/>
      </c>
      <c r="I52" s="174" t="str">
        <f>IF($A52="","",IFERROR(COUNTIFS(Votaciones!$B$2:$B$346,$M37,Votaciones!$A$2:$A$346,"&gt;="&amp;"D"&amp;TEXT(EDATE($E$22,-12),"yyyymmdd"),Votaciones!$A$2:$A$346,"&lt;="&amp;$X$2,Votaciones!$E$2:$E$346,"Público",Votaciones!$D$2:$D$346,"Disenso acomodaticio")/$F52,0))</f>
        <v/>
      </c>
      <c r="N52" s="86"/>
      <c r="Z52" t="s">
        <v>119</v>
      </c>
      <c r="AA52" s="94">
        <v>38653</v>
      </c>
    </row>
    <row r="53" spans="1:27" ht="22.95" customHeight="1">
      <c r="A53" s="154" t="str">
        <f>IF(OR($M38="",NOT(COUNTIFS(Participacion_Junta!$B$2:$B$346,$M38,Participacion_Junta!$A$2:$A$346,"&gt;="&amp;"D"&amp;TEXT(EDATE($E$22,-12),"yyyymmdd"),Participacion_Junta!$A$2:$A$346,"&lt;="&amp;$X$2,Participacion_Junta!$D$2:$D$346,"Presente")&gt;0)),"",$A38)</f>
        <v/>
      </c>
      <c r="B53" s="171" t="str">
        <f>IF($A53="","",COUNTIFS(Votaciones!$B$2:$B$346,$M38,Votaciones!$A$2:$A$346,"&lt;="&amp;$X$2,Votaciones!$E$2:$E$346,"Público"))</f>
        <v/>
      </c>
      <c r="C53" s="172" t="str">
        <f>IF($A53="","",IFERROR((COUNTIFS(Votaciones!$B$2:$B$346,$M38,Votaciones!$A$2:$A$346,"&lt;="&amp;$X$2,Votaciones!$E$2:$E$346,"Público",Votaciones!$D$2:$D$346,"Disenso restrictivo")+COUNTIFS(Votaciones!$B$2:$B$346,$M38,Votaciones!$A$2:$A$346,"&lt;="&amp;$X$2,Votaciones!$E$2:$E$346,"Público",Votaciones!$D$2:$D$346,"Disenso acomodaticio"))/$B53,0))</f>
        <v/>
      </c>
      <c r="D53" s="172" t="str">
        <f>IF($A53="","",IFERROR(COUNTIFS(Votaciones!$B$2:$B$346,$M38,Votaciones!$A$2:$A$346,"&lt;="&amp;$X$2,Votaciones!$E$2:$E$346,"Público",Votaciones!$D$2:$D$346,"Disenso restrictivo")/$B53,0))</f>
        <v/>
      </c>
      <c r="E53" s="172" t="str">
        <f>IF($A53="","",IFERROR(COUNTIFS(Votaciones!$B$2:$B$346,$M38,Votaciones!$A$2:$A$346,"&lt;="&amp;$X$2,Votaciones!$E$2:$E$346,"Público",Votaciones!$D$2:$D$346,"Disenso acomodaticio")/$B53,0))</f>
        <v/>
      </c>
      <c r="F53" s="171" t="str">
        <f>IF($A53="","",COUNTIFS(Votaciones!$B$2:$B$346,$M38,Votaciones!$A$2:$A$346,"&gt;="&amp;"D"&amp;TEXT(EDATE($E$22,-12),"yyyymmdd"),Votaciones!$A$2:$A$346,"&lt;="&amp;$X$2,Votaciones!$E$2:$E$346,"Público"))</f>
        <v/>
      </c>
      <c r="G53" s="172" t="str">
        <f>IF($A53="","",IFERROR((COUNTIFS(Votaciones!$B$2:$B$346,$M38,Votaciones!$A$2:$A$346,"&gt;="&amp;"D"&amp;TEXT(EDATE($E$22,-12),"yyyymmdd"),Votaciones!$A$2:$A$346,"&lt;="&amp;$X$2,Votaciones!$E$2:$E$346,"Público",Votaciones!$D$2:$D$346,"Disenso restrictivo")+COUNTIFS(Votaciones!$B$2:$B$346,$M38,Votaciones!$A$2:$A$346,"&gt;="&amp;"D"&amp;TEXT(EDATE($E$22,-12),"yyyymmdd"),Votaciones!$A$2:$A$346,"&lt;="&amp;$X$2,Votaciones!$E$2:$E$346,"Público",Votaciones!$D$2:$D$346,"Disenso acomodaticio"))/$F53,0))</f>
        <v/>
      </c>
      <c r="H53" s="172" t="str">
        <f>IF($A53="","",IFERROR(COUNTIFS(Votaciones!$B$2:$B$346,$M38,Votaciones!$A$2:$A$346,"&gt;="&amp;"D"&amp;TEXT(EDATE($E$22,-12),"yyyymmdd"),Votaciones!$A$2:$A$346,"&lt;="&amp;$X$2,Votaciones!$E$2:$E$346,"Público",Votaciones!$D$2:$D$346,"Disenso restrictivo")/$F53,0))</f>
        <v/>
      </c>
      <c r="I53" s="174" t="str">
        <f>IF($A53="","",IFERROR(COUNTIFS(Votaciones!$B$2:$B$346,$M38,Votaciones!$A$2:$A$346,"&gt;="&amp;"D"&amp;TEXT(EDATE($E$22,-12),"yyyymmdd"),Votaciones!$A$2:$A$346,"&lt;="&amp;$X$2,Votaciones!$E$2:$E$346,"Público",Votaciones!$D$2:$D$346,"Disenso acomodaticio")/$F53,0))</f>
        <v/>
      </c>
      <c r="N53" s="87"/>
      <c r="Z53" t="s">
        <v>121</v>
      </c>
      <c r="AA53" s="94">
        <v>38681</v>
      </c>
    </row>
    <row r="54" spans="1:27" ht="22.95" customHeight="1">
      <c r="A54" s="154" t="str">
        <f>IF(OR($M39="",NOT(COUNTIFS(Participacion_Junta!$B$2:$B$346,$M39,Participacion_Junta!$A$2:$A$346,"&gt;="&amp;"D"&amp;TEXT(EDATE($E$22,-12),"yyyymmdd"),Participacion_Junta!$A$2:$A$346,"&lt;="&amp;$X$2,Participacion_Junta!$D$2:$D$346,"Presente")&gt;0)),"",$A39)</f>
        <v/>
      </c>
      <c r="B54" s="171" t="str">
        <f>IF($A54="","",COUNTIFS(Votaciones!$B$2:$B$346,$M39,Votaciones!$A$2:$A$346,"&lt;="&amp;$X$2,Votaciones!$E$2:$E$346,"Público"))</f>
        <v/>
      </c>
      <c r="C54" s="172" t="str">
        <f>IF($A54="","",IFERROR((COUNTIFS(Votaciones!$B$2:$B$346,$M39,Votaciones!$A$2:$A$346,"&lt;="&amp;$X$2,Votaciones!$E$2:$E$346,"Público",Votaciones!$D$2:$D$346,"Disenso restrictivo")+COUNTIFS(Votaciones!$B$2:$B$346,$M39,Votaciones!$A$2:$A$346,"&lt;="&amp;$X$2,Votaciones!$E$2:$E$346,"Público",Votaciones!$D$2:$D$346,"Disenso acomodaticio"))/$B54,0))</f>
        <v/>
      </c>
      <c r="D54" s="172" t="str">
        <f>IF($A54="","",IFERROR(COUNTIFS(Votaciones!$B$2:$B$346,$M39,Votaciones!$A$2:$A$346,"&lt;="&amp;$X$2,Votaciones!$E$2:$E$346,"Público",Votaciones!$D$2:$D$346,"Disenso restrictivo")/$B54,0))</f>
        <v/>
      </c>
      <c r="E54" s="172" t="str">
        <f>IF($A54="","",IFERROR(COUNTIFS(Votaciones!$B$2:$B$346,$M39,Votaciones!$A$2:$A$346,"&lt;="&amp;$X$2,Votaciones!$E$2:$E$346,"Público",Votaciones!$D$2:$D$346,"Disenso acomodaticio")/$B54,0))</f>
        <v/>
      </c>
      <c r="F54" s="171" t="str">
        <f>IF($A54="","",COUNTIFS(Votaciones!$B$2:$B$346,$M39,Votaciones!$A$2:$A$346,"&gt;="&amp;"D"&amp;TEXT(EDATE($E$22,-12),"yyyymmdd"),Votaciones!$A$2:$A$346,"&lt;="&amp;$X$2,Votaciones!$E$2:$E$346,"Público"))</f>
        <v/>
      </c>
      <c r="G54" s="172" t="str">
        <f>IF($A54="","",IFERROR((COUNTIFS(Votaciones!$B$2:$B$346,$M39,Votaciones!$A$2:$A$346,"&gt;="&amp;"D"&amp;TEXT(EDATE($E$22,-12),"yyyymmdd"),Votaciones!$A$2:$A$346,"&lt;="&amp;$X$2,Votaciones!$E$2:$E$346,"Público",Votaciones!$D$2:$D$346,"Disenso restrictivo")+COUNTIFS(Votaciones!$B$2:$B$346,$M39,Votaciones!$A$2:$A$346,"&gt;="&amp;"D"&amp;TEXT(EDATE($E$22,-12),"yyyymmdd"),Votaciones!$A$2:$A$346,"&lt;="&amp;$X$2,Votaciones!$E$2:$E$346,"Público",Votaciones!$D$2:$D$346,"Disenso acomodaticio"))/$F54,0))</f>
        <v/>
      </c>
      <c r="H54" s="172" t="str">
        <f>IF($A54="","",IFERROR(COUNTIFS(Votaciones!$B$2:$B$346,$M39,Votaciones!$A$2:$A$346,"&gt;="&amp;"D"&amp;TEXT(EDATE($E$22,-12),"yyyymmdd"),Votaciones!$A$2:$A$346,"&lt;="&amp;$X$2,Votaciones!$E$2:$E$346,"Público",Votaciones!$D$2:$D$346,"Disenso restrictivo")/$F54,0))</f>
        <v/>
      </c>
      <c r="I54" s="174" t="str">
        <f>IF($A54="","",IFERROR(COUNTIFS(Votaciones!$B$2:$B$346,$M39,Votaciones!$A$2:$A$346,"&gt;="&amp;"D"&amp;TEXT(EDATE($E$22,-12),"yyyymmdd"),Votaciones!$A$2:$A$346,"&lt;="&amp;$X$2,Votaciones!$E$2:$E$346,"Público",Votaciones!$D$2:$D$346,"Disenso acomodaticio")/$F54,0))</f>
        <v/>
      </c>
      <c r="Z54" t="s">
        <v>123</v>
      </c>
      <c r="AA54" s="94">
        <v>38695</v>
      </c>
    </row>
    <row r="55" spans="1:27" ht="22.95" customHeight="1">
      <c r="A55" s="154" t="str">
        <f>IF(OR($M40="",NOT(COUNTIFS(Participacion_Junta!$B$2:$B$346,$M40,Participacion_Junta!$A$2:$A$346,"&gt;="&amp;"D"&amp;TEXT(EDATE($E$22,-12),"yyyymmdd"),Participacion_Junta!$A$2:$A$346,"&lt;="&amp;$X$2,Participacion_Junta!$D$2:$D$346,"Presente")&gt;0)),"",$A40)</f>
        <v/>
      </c>
      <c r="B55" s="171" t="str">
        <f>IF($A55="","",COUNTIFS(Votaciones!$B$2:$B$346,$M40,Votaciones!$A$2:$A$346,"&lt;="&amp;$X$2,Votaciones!$E$2:$E$346,"Público"))</f>
        <v/>
      </c>
      <c r="C55" s="172" t="str">
        <f>IF($A55="","",IFERROR((COUNTIFS(Votaciones!$B$2:$B$346,$M40,Votaciones!$A$2:$A$346,"&lt;="&amp;$X$2,Votaciones!$E$2:$E$346,"Público",Votaciones!$D$2:$D$346,"Disenso restrictivo")+COUNTIFS(Votaciones!$B$2:$B$346,$M40,Votaciones!$A$2:$A$346,"&lt;="&amp;$X$2,Votaciones!$E$2:$E$346,"Público",Votaciones!$D$2:$D$346,"Disenso acomodaticio"))/$B55,0))</f>
        <v/>
      </c>
      <c r="D55" s="172" t="str">
        <f>IF($A55="","",IFERROR(COUNTIFS(Votaciones!$B$2:$B$346,$M40,Votaciones!$A$2:$A$346,"&lt;="&amp;$X$2,Votaciones!$E$2:$E$346,"Público",Votaciones!$D$2:$D$346,"Disenso restrictivo")/$B55,0))</f>
        <v/>
      </c>
      <c r="E55" s="172" t="str">
        <f>IF($A55="","",IFERROR(COUNTIFS(Votaciones!$B$2:$B$346,$M40,Votaciones!$A$2:$A$346,"&lt;="&amp;$X$2,Votaciones!$E$2:$E$346,"Público",Votaciones!$D$2:$D$346,"Disenso acomodaticio")/$B55,0))</f>
        <v/>
      </c>
      <c r="F55" s="171" t="str">
        <f>IF($A55="","",COUNTIFS(Votaciones!$B$2:$B$346,$M40,Votaciones!$A$2:$A$346,"&gt;="&amp;"D"&amp;TEXT(EDATE($E$22,-12),"yyyymmdd"),Votaciones!$A$2:$A$346,"&lt;="&amp;$X$2,Votaciones!$E$2:$E$346,"Público"))</f>
        <v/>
      </c>
      <c r="G55" s="172" t="str">
        <f>IF($A55="","",IFERROR((COUNTIFS(Votaciones!$B$2:$B$346,$M40,Votaciones!$A$2:$A$346,"&gt;="&amp;"D"&amp;TEXT(EDATE($E$22,-12),"yyyymmdd"),Votaciones!$A$2:$A$346,"&lt;="&amp;$X$2,Votaciones!$E$2:$E$346,"Público",Votaciones!$D$2:$D$346,"Disenso restrictivo")+COUNTIFS(Votaciones!$B$2:$B$346,$M40,Votaciones!$A$2:$A$346,"&gt;="&amp;"D"&amp;TEXT(EDATE($E$22,-12),"yyyymmdd"),Votaciones!$A$2:$A$346,"&lt;="&amp;$X$2,Votaciones!$E$2:$E$346,"Público",Votaciones!$D$2:$D$346,"Disenso acomodaticio"))/$F55,0))</f>
        <v/>
      </c>
      <c r="H55" s="172" t="str">
        <f>IF($A55="","",IFERROR(COUNTIFS(Votaciones!$B$2:$B$346,$M40,Votaciones!$A$2:$A$346,"&gt;="&amp;"D"&amp;TEXT(EDATE($E$22,-12),"yyyymmdd"),Votaciones!$A$2:$A$346,"&lt;="&amp;$X$2,Votaciones!$E$2:$E$346,"Público",Votaciones!$D$2:$D$346,"Disenso restrictivo")/$F55,0))</f>
        <v/>
      </c>
      <c r="I55" s="174" t="str">
        <f>IF($A55="","",IFERROR(COUNTIFS(Votaciones!$B$2:$B$346,$M40,Votaciones!$A$2:$A$346,"&gt;="&amp;"D"&amp;TEXT(EDATE($E$22,-12),"yyyymmdd"),Votaciones!$A$2:$A$346,"&lt;="&amp;$X$2,Votaciones!$E$2:$E$346,"Público",Votaciones!$D$2:$D$346,"Disenso acomodaticio")/$F55,0))</f>
        <v/>
      </c>
      <c r="Z55" t="s">
        <v>125</v>
      </c>
      <c r="AA55" s="94">
        <v>38744</v>
      </c>
    </row>
    <row r="56" spans="1:27" ht="22.95" customHeight="1">
      <c r="A56" s="154" t="str">
        <f>IF(OR($M41="",NOT(COUNTIFS(Participacion_Junta!$B$2:$B$346,$M41,Participacion_Junta!$A$2:$A$346,"&gt;="&amp;"D"&amp;TEXT(EDATE($E$22,-12),"yyyymmdd"),Participacion_Junta!$A$2:$A$346,"&lt;="&amp;$X$2,Participacion_Junta!$D$2:$D$346,"Presente")&gt;0)),"",$A41)</f>
        <v/>
      </c>
      <c r="B56" s="171" t="str">
        <f>IF($A56="","",COUNTIFS(Votaciones!$B$2:$B$346,$M41,Votaciones!$A$2:$A$346,"&lt;="&amp;$X$2,Votaciones!$E$2:$E$346,"Público"))</f>
        <v/>
      </c>
      <c r="C56" s="172" t="str">
        <f>IF($A56="","",IFERROR((COUNTIFS(Votaciones!$B$2:$B$346,$M41,Votaciones!$A$2:$A$346,"&lt;="&amp;$X$2,Votaciones!$E$2:$E$346,"Público",Votaciones!$D$2:$D$346,"Disenso restrictivo")+COUNTIFS(Votaciones!$B$2:$B$346,$M41,Votaciones!$A$2:$A$346,"&lt;="&amp;$X$2,Votaciones!$E$2:$E$346,"Público",Votaciones!$D$2:$D$346,"Disenso acomodaticio"))/$B56,0))</f>
        <v/>
      </c>
      <c r="D56" s="172" t="str">
        <f>IF($A56="","",IFERROR(COUNTIFS(Votaciones!$B$2:$B$346,$M41,Votaciones!$A$2:$A$346,"&lt;="&amp;$X$2,Votaciones!$E$2:$E$346,"Público",Votaciones!$D$2:$D$346,"Disenso restrictivo")/$B56,0))</f>
        <v/>
      </c>
      <c r="E56" s="172" t="str">
        <f>IF($A56="","",IFERROR(COUNTIFS(Votaciones!$B$2:$B$346,$M41,Votaciones!$A$2:$A$346,"&lt;="&amp;$X$2,Votaciones!$E$2:$E$346,"Público",Votaciones!$D$2:$D$346,"Disenso acomodaticio")/$B56,0))</f>
        <v/>
      </c>
      <c r="F56" s="171" t="str">
        <f>IF($A56="","",COUNTIFS(Votaciones!$B$2:$B$346,$M41,Votaciones!$A$2:$A$346,"&gt;="&amp;"D"&amp;TEXT(EDATE($E$22,-12),"yyyymmdd"),Votaciones!$A$2:$A$346,"&lt;="&amp;$X$2,Votaciones!$E$2:$E$346,"Público"))</f>
        <v/>
      </c>
      <c r="G56" s="172" t="str">
        <f>IF($A56="","",IFERROR((COUNTIFS(Votaciones!$B$2:$B$346,$M41,Votaciones!$A$2:$A$346,"&gt;="&amp;"D"&amp;TEXT(EDATE($E$22,-12),"yyyymmdd"),Votaciones!$A$2:$A$346,"&lt;="&amp;$X$2,Votaciones!$E$2:$E$346,"Público",Votaciones!$D$2:$D$346,"Disenso restrictivo")+COUNTIFS(Votaciones!$B$2:$B$346,$M41,Votaciones!$A$2:$A$346,"&gt;="&amp;"D"&amp;TEXT(EDATE($E$22,-12),"yyyymmdd"),Votaciones!$A$2:$A$346,"&lt;="&amp;$X$2,Votaciones!$E$2:$E$346,"Público",Votaciones!$D$2:$D$346,"Disenso acomodaticio"))/$F56,0))</f>
        <v/>
      </c>
      <c r="H56" s="172" t="str">
        <f>IF($A56="","",IFERROR(COUNTIFS(Votaciones!$B$2:$B$346,$M41,Votaciones!$A$2:$A$346,"&gt;="&amp;"D"&amp;TEXT(EDATE($E$22,-12),"yyyymmdd"),Votaciones!$A$2:$A$346,"&lt;="&amp;$X$2,Votaciones!$E$2:$E$346,"Público",Votaciones!$D$2:$D$346,"Disenso restrictivo")/$F56,0))</f>
        <v/>
      </c>
      <c r="I56" s="174" t="str">
        <f>IF($A56="","",IFERROR(COUNTIFS(Votaciones!$B$2:$B$346,$M41,Votaciones!$A$2:$A$346,"&gt;="&amp;"D"&amp;TEXT(EDATE($E$22,-12),"yyyymmdd"),Votaciones!$A$2:$A$346,"&lt;="&amp;$X$2,Votaciones!$E$2:$E$346,"Público",Votaciones!$D$2:$D$346,"Disenso acomodaticio")/$F56,0))</f>
        <v/>
      </c>
      <c r="Z56" t="s">
        <v>127</v>
      </c>
      <c r="AA56" s="94">
        <v>38772</v>
      </c>
    </row>
    <row r="57" spans="1:27" ht="22.95" customHeight="1">
      <c r="A57" s="154" t="str">
        <f>IF(OR($M42="",NOT(COUNTIFS(Participacion_Junta!$B$2:$B$346,$M42,Participacion_Junta!$A$2:$A$346,"&gt;="&amp;"D"&amp;TEXT(EDATE($E$22,-12),"yyyymmdd"),Participacion_Junta!$A$2:$A$346,"&lt;="&amp;$X$2,Participacion_Junta!$D$2:$D$346,"Presente")&gt;0)),"",$A42)</f>
        <v/>
      </c>
      <c r="B57" s="171" t="str">
        <f>IF($A57="","",COUNTIFS(Votaciones!$B$2:$B$346,$M42,Votaciones!$A$2:$A$346,"&lt;="&amp;$X$2,Votaciones!$E$2:$E$346,"Público"))</f>
        <v/>
      </c>
      <c r="C57" s="172" t="str">
        <f>IF($A57="","",IFERROR((COUNTIFS(Votaciones!$B$2:$B$346,$M42,Votaciones!$A$2:$A$346,"&lt;="&amp;$X$2,Votaciones!$E$2:$E$346,"Público",Votaciones!$D$2:$D$346,"Disenso restrictivo")+COUNTIFS(Votaciones!$B$2:$B$346,$M42,Votaciones!$A$2:$A$346,"&lt;="&amp;$X$2,Votaciones!$E$2:$E$346,"Público",Votaciones!$D$2:$D$346,"Disenso acomodaticio"))/$B57,0))</f>
        <v/>
      </c>
      <c r="D57" s="172" t="str">
        <f>IF($A57="","",IFERROR(COUNTIFS(Votaciones!$B$2:$B$346,$M42,Votaciones!$A$2:$A$346,"&lt;="&amp;$X$2,Votaciones!$E$2:$E$346,"Público",Votaciones!$D$2:$D$346,"Disenso restrictivo")/$B57,0))</f>
        <v/>
      </c>
      <c r="E57" s="172" t="str">
        <f>IF($A57="","",IFERROR(COUNTIFS(Votaciones!$B$2:$B$346,$M42,Votaciones!$A$2:$A$346,"&lt;="&amp;$X$2,Votaciones!$E$2:$E$346,"Público",Votaciones!$D$2:$D$346,"Disenso acomodaticio")/$B57,0))</f>
        <v/>
      </c>
      <c r="F57" s="171" t="str">
        <f>IF($A57="","",COUNTIFS(Votaciones!$B$2:$B$346,$M42,Votaciones!$A$2:$A$346,"&gt;="&amp;"D"&amp;TEXT(EDATE($E$22,-12),"yyyymmdd"),Votaciones!$A$2:$A$346,"&lt;="&amp;$X$2,Votaciones!$E$2:$E$346,"Público"))</f>
        <v/>
      </c>
      <c r="G57" s="172" t="str">
        <f>IF($A57="","",IFERROR((COUNTIFS(Votaciones!$B$2:$B$346,$M42,Votaciones!$A$2:$A$346,"&gt;="&amp;"D"&amp;TEXT(EDATE($E$22,-12),"yyyymmdd"),Votaciones!$A$2:$A$346,"&lt;="&amp;$X$2,Votaciones!$E$2:$E$346,"Público",Votaciones!$D$2:$D$346,"Disenso restrictivo")+COUNTIFS(Votaciones!$B$2:$B$346,$M42,Votaciones!$A$2:$A$346,"&gt;="&amp;"D"&amp;TEXT(EDATE($E$22,-12),"yyyymmdd"),Votaciones!$A$2:$A$346,"&lt;="&amp;$X$2,Votaciones!$E$2:$E$346,"Público",Votaciones!$D$2:$D$346,"Disenso acomodaticio"))/$F57,0))</f>
        <v/>
      </c>
      <c r="H57" s="172" t="str">
        <f>IF($A57="","",IFERROR(COUNTIFS(Votaciones!$B$2:$B$346,$M42,Votaciones!$A$2:$A$346,"&gt;="&amp;"D"&amp;TEXT(EDATE($E$22,-12),"yyyymmdd"),Votaciones!$A$2:$A$346,"&lt;="&amp;$X$2,Votaciones!$E$2:$E$346,"Público",Votaciones!$D$2:$D$346,"Disenso restrictivo")/$F57,0))</f>
        <v/>
      </c>
      <c r="I57" s="174" t="str">
        <f>IF($A57="","",IFERROR(COUNTIFS(Votaciones!$B$2:$B$346,$M42,Votaciones!$A$2:$A$346,"&gt;="&amp;"D"&amp;TEXT(EDATE($E$22,-12),"yyyymmdd"),Votaciones!$A$2:$A$346,"&lt;="&amp;$X$2,Votaciones!$E$2:$E$346,"Público",Votaciones!$D$2:$D$346,"Disenso acomodaticio")/$F57,0))</f>
        <v/>
      </c>
      <c r="Z57" t="s">
        <v>129</v>
      </c>
      <c r="AA57" s="94">
        <v>38800</v>
      </c>
    </row>
    <row r="58" spans="1:27" ht="22.95" customHeight="1">
      <c r="A58" s="154" t="str">
        <f>IF(OR($M43="",NOT(COUNTIFS(Participacion_Junta!$B$2:$B$346,$M43,Participacion_Junta!$A$2:$A$346,"&gt;="&amp;"D"&amp;TEXT(EDATE($E$22,-12),"yyyymmdd"),Participacion_Junta!$A$2:$A$346,"&lt;="&amp;$X$2,Participacion_Junta!$D$2:$D$346,"Presente")&gt;0)),"",$A43)</f>
        <v/>
      </c>
      <c r="B58" s="171" t="str">
        <f>IF($A58="","",COUNTIFS(Votaciones!$B$2:$B$346,$M43,Votaciones!$A$2:$A$346,"&lt;="&amp;$X$2,Votaciones!$E$2:$E$346,"Público"))</f>
        <v/>
      </c>
      <c r="C58" s="172" t="str">
        <f>IF($A58="","",IFERROR((COUNTIFS(Votaciones!$B$2:$B$346,$M43,Votaciones!$A$2:$A$346,"&lt;="&amp;$X$2,Votaciones!$E$2:$E$346,"Público",Votaciones!$D$2:$D$346,"Disenso restrictivo")+COUNTIFS(Votaciones!$B$2:$B$346,$M43,Votaciones!$A$2:$A$346,"&lt;="&amp;$X$2,Votaciones!$E$2:$E$346,"Público",Votaciones!$D$2:$D$346,"Disenso acomodaticio"))/$B58,0))</f>
        <v/>
      </c>
      <c r="D58" s="172" t="str">
        <f>IF($A58="","",IFERROR(COUNTIFS(Votaciones!$B$2:$B$346,$M43,Votaciones!$A$2:$A$346,"&lt;="&amp;$X$2,Votaciones!$E$2:$E$346,"Público",Votaciones!$D$2:$D$346,"Disenso restrictivo")/$B58,0))</f>
        <v/>
      </c>
      <c r="E58" s="172" t="str">
        <f>IF($A58="","",IFERROR(COUNTIFS(Votaciones!$B$2:$B$346,$M43,Votaciones!$A$2:$A$346,"&lt;="&amp;$X$2,Votaciones!$E$2:$E$346,"Público",Votaciones!$D$2:$D$346,"Disenso acomodaticio")/$B58,0))</f>
        <v/>
      </c>
      <c r="F58" s="171" t="str">
        <f>IF($A58="","",COUNTIFS(Votaciones!$B$2:$B$346,$M43,Votaciones!$A$2:$A$346,"&gt;="&amp;"D"&amp;TEXT(EDATE($E$22,-12),"yyyymmdd"),Votaciones!$A$2:$A$346,"&lt;="&amp;$X$2,Votaciones!$E$2:$E$346,"Público"))</f>
        <v/>
      </c>
      <c r="G58" s="172" t="str">
        <f>IF($A58="","",IFERROR((COUNTIFS(Votaciones!$B$2:$B$346,$M43,Votaciones!$A$2:$A$346,"&gt;="&amp;"D"&amp;TEXT(EDATE($E$22,-12),"yyyymmdd"),Votaciones!$A$2:$A$346,"&lt;="&amp;$X$2,Votaciones!$E$2:$E$346,"Público",Votaciones!$D$2:$D$346,"Disenso restrictivo")+COUNTIFS(Votaciones!$B$2:$B$346,$M43,Votaciones!$A$2:$A$346,"&gt;="&amp;"D"&amp;TEXT(EDATE($E$22,-12),"yyyymmdd"),Votaciones!$A$2:$A$346,"&lt;="&amp;$X$2,Votaciones!$E$2:$E$346,"Público",Votaciones!$D$2:$D$346,"Disenso acomodaticio"))/$F58,0))</f>
        <v/>
      </c>
      <c r="H58" s="172" t="str">
        <f>IF($A58="","",IFERROR(COUNTIFS(Votaciones!$B$2:$B$346,$M43,Votaciones!$A$2:$A$346,"&gt;="&amp;"D"&amp;TEXT(EDATE($E$22,-12),"yyyymmdd"),Votaciones!$A$2:$A$346,"&lt;="&amp;$X$2,Votaciones!$E$2:$E$346,"Público",Votaciones!$D$2:$D$346,"Disenso restrictivo")/$F58,0))</f>
        <v/>
      </c>
      <c r="I58" s="174" t="str">
        <f>IF($A58="","",IFERROR(COUNTIFS(Votaciones!$B$2:$B$346,$M43,Votaciones!$A$2:$A$346,"&gt;="&amp;"D"&amp;TEXT(EDATE($E$22,-12),"yyyymmdd"),Votaciones!$A$2:$A$346,"&lt;="&amp;$X$2,Votaciones!$E$2:$E$346,"Público",Votaciones!$D$2:$D$346,"Disenso acomodaticio")/$F58,0))</f>
        <v/>
      </c>
      <c r="Z58" t="s">
        <v>131</v>
      </c>
      <c r="AA58" s="94">
        <v>38828</v>
      </c>
    </row>
    <row r="59" spans="1:27" ht="22.95" customHeight="1">
      <c r="A59" s="155" t="str">
        <f>IF(OR($M44="",NOT(COUNTIFS(Participacion_Junta!$B$2:$B$346,$M44,Participacion_Junta!$A$2:$A$346,"&gt;="&amp;"D"&amp;TEXT(EDATE($E$22,-12),"yyyymmdd"),Participacion_Junta!$A$2:$A$346,"&lt;="&amp;$X$2,Participacion_Junta!$D$2:$D$346,"Presente")&gt;0)),"",$A44)</f>
        <v/>
      </c>
      <c r="B59" s="173" t="str">
        <f>IF($A59="","",COUNTIFS(Votaciones!$B$2:$B$346,$M44,Votaciones!$A$2:$A$346,"&lt;="&amp;$X$2,Votaciones!$E$2:$E$346,"Público"))</f>
        <v/>
      </c>
      <c r="C59" s="175" t="str">
        <f>IF($A59="","",IFERROR((COUNTIFS(Votaciones!$B$2:$B$346,$M44,Votaciones!$A$2:$A$346,"&lt;="&amp;$X$2,Votaciones!$E$2:$E$346,"Público",Votaciones!$D$2:$D$346,"Disenso restrictivo")+COUNTIFS(Votaciones!$B$2:$B$346,$M44,Votaciones!$A$2:$A$346,"&lt;="&amp;$X$2,Votaciones!$E$2:$E$346,"Público",Votaciones!$D$2:$D$346,"Disenso acomodaticio"))/$B59,0))</f>
        <v/>
      </c>
      <c r="D59" s="175" t="str">
        <f>IF($A59="","",IFERROR(COUNTIFS(Votaciones!$B$2:$B$346,$M44,Votaciones!$A$2:$A$346,"&lt;="&amp;$X$2,Votaciones!$E$2:$E$346,"Público",Votaciones!$D$2:$D$346,"Disenso restrictivo")/$B59,0))</f>
        <v/>
      </c>
      <c r="E59" s="175" t="str">
        <f>IF($A59="","",IFERROR(COUNTIFS(Votaciones!$B$2:$B$346,$M44,Votaciones!$A$2:$A$346,"&lt;="&amp;$X$2,Votaciones!$E$2:$E$346,"Público",Votaciones!$D$2:$D$346,"Disenso acomodaticio")/$B59,0))</f>
        <v/>
      </c>
      <c r="F59" s="173" t="str">
        <f>IF($A59="","",COUNTIFS(Votaciones!$B$2:$B$346,$M44,Votaciones!$A$2:$A$346,"&gt;="&amp;"D"&amp;TEXT(EDATE($E$22,-12),"yyyymmdd"),Votaciones!$A$2:$A$346,"&lt;="&amp;$X$2,Votaciones!$E$2:$E$346,"Público"))</f>
        <v/>
      </c>
      <c r="G59" s="175" t="str">
        <f>IF($A59="","",IFERROR((COUNTIFS(Votaciones!$B$2:$B$346,$M44,Votaciones!$A$2:$A$346,"&gt;="&amp;"D"&amp;TEXT(EDATE($E$22,-12),"yyyymmdd"),Votaciones!$A$2:$A$346,"&lt;="&amp;$X$2,Votaciones!$E$2:$E$346,"Público",Votaciones!$D$2:$D$346,"Disenso restrictivo")+COUNTIFS(Votaciones!$B$2:$B$346,$M44,Votaciones!$A$2:$A$346,"&gt;="&amp;"D"&amp;TEXT(EDATE($E$22,-12),"yyyymmdd"),Votaciones!$A$2:$A$346,"&lt;="&amp;$X$2,Votaciones!$E$2:$E$346,"Público",Votaciones!$D$2:$D$346,"Disenso acomodaticio"))/$F59,0))</f>
        <v/>
      </c>
      <c r="H59" s="175" t="str">
        <f>IF($A59="","",IFERROR(COUNTIFS(Votaciones!$B$2:$B$346,$M44,Votaciones!$A$2:$A$346,"&gt;="&amp;"D"&amp;TEXT(EDATE($E$22,-12),"yyyymmdd"),Votaciones!$A$2:$A$346,"&lt;="&amp;$X$2,Votaciones!$E$2:$E$346,"Público",Votaciones!$D$2:$D$346,"Disenso restrictivo")/$F59,0))</f>
        <v/>
      </c>
      <c r="I59" s="176" t="str">
        <f>IF($A59="","",IFERROR(COUNTIFS(Votaciones!$B$2:$B$346,$M44,Votaciones!$A$2:$A$346,"&gt;="&amp;"D"&amp;TEXT(EDATE($E$22,-12),"yyyymmdd"),Votaciones!$A$2:$A$346,"&lt;="&amp;$X$2,Votaciones!$E$2:$E$346,"Público",Votaciones!$D$2:$D$346,"Disenso acomodaticio")/$F59,0))</f>
        <v/>
      </c>
      <c r="Z59" t="s">
        <v>133</v>
      </c>
      <c r="AA59" s="94">
        <v>38863</v>
      </c>
    </row>
    <row r="60" spans="1:27">
      <c r="Z60" t="s">
        <v>135</v>
      </c>
      <c r="AA60" s="94">
        <v>38891</v>
      </c>
    </row>
    <row r="61" spans="1:27">
      <c r="Z61" t="s">
        <v>137</v>
      </c>
      <c r="AA61" s="94">
        <v>38926</v>
      </c>
    </row>
    <row r="62" spans="1:27">
      <c r="Z62" t="s">
        <v>139</v>
      </c>
      <c r="AA62" s="94">
        <v>38954</v>
      </c>
    </row>
    <row r="63" spans="1:27">
      <c r="Z63" t="s">
        <v>141</v>
      </c>
      <c r="AA63" s="94">
        <v>38982</v>
      </c>
    </row>
    <row r="64" spans="1:27">
      <c r="Z64" t="s">
        <v>143</v>
      </c>
      <c r="AA64" s="94">
        <v>39017</v>
      </c>
    </row>
    <row r="65" spans="1:27">
      <c r="Z65" t="s">
        <v>145</v>
      </c>
      <c r="AA65" s="94">
        <v>39045</v>
      </c>
    </row>
    <row r="66" spans="1:27">
      <c r="Z66" t="s">
        <v>147</v>
      </c>
      <c r="AA66" s="94">
        <v>39059</v>
      </c>
    </row>
    <row r="67" spans="1:27">
      <c r="Z67" t="s">
        <v>149</v>
      </c>
      <c r="AA67" s="94">
        <v>39108</v>
      </c>
    </row>
    <row r="68" spans="1:27">
      <c r="Z68" t="s">
        <v>151</v>
      </c>
      <c r="AA68" s="94">
        <v>39136</v>
      </c>
    </row>
    <row r="69" spans="1:27">
      <c r="Z69" t="s">
        <v>153</v>
      </c>
      <c r="AA69" s="94">
        <v>39164</v>
      </c>
    </row>
    <row r="70" spans="1:27">
      <c r="Z70" t="s">
        <v>155</v>
      </c>
      <c r="AA70" s="94">
        <v>39199</v>
      </c>
    </row>
    <row r="71" spans="1:27">
      <c r="Z71" t="s">
        <v>158</v>
      </c>
      <c r="AA71" s="94">
        <v>39227</v>
      </c>
    </row>
    <row r="72" spans="1:27">
      <c r="Z72" t="s">
        <v>160</v>
      </c>
      <c r="AA72" s="94">
        <v>39255</v>
      </c>
    </row>
    <row r="73" spans="1:27">
      <c r="Z73" t="s">
        <v>162</v>
      </c>
      <c r="AA73" s="94">
        <v>39290</v>
      </c>
    </row>
    <row r="74" spans="1:27">
      <c r="Z74" t="s">
        <v>164</v>
      </c>
      <c r="AA74" s="94">
        <v>39318</v>
      </c>
    </row>
    <row r="75" spans="1:27">
      <c r="Z75" t="s">
        <v>166</v>
      </c>
      <c r="AA75" s="94">
        <v>39346</v>
      </c>
    </row>
    <row r="76" spans="1:27">
      <c r="Z76" t="s">
        <v>168</v>
      </c>
      <c r="AA76" s="94">
        <v>39381</v>
      </c>
    </row>
    <row r="77" spans="1:27">
      <c r="Z77" t="s">
        <v>170</v>
      </c>
      <c r="AA77" s="94">
        <v>39409</v>
      </c>
    </row>
    <row r="78" spans="1:27">
      <c r="Z78" t="s">
        <v>172</v>
      </c>
      <c r="AA78" s="94">
        <v>39423</v>
      </c>
    </row>
    <row r="79" spans="1:27">
      <c r="Z79" t="s">
        <v>174</v>
      </c>
      <c r="AA79" s="94">
        <v>39465</v>
      </c>
    </row>
    <row r="80" spans="1:27">
      <c r="A80" s="38" t="s">
        <v>871</v>
      </c>
      <c r="B80" s="38" t="s">
        <v>177</v>
      </c>
      <c r="C80" s="38" t="s">
        <v>893</v>
      </c>
      <c r="Z80" t="s">
        <v>176</v>
      </c>
      <c r="AA80" s="94">
        <v>39493</v>
      </c>
    </row>
    <row r="81" spans="1:27">
      <c r="A81" s="39" t="str">
        <f>TEXT(Decisiones!B80,"yyyy-mm")</f>
        <v>2008-02</v>
      </c>
      <c r="B81" s="40">
        <f>Decisiones!H80</f>
        <v>7.5</v>
      </c>
      <c r="C81" s="41">
        <f>IF(Decisiones!K80="",0,Decisiones!K80)</f>
        <v>0</v>
      </c>
      <c r="Z81" t="s">
        <v>180</v>
      </c>
      <c r="AA81" s="94">
        <v>39521</v>
      </c>
    </row>
    <row r="82" spans="1:27">
      <c r="A82" s="39" t="str">
        <f>TEXT(Decisiones!B81,"yyyy-mm")</f>
        <v>2008-03</v>
      </c>
      <c r="B82" s="40">
        <f>Decisiones!H81</f>
        <v>7.5</v>
      </c>
      <c r="C82" s="41">
        <f>IF(Decisiones!K81="",0,Decisiones!K81)</f>
        <v>0</v>
      </c>
      <c r="Z82" t="s">
        <v>182</v>
      </c>
      <c r="AA82" s="94">
        <v>39556</v>
      </c>
    </row>
    <row r="83" spans="1:27">
      <c r="A83" s="39" t="str">
        <f>TEXT(Decisiones!B82,"yyyy-mm")</f>
        <v>2008-04</v>
      </c>
      <c r="B83" s="40">
        <f>Decisiones!H82</f>
        <v>7.5</v>
      </c>
      <c r="C83" s="41">
        <f>IF(Decisiones!K82="",0,Decisiones!K82)</f>
        <v>0</v>
      </c>
      <c r="Z83" t="s">
        <v>184</v>
      </c>
      <c r="AA83" s="94">
        <v>39584</v>
      </c>
    </row>
    <row r="84" spans="1:27">
      <c r="A84" s="39" t="str">
        <f>TEXT(Decisiones!B83,"yyyy-mm")</f>
        <v>2008-05</v>
      </c>
      <c r="B84" s="40">
        <f>Decisiones!H83</f>
        <v>7.5</v>
      </c>
      <c r="C84" s="41">
        <f>IF(Decisiones!K83="",0,Decisiones!K83)</f>
        <v>0</v>
      </c>
      <c r="Z84" t="s">
        <v>186</v>
      </c>
      <c r="AA84" s="94">
        <v>39619</v>
      </c>
    </row>
    <row r="85" spans="1:27">
      <c r="A85" s="39" t="str">
        <f>TEXT(Decisiones!B84,"yyyy-mm")</f>
        <v>2008-06</v>
      </c>
      <c r="B85" s="40">
        <f>Decisiones!H84</f>
        <v>7.75</v>
      </c>
      <c r="C85" s="41">
        <f>IF(Decisiones!K84="",0,Decisiones!K84)</f>
        <v>0</v>
      </c>
      <c r="Z85" t="s">
        <v>188</v>
      </c>
      <c r="AA85" s="94">
        <v>39647</v>
      </c>
    </row>
    <row r="86" spans="1:27">
      <c r="A86" s="39" t="str">
        <f>TEXT(Decisiones!B85,"yyyy-mm")</f>
        <v>2008-07</v>
      </c>
      <c r="B86" s="40">
        <f>Decisiones!H85</f>
        <v>8</v>
      </c>
      <c r="C86" s="41">
        <f>IF(Decisiones!K85="",0,Decisiones!K85)</f>
        <v>0</v>
      </c>
      <c r="Z86" t="s">
        <v>190</v>
      </c>
      <c r="AA86" s="94">
        <v>39675</v>
      </c>
    </row>
    <row r="87" spans="1:27">
      <c r="A87" s="39" t="str">
        <f>TEXT(Decisiones!B86,"yyyy-mm")</f>
        <v>2008-08</v>
      </c>
      <c r="B87" s="40">
        <f>Decisiones!H86</f>
        <v>8.25</v>
      </c>
      <c r="C87" s="41">
        <f>IF(Decisiones!K86="",0,Decisiones!K86)</f>
        <v>0</v>
      </c>
      <c r="Z87" t="s">
        <v>192</v>
      </c>
      <c r="AA87" s="94">
        <v>39710</v>
      </c>
    </row>
    <row r="88" spans="1:27">
      <c r="A88" s="39" t="str">
        <f>TEXT(Decisiones!B87,"yyyy-mm")</f>
        <v>2008-09</v>
      </c>
      <c r="B88" s="40">
        <f>Decisiones!H87</f>
        <v>8.25</v>
      </c>
      <c r="C88" s="41">
        <f>IF(Decisiones!K87="",0,Decisiones!K87)</f>
        <v>0</v>
      </c>
      <c r="Z88" t="s">
        <v>194</v>
      </c>
      <c r="AA88" s="94">
        <v>39738</v>
      </c>
    </row>
    <row r="89" spans="1:27">
      <c r="A89" s="39" t="str">
        <f>TEXT(Decisiones!B88,"yyyy-mm")</f>
        <v>2008-10</v>
      </c>
      <c r="B89" s="40">
        <f>Decisiones!H88</f>
        <v>8.25</v>
      </c>
      <c r="C89" s="41">
        <f>IF(Decisiones!K88="",0,Decisiones!K88)</f>
        <v>0</v>
      </c>
      <c r="Z89" t="s">
        <v>196</v>
      </c>
      <c r="AA89" s="94">
        <v>39780</v>
      </c>
    </row>
    <row r="90" spans="1:27">
      <c r="A90" s="39" t="str">
        <f>TEXT(Decisiones!B89,"yyyy-mm")</f>
        <v>2008-11</v>
      </c>
      <c r="B90" s="40">
        <f>Decisiones!H89</f>
        <v>8.25</v>
      </c>
      <c r="C90" s="41">
        <f>IF(Decisiones!K89="",0,Decisiones!K89)</f>
        <v>0</v>
      </c>
      <c r="Z90" t="s">
        <v>198</v>
      </c>
      <c r="AA90" s="94">
        <v>39829</v>
      </c>
    </row>
    <row r="91" spans="1:27">
      <c r="A91" s="39" t="str">
        <f>TEXT(Decisiones!B90,"yyyy-mm")</f>
        <v>2009-01</v>
      </c>
      <c r="B91" s="40">
        <f>Decisiones!H90</f>
        <v>7.75</v>
      </c>
      <c r="C91" s="41">
        <f>IF(Decisiones!K90="",0,Decisiones!K90)</f>
        <v>0</v>
      </c>
      <c r="Z91" t="s">
        <v>201</v>
      </c>
      <c r="AA91" s="94">
        <v>39864</v>
      </c>
    </row>
    <row r="92" spans="1:27">
      <c r="A92" s="39" t="str">
        <f>TEXT(Decisiones!B91,"yyyy-mm")</f>
        <v>2009-02</v>
      </c>
      <c r="B92" s="40">
        <f>Decisiones!H91</f>
        <v>7.5</v>
      </c>
      <c r="C92" s="41">
        <f>IF(Decisiones!K91="",0,Decisiones!K91)</f>
        <v>0</v>
      </c>
      <c r="Z92" t="s">
        <v>203</v>
      </c>
      <c r="AA92" s="94">
        <v>39892</v>
      </c>
    </row>
    <row r="93" spans="1:27">
      <c r="A93" s="39" t="str">
        <f>TEXT(Decisiones!B92,"yyyy-mm")</f>
        <v>2009-03</v>
      </c>
      <c r="B93" s="40">
        <f>Decisiones!H92</f>
        <v>6.75</v>
      </c>
      <c r="C93" s="41">
        <f>IF(Decisiones!K92="",0,Decisiones!K92)</f>
        <v>0</v>
      </c>
      <c r="Z93" t="s">
        <v>205</v>
      </c>
      <c r="AA93" s="94">
        <v>39920</v>
      </c>
    </row>
    <row r="94" spans="1:27">
      <c r="A94" s="39" t="str">
        <f>TEXT(Decisiones!B93,"yyyy-mm")</f>
        <v>2009-04</v>
      </c>
      <c r="B94" s="40">
        <f>Decisiones!H93</f>
        <v>6</v>
      </c>
      <c r="C94" s="41">
        <f>IF(Decisiones!K93="",0,Decisiones!K93)</f>
        <v>0</v>
      </c>
      <c r="Z94" t="s">
        <v>207</v>
      </c>
      <c r="AA94" s="94">
        <v>39948</v>
      </c>
    </row>
    <row r="95" spans="1:27">
      <c r="A95" s="39" t="str">
        <f>TEXT(Decisiones!B94,"yyyy-mm")</f>
        <v>2009-05</v>
      </c>
      <c r="B95" s="40">
        <f>Decisiones!H94</f>
        <v>5.25</v>
      </c>
      <c r="C95" s="41">
        <f>IF(Decisiones!K94="",0,Decisiones!K94)</f>
        <v>0</v>
      </c>
      <c r="Z95" t="s">
        <v>209</v>
      </c>
      <c r="AA95" s="94">
        <v>39983</v>
      </c>
    </row>
    <row r="96" spans="1:27">
      <c r="A96" s="39" t="str">
        <f>TEXT(Decisiones!B95,"yyyy-mm")</f>
        <v>2009-06</v>
      </c>
      <c r="B96" s="40">
        <f>Decisiones!H95</f>
        <v>4.75</v>
      </c>
      <c r="C96" s="41">
        <f>IF(Decisiones!K95="",0,Decisiones!K95)</f>
        <v>0</v>
      </c>
      <c r="Z96" t="s">
        <v>211</v>
      </c>
      <c r="AA96" s="94">
        <v>40011</v>
      </c>
    </row>
    <row r="97" spans="1:27">
      <c r="A97" s="39" t="str">
        <f>TEXT(Decisiones!B96,"yyyy-mm")</f>
        <v>2009-07</v>
      </c>
      <c r="B97" s="40">
        <f>Decisiones!H96</f>
        <v>4.5</v>
      </c>
      <c r="C97" s="41">
        <f>IF(Decisiones!K96="",0,Decisiones!K96)</f>
        <v>0</v>
      </c>
      <c r="Z97" t="s">
        <v>213</v>
      </c>
      <c r="AA97" s="94">
        <v>40046</v>
      </c>
    </row>
    <row r="98" spans="1:27">
      <c r="A98" s="39" t="str">
        <f>TEXT(Decisiones!B97,"yyyy-mm")</f>
        <v>2009-08</v>
      </c>
      <c r="B98" s="40">
        <f>Decisiones!H97</f>
        <v>4.5</v>
      </c>
      <c r="C98" s="41">
        <f>IF(Decisiones!K97="",0,Decisiones!K97)</f>
        <v>0</v>
      </c>
      <c r="Z98" t="s">
        <v>215</v>
      </c>
      <c r="AA98" s="94">
        <v>40074</v>
      </c>
    </row>
    <row r="99" spans="1:27">
      <c r="A99" s="39" t="str">
        <f>TEXT(Decisiones!B98,"yyyy-mm")</f>
        <v>2009-09</v>
      </c>
      <c r="B99" s="40">
        <f>Decisiones!H98</f>
        <v>4.5</v>
      </c>
      <c r="C99" s="41">
        <f>IF(Decisiones!K98="",0,Decisiones!K98)</f>
        <v>0</v>
      </c>
      <c r="Z99" t="s">
        <v>217</v>
      </c>
      <c r="AA99" s="94">
        <v>40102</v>
      </c>
    </row>
    <row r="100" spans="1:27">
      <c r="A100" s="39" t="str">
        <f>TEXT(Decisiones!B99,"yyyy-mm")</f>
        <v>2009-10</v>
      </c>
      <c r="B100" s="40">
        <f>Decisiones!H99</f>
        <v>4.5</v>
      </c>
      <c r="C100" s="41">
        <f>IF(Decisiones!K99="",0,Decisiones!K99)</f>
        <v>0</v>
      </c>
      <c r="Z100" t="s">
        <v>219</v>
      </c>
      <c r="AA100" s="94">
        <v>40144</v>
      </c>
    </row>
    <row r="101" spans="1:27">
      <c r="A101" s="39" t="str">
        <f>TEXT(Decisiones!B100,"yyyy-mm")</f>
        <v>2009-11</v>
      </c>
      <c r="B101" s="40">
        <f>Decisiones!H100</f>
        <v>4.5</v>
      </c>
      <c r="C101" s="41">
        <f>IF(Decisiones!K100="",0,Decisiones!K100)</f>
        <v>0</v>
      </c>
      <c r="Z101" t="s">
        <v>221</v>
      </c>
      <c r="AA101" s="94">
        <v>40193</v>
      </c>
    </row>
    <row r="102" spans="1:27">
      <c r="A102" s="39" t="str">
        <f>TEXT(Decisiones!B101,"yyyy-mm")</f>
        <v>2010-01</v>
      </c>
      <c r="B102" s="40">
        <f>Decisiones!H101</f>
        <v>4.5</v>
      </c>
      <c r="C102" s="41">
        <f>IF(Decisiones!K101="",0,Decisiones!K101)</f>
        <v>0</v>
      </c>
      <c r="Z102" t="s">
        <v>223</v>
      </c>
      <c r="AA102" s="94">
        <v>40228</v>
      </c>
    </row>
    <row r="103" spans="1:27">
      <c r="A103" s="39" t="str">
        <f>TEXT(Decisiones!B102,"yyyy-mm")</f>
        <v>2010-02</v>
      </c>
      <c r="B103" s="40">
        <f>Decisiones!H102</f>
        <v>4.5</v>
      </c>
      <c r="C103" s="41">
        <f>IF(Decisiones!K102="",0,Decisiones!K102)</f>
        <v>0</v>
      </c>
      <c r="Z103" t="s">
        <v>225</v>
      </c>
      <c r="AA103" s="94">
        <v>40256</v>
      </c>
    </row>
    <row r="104" spans="1:27">
      <c r="A104" s="39" t="str">
        <f>TEXT(Decisiones!B103,"yyyy-mm")</f>
        <v>2010-03</v>
      </c>
      <c r="B104" s="40">
        <f>Decisiones!H103</f>
        <v>4.5</v>
      </c>
      <c r="C104" s="41">
        <f>IF(Decisiones!K103="",0,Decisiones!K103)</f>
        <v>0</v>
      </c>
      <c r="Z104" t="s">
        <v>227</v>
      </c>
      <c r="AA104" s="94">
        <v>40284</v>
      </c>
    </row>
    <row r="105" spans="1:27">
      <c r="A105" s="39" t="str">
        <f>TEXT(Decisiones!B104,"yyyy-mm")</f>
        <v>2010-04</v>
      </c>
      <c r="B105" s="40">
        <f>Decisiones!H104</f>
        <v>4.5</v>
      </c>
      <c r="C105" s="41">
        <f>IF(Decisiones!K104="",0,Decisiones!K104)</f>
        <v>0</v>
      </c>
      <c r="Z105" t="s">
        <v>229</v>
      </c>
      <c r="AA105" s="94">
        <v>40319</v>
      </c>
    </row>
    <row r="106" spans="1:27">
      <c r="A106" s="39" t="str">
        <f>TEXT(Decisiones!B105,"yyyy-mm")</f>
        <v>2010-05</v>
      </c>
      <c r="B106" s="40">
        <f>Decisiones!H105</f>
        <v>4.5</v>
      </c>
      <c r="C106" s="41">
        <f>IF(Decisiones!K105="",0,Decisiones!K105)</f>
        <v>0</v>
      </c>
      <c r="Z106" t="s">
        <v>231</v>
      </c>
      <c r="AA106" s="94">
        <v>40347</v>
      </c>
    </row>
    <row r="107" spans="1:27">
      <c r="A107" s="39" t="str">
        <f>TEXT(Decisiones!B106,"yyyy-mm")</f>
        <v>2010-06</v>
      </c>
      <c r="B107" s="40">
        <f>Decisiones!H106</f>
        <v>4.5</v>
      </c>
      <c r="C107" s="41">
        <f>IF(Decisiones!K106="",0,Decisiones!K106)</f>
        <v>0</v>
      </c>
      <c r="Z107" t="s">
        <v>233</v>
      </c>
      <c r="AA107" s="94">
        <v>40375</v>
      </c>
    </row>
    <row r="108" spans="1:27">
      <c r="A108" s="39" t="str">
        <f>TEXT(Decisiones!B107,"yyyy-mm")</f>
        <v>2010-07</v>
      </c>
      <c r="B108" s="40">
        <f>Decisiones!H107</f>
        <v>4.5</v>
      </c>
      <c r="C108" s="41">
        <f>IF(Decisiones!K107="",0,Decisiones!K107)</f>
        <v>0</v>
      </c>
      <c r="Z108" t="s">
        <v>235</v>
      </c>
      <c r="AA108" s="94">
        <v>40410</v>
      </c>
    </row>
    <row r="109" spans="1:27">
      <c r="A109" s="39" t="str">
        <f>TEXT(Decisiones!B108,"yyyy-mm")</f>
        <v>2010-08</v>
      </c>
      <c r="B109" s="40">
        <f>Decisiones!H108</f>
        <v>4.5</v>
      </c>
      <c r="C109" s="41">
        <f>IF(Decisiones!K108="",0,Decisiones!K108)</f>
        <v>0</v>
      </c>
      <c r="Z109" t="s">
        <v>237</v>
      </c>
      <c r="AA109" s="94">
        <v>40445</v>
      </c>
    </row>
    <row r="110" spans="1:27">
      <c r="A110" s="39" t="str">
        <f>TEXT(Decisiones!B109,"yyyy-mm")</f>
        <v>2010-09</v>
      </c>
      <c r="B110" s="40">
        <f>Decisiones!H109</f>
        <v>4.5</v>
      </c>
      <c r="C110" s="41">
        <f>IF(Decisiones!K109="",0,Decisiones!K109)</f>
        <v>0</v>
      </c>
      <c r="Z110" t="s">
        <v>239</v>
      </c>
      <c r="AA110" s="94">
        <v>40466</v>
      </c>
    </row>
    <row r="111" spans="1:27">
      <c r="A111" s="39" t="str">
        <f>TEXT(Decisiones!B110,"yyyy-mm")</f>
        <v>2010-10</v>
      </c>
      <c r="B111" s="40">
        <f>Decisiones!H110</f>
        <v>4.5</v>
      </c>
      <c r="C111" s="41">
        <f>IF(Decisiones!K110="",0,Decisiones!K110)</f>
        <v>0</v>
      </c>
      <c r="Z111" t="s">
        <v>241</v>
      </c>
      <c r="AA111" s="94">
        <v>40508</v>
      </c>
    </row>
    <row r="112" spans="1:27">
      <c r="A112" s="39" t="str">
        <f>TEXT(Decisiones!B111,"yyyy-mm")</f>
        <v>2010-11</v>
      </c>
      <c r="B112" s="40">
        <f>Decisiones!H111</f>
        <v>4.5</v>
      </c>
      <c r="C112" s="41">
        <f>IF(Decisiones!K111="",0,Decisiones!K111)</f>
        <v>0</v>
      </c>
      <c r="Z112" t="s">
        <v>243</v>
      </c>
      <c r="AA112" s="94">
        <v>40564</v>
      </c>
    </row>
    <row r="113" spans="1:27">
      <c r="A113" s="39" t="str">
        <f>TEXT(Decisiones!B112,"yyyy-mm")</f>
        <v>2011-01</v>
      </c>
      <c r="B113" s="40">
        <f>Decisiones!H112</f>
        <v>4.5</v>
      </c>
      <c r="C113" s="41">
        <f>IF(Decisiones!K112="",0,Decisiones!K112)</f>
        <v>0</v>
      </c>
      <c r="Z113" t="s">
        <v>247</v>
      </c>
      <c r="AA113" s="94">
        <v>40606</v>
      </c>
    </row>
    <row r="114" spans="1:27">
      <c r="A114" s="39" t="str">
        <f>TEXT(Decisiones!B113,"yyyy-mm")</f>
        <v>2011-03</v>
      </c>
      <c r="B114" s="40">
        <f>Decisiones!H113</f>
        <v>4.5</v>
      </c>
      <c r="C114" s="41">
        <f>IF(Decisiones!K113="",0,Decisiones!K113)</f>
        <v>0</v>
      </c>
      <c r="Z114" t="s">
        <v>250</v>
      </c>
      <c r="AA114" s="94">
        <v>40648</v>
      </c>
    </row>
    <row r="115" spans="1:27">
      <c r="A115" s="39" t="str">
        <f>TEXT(Decisiones!B114,"yyyy-mm")</f>
        <v>2011-04</v>
      </c>
      <c r="B115" s="40">
        <f>Decisiones!H114</f>
        <v>4.5</v>
      </c>
      <c r="C115" s="41">
        <f>IF(Decisiones!K114="",0,Decisiones!K114)</f>
        <v>0</v>
      </c>
      <c r="Z115" t="s">
        <v>253</v>
      </c>
      <c r="AA115" s="94">
        <v>40690</v>
      </c>
    </row>
    <row r="116" spans="1:27">
      <c r="A116" s="39" t="str">
        <f>TEXT(Decisiones!B115,"yyyy-mm")</f>
        <v>2011-05</v>
      </c>
      <c r="B116" s="40">
        <f>Decisiones!H115</f>
        <v>4.5</v>
      </c>
      <c r="C116" s="41">
        <f>IF(Decisiones!K115="",0,Decisiones!K115)</f>
        <v>0</v>
      </c>
      <c r="Z116" t="s">
        <v>256</v>
      </c>
      <c r="AA116" s="94">
        <v>40732</v>
      </c>
    </row>
    <row r="117" spans="1:27">
      <c r="A117" s="39" t="str">
        <f>TEXT(Decisiones!B116,"yyyy-mm")</f>
        <v>2011-07</v>
      </c>
      <c r="B117" s="40">
        <f>Decisiones!H116</f>
        <v>4.5</v>
      </c>
      <c r="C117" s="41">
        <f>IF(Decisiones!K116="",0,Decisiones!K116)</f>
        <v>0</v>
      </c>
      <c r="Z117" t="s">
        <v>259</v>
      </c>
      <c r="AA117" s="94">
        <v>40781</v>
      </c>
    </row>
    <row r="118" spans="1:27">
      <c r="A118" s="39" t="str">
        <f>TEXT(Decisiones!B117,"yyyy-mm")</f>
        <v>2011-08</v>
      </c>
      <c r="B118" s="40">
        <f>Decisiones!H117</f>
        <v>4.5</v>
      </c>
      <c r="C118" s="41">
        <f>IF(Decisiones!K117="",0,Decisiones!K117)</f>
        <v>0</v>
      </c>
      <c r="Z118" t="s">
        <v>262</v>
      </c>
      <c r="AA118" s="94">
        <v>40830</v>
      </c>
    </row>
    <row r="119" spans="1:27">
      <c r="A119" s="39" t="str">
        <f>TEXT(Decisiones!B118,"yyyy-mm")</f>
        <v>2011-10</v>
      </c>
      <c r="B119" s="40">
        <f>Decisiones!H118</f>
        <v>4.5</v>
      </c>
      <c r="C119" s="41">
        <f>IF(Decisiones!K118="",0,Decisiones!K118)</f>
        <v>0</v>
      </c>
      <c r="Z119" t="s">
        <v>265</v>
      </c>
      <c r="AA119" s="94">
        <v>40879</v>
      </c>
    </row>
    <row r="120" spans="1:27">
      <c r="A120" s="39" t="str">
        <f>TEXT(Decisiones!B119,"yyyy-mm")</f>
        <v>2011-12</v>
      </c>
      <c r="B120" s="40">
        <f>Decisiones!H119</f>
        <v>4.5</v>
      </c>
      <c r="C120" s="41">
        <f>IF(Decisiones!K119="",0,Decisiones!K119)</f>
        <v>0</v>
      </c>
      <c r="Z120" t="s">
        <v>268</v>
      </c>
      <c r="AA120" s="94">
        <v>40928</v>
      </c>
    </row>
    <row r="121" spans="1:27">
      <c r="A121" s="39" t="str">
        <f>TEXT(Decisiones!B120,"yyyy-mm")</f>
        <v>2012-01</v>
      </c>
      <c r="B121" s="40">
        <f>Decisiones!H120</f>
        <v>4.5</v>
      </c>
      <c r="C121" s="41">
        <f>IF(Decisiones!K120="",0,Decisiones!K120)</f>
        <v>0</v>
      </c>
      <c r="Z121" t="s">
        <v>271</v>
      </c>
      <c r="AA121" s="94">
        <v>40984</v>
      </c>
    </row>
    <row r="122" spans="1:27">
      <c r="A122" s="39" t="str">
        <f>TEXT(Decisiones!B121,"yyyy-mm")</f>
        <v>2012-03</v>
      </c>
      <c r="B122" s="40">
        <f>Decisiones!H121</f>
        <v>4.5</v>
      </c>
      <c r="C122" s="41">
        <f>IF(Decisiones!K121="",0,Decisiones!K121)</f>
        <v>0</v>
      </c>
      <c r="Z122" t="s">
        <v>274</v>
      </c>
      <c r="AA122" s="94">
        <v>41026</v>
      </c>
    </row>
    <row r="123" spans="1:27">
      <c r="A123" s="39" t="str">
        <f>TEXT(Decisiones!B122,"yyyy-mm")</f>
        <v>2012-04</v>
      </c>
      <c r="B123" s="40">
        <f>Decisiones!H122</f>
        <v>4.5</v>
      </c>
      <c r="C123" s="41">
        <f>IF(Decisiones!K122="",0,Decisiones!K122)</f>
        <v>0</v>
      </c>
      <c r="Z123" t="s">
        <v>277</v>
      </c>
      <c r="AA123" s="94">
        <v>41068</v>
      </c>
    </row>
    <row r="124" spans="1:27">
      <c r="A124" s="39" t="str">
        <f>TEXT(Decisiones!B123,"yyyy-mm")</f>
        <v>2012-06</v>
      </c>
      <c r="B124" s="40">
        <f>Decisiones!H123</f>
        <v>4.5</v>
      </c>
      <c r="C124" s="41">
        <f>IF(Decisiones!K123="",0,Decisiones!K123)</f>
        <v>0</v>
      </c>
      <c r="Z124" t="s">
        <v>280</v>
      </c>
      <c r="AA124" s="94">
        <v>41110</v>
      </c>
    </row>
    <row r="125" spans="1:27">
      <c r="A125" s="39" t="str">
        <f>TEXT(Decisiones!B124,"yyyy-mm")</f>
        <v>2012-07</v>
      </c>
      <c r="B125" s="40">
        <f>Decisiones!H124</f>
        <v>4.5</v>
      </c>
      <c r="C125" s="41">
        <f>IF(Decisiones!K124="",0,Decisiones!K124)</f>
        <v>0</v>
      </c>
      <c r="Z125" t="s">
        <v>283</v>
      </c>
      <c r="AA125" s="94">
        <v>41159</v>
      </c>
    </row>
    <row r="126" spans="1:27">
      <c r="A126" s="39" t="str">
        <f>TEXT(Decisiones!B125,"yyyy-mm")</f>
        <v>2012-09</v>
      </c>
      <c r="B126" s="40">
        <f>Decisiones!H125</f>
        <v>4.5</v>
      </c>
      <c r="C126" s="41">
        <f>IF(Decisiones!K125="",0,Decisiones!K125)</f>
        <v>0</v>
      </c>
      <c r="Z126" t="s">
        <v>286</v>
      </c>
      <c r="AA126" s="94">
        <v>41208</v>
      </c>
    </row>
    <row r="127" spans="1:27">
      <c r="A127" s="39" t="str">
        <f>TEXT(Decisiones!B126,"yyyy-mm")</f>
        <v>2012-10</v>
      </c>
      <c r="B127" s="40">
        <f>Decisiones!H126</f>
        <v>4.5</v>
      </c>
      <c r="C127" s="41">
        <f>IF(Decisiones!K126="",0,Decisiones!K126)</f>
        <v>0</v>
      </c>
      <c r="Z127" t="s">
        <v>289</v>
      </c>
      <c r="AA127" s="94">
        <v>41243</v>
      </c>
    </row>
    <row r="128" spans="1:27">
      <c r="A128" s="39" t="str">
        <f>TEXT(Decisiones!B127,"yyyy-mm")</f>
        <v>2012-11</v>
      </c>
      <c r="B128" s="40">
        <f>Decisiones!H127</f>
        <v>4.5</v>
      </c>
      <c r="C128" s="41">
        <f>IF(Decisiones!K127="",0,Decisiones!K127)</f>
        <v>0</v>
      </c>
      <c r="Z128" t="s">
        <v>292</v>
      </c>
      <c r="AA128" s="94">
        <v>41292</v>
      </c>
    </row>
    <row r="129" spans="1:27">
      <c r="A129" s="39" t="str">
        <f>TEXT(Decisiones!B128,"yyyy-mm")</f>
        <v>2013-01</v>
      </c>
      <c r="B129" s="40">
        <f>Decisiones!H128</f>
        <v>4.5</v>
      </c>
      <c r="C129" s="41">
        <f>IF(Decisiones!K128="",0,Decisiones!K128)</f>
        <v>0</v>
      </c>
      <c r="Z129" t="s">
        <v>295</v>
      </c>
      <c r="AA129" s="94">
        <v>41341</v>
      </c>
    </row>
    <row r="130" spans="1:27">
      <c r="A130" s="39" t="str">
        <f>TEXT(Decisiones!B129,"yyyy-mm")</f>
        <v>2013-03</v>
      </c>
      <c r="B130" s="40">
        <f>Decisiones!H129</f>
        <v>4</v>
      </c>
      <c r="C130" s="41">
        <f>IF(Decisiones!K129="",0,Decisiones!K129)</f>
        <v>0</v>
      </c>
      <c r="Z130" t="s">
        <v>298</v>
      </c>
      <c r="AA130" s="94">
        <v>41390</v>
      </c>
    </row>
    <row r="131" spans="1:27">
      <c r="A131" s="39" t="str">
        <f>TEXT(Decisiones!B130,"yyyy-mm")</f>
        <v>2013-04</v>
      </c>
      <c r="B131" s="40">
        <f>Decisiones!H130</f>
        <v>4</v>
      </c>
      <c r="C131" s="41">
        <f>IF(Decisiones!K130="",0,Decisiones!K130)</f>
        <v>0</v>
      </c>
      <c r="Z131" t="s">
        <v>301</v>
      </c>
      <c r="AA131" s="94">
        <v>41432</v>
      </c>
    </row>
    <row r="132" spans="1:27">
      <c r="A132" s="39" t="str">
        <f>TEXT(Decisiones!B131,"yyyy-mm")</f>
        <v>2013-06</v>
      </c>
      <c r="B132" s="40">
        <f>Decisiones!H131</f>
        <v>4</v>
      </c>
      <c r="C132" s="41">
        <f>IF(Decisiones!K131="",0,Decisiones!K131)</f>
        <v>0</v>
      </c>
      <c r="Z132" t="s">
        <v>304</v>
      </c>
      <c r="AA132" s="94">
        <v>41467</v>
      </c>
    </row>
    <row r="133" spans="1:27">
      <c r="A133" s="39" t="str">
        <f>TEXT(Decisiones!B132,"yyyy-mm")</f>
        <v>2013-07</v>
      </c>
      <c r="B133" s="40">
        <f>Decisiones!H132</f>
        <v>4</v>
      </c>
      <c r="C133" s="41">
        <f>IF(Decisiones!K132="",0,Decisiones!K132)</f>
        <v>0</v>
      </c>
      <c r="Z133" t="s">
        <v>307</v>
      </c>
      <c r="AA133" s="94">
        <v>41523</v>
      </c>
    </row>
    <row r="134" spans="1:27">
      <c r="A134" s="39" t="str">
        <f>TEXT(Decisiones!B133,"yyyy-mm")</f>
        <v>2013-09</v>
      </c>
      <c r="B134" s="40">
        <f>Decisiones!H133</f>
        <v>3.75</v>
      </c>
      <c r="C134" s="41">
        <f>IF(Decisiones!K133="",0,Decisiones!K133)</f>
        <v>0</v>
      </c>
      <c r="Z134" t="s">
        <v>311</v>
      </c>
      <c r="AA134" s="94">
        <v>41572</v>
      </c>
    </row>
    <row r="135" spans="1:27">
      <c r="A135" s="39" t="str">
        <f>TEXT(Decisiones!B134,"yyyy-mm")</f>
        <v>2013-10</v>
      </c>
      <c r="B135" s="40">
        <f>Decisiones!H134</f>
        <v>3.5</v>
      </c>
      <c r="C135" s="41">
        <f>IF(Decisiones!K134="",0,Decisiones!K134)</f>
        <v>0</v>
      </c>
      <c r="Z135" t="s">
        <v>314</v>
      </c>
      <c r="AA135" s="94">
        <v>41614</v>
      </c>
    </row>
    <row r="136" spans="1:27">
      <c r="A136" s="39" t="str">
        <f>TEXT(Decisiones!B135,"yyyy-mm")</f>
        <v>2013-12</v>
      </c>
      <c r="B136" s="40">
        <f>Decisiones!H135</f>
        <v>3.5</v>
      </c>
      <c r="C136" s="41">
        <f>IF(Decisiones!K135="",0,Decisiones!K135)</f>
        <v>0</v>
      </c>
      <c r="Z136" t="s">
        <v>317</v>
      </c>
      <c r="AA136" s="94">
        <v>41670</v>
      </c>
    </row>
    <row r="137" spans="1:27">
      <c r="A137" s="39" t="str">
        <f>TEXT(Decisiones!B136,"yyyy-mm")</f>
        <v>2014-01</v>
      </c>
      <c r="B137" s="40">
        <f>Decisiones!H136</f>
        <v>3.5</v>
      </c>
      <c r="C137" s="41">
        <f>IF(Decisiones!K136="",0,Decisiones!K136)</f>
        <v>0</v>
      </c>
      <c r="Z137" t="s">
        <v>320</v>
      </c>
      <c r="AA137" s="94">
        <v>41719</v>
      </c>
    </row>
    <row r="138" spans="1:27">
      <c r="A138" s="39" t="str">
        <f>TEXT(Decisiones!B137,"yyyy-mm")</f>
        <v>2014-03</v>
      </c>
      <c r="B138" s="40">
        <f>Decisiones!H137</f>
        <v>3.5</v>
      </c>
      <c r="C138" s="41">
        <f>IF(Decisiones!K137="",0,Decisiones!K137)</f>
        <v>0</v>
      </c>
      <c r="Z138" t="s">
        <v>323</v>
      </c>
      <c r="AA138" s="94">
        <v>41754</v>
      </c>
    </row>
    <row r="139" spans="1:27">
      <c r="A139" s="39" t="str">
        <f>TEXT(Decisiones!B138,"yyyy-mm")</f>
        <v>2014-04</v>
      </c>
      <c r="B139" s="40">
        <f>Decisiones!H138</f>
        <v>3.5</v>
      </c>
      <c r="C139" s="41">
        <f>IF(Decisiones!K138="",0,Decisiones!K138)</f>
        <v>0</v>
      </c>
      <c r="Z139" t="s">
        <v>326</v>
      </c>
      <c r="AA139" s="94">
        <v>41796</v>
      </c>
    </row>
    <row r="140" spans="1:27">
      <c r="A140" s="39" t="str">
        <f>TEXT(Decisiones!B139,"yyyy-mm")</f>
        <v>2014-06</v>
      </c>
      <c r="B140" s="40">
        <f>Decisiones!H139</f>
        <v>3</v>
      </c>
      <c r="C140" s="41">
        <f>IF(Decisiones!K139="",0,Decisiones!K139)</f>
        <v>0</v>
      </c>
      <c r="Z140" t="s">
        <v>329</v>
      </c>
      <c r="AA140" s="94">
        <v>41831</v>
      </c>
    </row>
    <row r="141" spans="1:27">
      <c r="A141" s="39" t="str">
        <f>TEXT(Decisiones!B140,"yyyy-mm")</f>
        <v>2014-07</v>
      </c>
      <c r="B141" s="40">
        <f>Decisiones!H140</f>
        <v>3</v>
      </c>
      <c r="C141" s="41">
        <f>IF(Decisiones!K140="",0,Decisiones!K140)</f>
        <v>0</v>
      </c>
      <c r="Z141" t="s">
        <v>332</v>
      </c>
      <c r="AA141" s="94">
        <v>41887</v>
      </c>
    </row>
    <row r="142" spans="1:27">
      <c r="A142" s="39" t="str">
        <f>TEXT(Decisiones!B141,"yyyy-mm")</f>
        <v>2014-09</v>
      </c>
      <c r="B142" s="40">
        <f>Decisiones!H141</f>
        <v>3</v>
      </c>
      <c r="C142" s="41">
        <f>IF(Decisiones!K141="",0,Decisiones!K141)</f>
        <v>0</v>
      </c>
      <c r="Z142" t="s">
        <v>335</v>
      </c>
      <c r="AA142" s="94">
        <v>41943</v>
      </c>
    </row>
    <row r="143" spans="1:27">
      <c r="A143" s="39" t="str">
        <f>TEXT(Decisiones!B142,"yyyy-mm")</f>
        <v>2014-10</v>
      </c>
      <c r="B143" s="40">
        <f>Decisiones!H142</f>
        <v>3</v>
      </c>
      <c r="C143" s="41">
        <f>IF(Decisiones!K142="",0,Decisiones!K142)</f>
        <v>0</v>
      </c>
      <c r="Z143" t="s">
        <v>338</v>
      </c>
      <c r="AA143" s="94">
        <v>41978</v>
      </c>
    </row>
    <row r="144" spans="1:27">
      <c r="A144" s="39" t="str">
        <f>TEXT(Decisiones!B143,"yyyy-mm")</f>
        <v>2014-12</v>
      </c>
      <c r="B144" s="40">
        <f>Decisiones!H143</f>
        <v>3</v>
      </c>
      <c r="C144" s="41">
        <f>IF(Decisiones!K143="",0,Decisiones!K143)</f>
        <v>0</v>
      </c>
      <c r="Z144" t="s">
        <v>341</v>
      </c>
      <c r="AA144" s="94">
        <v>42033</v>
      </c>
    </row>
    <row r="145" spans="1:27">
      <c r="A145" s="39" t="str">
        <f>TEXT(Decisiones!B144,"yyyy-mm")</f>
        <v>2015-01</v>
      </c>
      <c r="B145" s="40">
        <f>Decisiones!H144</f>
        <v>3</v>
      </c>
      <c r="C145" s="41">
        <f>IF(Decisiones!K144="",0,Decisiones!K144)</f>
        <v>0</v>
      </c>
      <c r="Z145" t="s">
        <v>344</v>
      </c>
      <c r="AA145" s="94">
        <v>42089</v>
      </c>
    </row>
    <row r="146" spans="1:27">
      <c r="A146" s="39" t="str">
        <f>TEXT(Decisiones!B145,"yyyy-mm")</f>
        <v>2015-03</v>
      </c>
      <c r="B146" s="40">
        <f>Decisiones!H145</f>
        <v>3</v>
      </c>
      <c r="C146" s="41">
        <f>IF(Decisiones!K145="",0,Decisiones!K145)</f>
        <v>0</v>
      </c>
      <c r="Z146" t="s">
        <v>347</v>
      </c>
      <c r="AA146" s="94">
        <v>42124</v>
      </c>
    </row>
    <row r="147" spans="1:27">
      <c r="A147" s="39" t="str">
        <f>TEXT(Decisiones!B146,"yyyy-mm")</f>
        <v>2015-04</v>
      </c>
      <c r="B147" s="40">
        <f>Decisiones!H146</f>
        <v>3</v>
      </c>
      <c r="C147" s="41">
        <f>IF(Decisiones!K146="",0,Decisiones!K146)</f>
        <v>0</v>
      </c>
      <c r="Z147" t="s">
        <v>350</v>
      </c>
      <c r="AA147" s="94">
        <v>42159</v>
      </c>
    </row>
    <row r="148" spans="1:27">
      <c r="A148" s="39" t="str">
        <f>TEXT(Decisiones!B147,"yyyy-mm")</f>
        <v>2015-06</v>
      </c>
      <c r="B148" s="40">
        <f>Decisiones!H147</f>
        <v>3</v>
      </c>
      <c r="C148" s="41">
        <f>IF(Decisiones!K147="",0,Decisiones!K147)</f>
        <v>0</v>
      </c>
      <c r="Z148" t="s">
        <v>353</v>
      </c>
      <c r="AA148" s="94">
        <v>42215</v>
      </c>
    </row>
    <row r="149" spans="1:27">
      <c r="A149" s="39" t="str">
        <f>TEXT(Decisiones!B148,"yyyy-mm")</f>
        <v>2015-07</v>
      </c>
      <c r="B149" s="40">
        <f>Decisiones!H148</f>
        <v>3</v>
      </c>
      <c r="C149" s="41">
        <f>IF(Decisiones!K148="",0,Decisiones!K148)</f>
        <v>0</v>
      </c>
      <c r="Z149" t="s">
        <v>356</v>
      </c>
      <c r="AA149" s="94">
        <v>42268</v>
      </c>
    </row>
    <row r="150" spans="1:27">
      <c r="A150" s="39" t="str">
        <f>TEXT(Decisiones!B149,"yyyy-mm")</f>
        <v>2015-09</v>
      </c>
      <c r="B150" s="40">
        <f>Decisiones!H149</f>
        <v>3</v>
      </c>
      <c r="C150" s="41">
        <f>IF(Decisiones!K149="",0,Decisiones!K149)</f>
        <v>0</v>
      </c>
      <c r="Z150" t="s">
        <v>359</v>
      </c>
      <c r="AA150" s="94">
        <v>42306</v>
      </c>
    </row>
    <row r="151" spans="1:27">
      <c r="A151" s="39" t="str">
        <f>TEXT(Decisiones!B150,"yyyy-mm")</f>
        <v>2015-10</v>
      </c>
      <c r="B151" s="40">
        <f>Decisiones!H150</f>
        <v>3</v>
      </c>
      <c r="C151" s="41">
        <f>IF(Decisiones!K150="",0,Decisiones!K150)</f>
        <v>0</v>
      </c>
      <c r="Z151" t="s">
        <v>362</v>
      </c>
      <c r="AA151" s="94">
        <v>42355</v>
      </c>
    </row>
    <row r="152" spans="1:27">
      <c r="A152" s="39" t="str">
        <f>TEXT(Decisiones!B151,"yyyy-mm")</f>
        <v>2015-12</v>
      </c>
      <c r="B152" s="40">
        <f>Decisiones!H151</f>
        <v>3.25</v>
      </c>
      <c r="C152" s="41">
        <f>IF(Decisiones!K151="",0,Decisiones!K151)</f>
        <v>0</v>
      </c>
      <c r="Z152" t="s">
        <v>365</v>
      </c>
      <c r="AA152" s="94">
        <v>42404</v>
      </c>
    </row>
    <row r="153" spans="1:27">
      <c r="A153" s="39" t="str">
        <f>TEXT(Decisiones!B152,"yyyy-mm")</f>
        <v>2016-02</v>
      </c>
      <c r="B153" s="40">
        <f>Decisiones!H152</f>
        <v>3.25</v>
      </c>
      <c r="C153" s="41">
        <f>IF(Decisiones!K152="",0,Decisiones!K152)</f>
        <v>0</v>
      </c>
      <c r="Z153" t="s">
        <v>368</v>
      </c>
      <c r="AA153" s="94">
        <v>42417</v>
      </c>
    </row>
    <row r="154" spans="1:27">
      <c r="A154" s="39" t="str">
        <f>TEXT(Decisiones!B153,"yyyy-mm")</f>
        <v>2016-02</v>
      </c>
      <c r="B154" s="40">
        <f>Decisiones!H153</f>
        <v>3.75</v>
      </c>
      <c r="C154" s="41">
        <f>IF(Decisiones!K153="",0,Decisiones!K153)</f>
        <v>0</v>
      </c>
      <c r="Z154" t="s">
        <v>371</v>
      </c>
      <c r="AA154" s="94">
        <v>42447</v>
      </c>
    </row>
    <row r="155" spans="1:27">
      <c r="A155" s="39" t="str">
        <f>TEXT(Decisiones!B154,"yyyy-mm")</f>
        <v>2016-03</v>
      </c>
      <c r="B155" s="40">
        <f>Decisiones!H154</f>
        <v>3.75</v>
      </c>
      <c r="C155" s="41">
        <f>IF(Decisiones!K154="",0,Decisiones!K154)</f>
        <v>0</v>
      </c>
      <c r="Z155" t="s">
        <v>374</v>
      </c>
      <c r="AA155" s="94">
        <v>42495</v>
      </c>
    </row>
    <row r="156" spans="1:27">
      <c r="A156" s="39" t="str">
        <f>TEXT(Decisiones!B155,"yyyy-mm")</f>
        <v>2016-05</v>
      </c>
      <c r="B156" s="40">
        <f>Decisiones!H155</f>
        <v>3.75</v>
      </c>
      <c r="C156" s="41">
        <f>IF(Decisiones!K155="",0,Decisiones!K155)</f>
        <v>0</v>
      </c>
      <c r="Z156" t="s">
        <v>377</v>
      </c>
      <c r="AA156" s="94">
        <v>42551</v>
      </c>
    </row>
    <row r="157" spans="1:27">
      <c r="A157" s="39" t="str">
        <f>TEXT(Decisiones!B156,"yyyy-mm")</f>
        <v>2016-06</v>
      </c>
      <c r="B157" s="40">
        <f>Decisiones!H156</f>
        <v>4.25</v>
      </c>
      <c r="C157" s="41">
        <f>IF(Decisiones!K156="",0,Decisiones!K156)</f>
        <v>0</v>
      </c>
      <c r="Z157" t="s">
        <v>380</v>
      </c>
      <c r="AA157" s="94">
        <v>42593</v>
      </c>
    </row>
    <row r="158" spans="1:27">
      <c r="A158" s="39" t="str">
        <f>TEXT(Decisiones!B157,"yyyy-mm")</f>
        <v>2016-08</v>
      </c>
      <c r="B158" s="40">
        <f>Decisiones!H157</f>
        <v>4.25</v>
      </c>
      <c r="C158" s="41">
        <f>IF(Decisiones!K157="",0,Decisiones!K157)</f>
        <v>0</v>
      </c>
      <c r="Z158" t="s">
        <v>383</v>
      </c>
      <c r="AA158" s="94">
        <v>42642</v>
      </c>
    </row>
    <row r="159" spans="1:27">
      <c r="A159" s="39" t="str">
        <f>TEXT(Decisiones!B158,"yyyy-mm")</f>
        <v>2016-09</v>
      </c>
      <c r="B159" s="40">
        <f>Decisiones!H158</f>
        <v>4.75</v>
      </c>
      <c r="C159" s="41">
        <f>IF(Decisiones!K158="",0,Decisiones!K158)</f>
        <v>0</v>
      </c>
      <c r="Z159" t="s">
        <v>386</v>
      </c>
      <c r="AA159" s="94">
        <v>42691</v>
      </c>
    </row>
    <row r="160" spans="1:27">
      <c r="A160" s="39" t="str">
        <f>TEXT(Decisiones!B159,"yyyy-mm")</f>
        <v>2016-11</v>
      </c>
      <c r="B160" s="40">
        <f>Decisiones!H159</f>
        <v>5.25</v>
      </c>
      <c r="C160" s="41">
        <f>IF(Decisiones!K159="",0,Decisiones!K159)</f>
        <v>0</v>
      </c>
      <c r="Z160" t="s">
        <v>389</v>
      </c>
      <c r="AA160" s="94">
        <v>42719</v>
      </c>
    </row>
    <row r="161" spans="1:27">
      <c r="A161" s="39" t="str">
        <f>TEXT(Decisiones!B160,"yyyy-mm")</f>
        <v>2016-12</v>
      </c>
      <c r="B161" s="40">
        <f>Decisiones!H160</f>
        <v>5.75</v>
      </c>
      <c r="C161" s="41">
        <f>IF(Decisiones!K160="",0,Decisiones!K160)</f>
        <v>0</v>
      </c>
      <c r="Z161" t="s">
        <v>392</v>
      </c>
      <c r="AA161" s="94">
        <v>42775</v>
      </c>
    </row>
    <row r="162" spans="1:27">
      <c r="A162" s="39" t="str">
        <f>TEXT(Decisiones!B161,"yyyy-mm")</f>
        <v>2017-02</v>
      </c>
      <c r="B162" s="40">
        <f>Decisiones!H161</f>
        <v>6.25</v>
      </c>
      <c r="C162" s="41">
        <f>IF(Decisiones!K161="",0,Decisiones!K161)</f>
        <v>0</v>
      </c>
      <c r="Z162" t="s">
        <v>395</v>
      </c>
      <c r="AA162" s="94">
        <v>42824</v>
      </c>
    </row>
    <row r="163" spans="1:27">
      <c r="A163" s="39" t="str">
        <f>TEXT(Decisiones!B162,"yyyy-mm")</f>
        <v>2017-03</v>
      </c>
      <c r="B163" s="40">
        <f>Decisiones!H162</f>
        <v>6.5</v>
      </c>
      <c r="C163" s="41">
        <f>IF(Decisiones!K162="",0,Decisiones!K162)</f>
        <v>0</v>
      </c>
      <c r="Z163" t="s">
        <v>398</v>
      </c>
      <c r="AA163" s="94">
        <v>42873</v>
      </c>
    </row>
    <row r="164" spans="1:27">
      <c r="A164" s="39" t="str">
        <f>TEXT(Decisiones!B163,"yyyy-mm")</f>
        <v>2017-05</v>
      </c>
      <c r="B164" s="40">
        <f>Decisiones!H163</f>
        <v>6.75</v>
      </c>
      <c r="C164" s="41">
        <f>IF(Decisiones!K163="",0,Decisiones!K163)</f>
        <v>0</v>
      </c>
      <c r="Z164" t="s">
        <v>401</v>
      </c>
      <c r="AA164" s="94">
        <v>42908</v>
      </c>
    </row>
    <row r="165" spans="1:27">
      <c r="A165" s="39" t="str">
        <f>TEXT(Decisiones!B164,"yyyy-mm")</f>
        <v>2017-06</v>
      </c>
      <c r="B165" s="40">
        <f>Decisiones!H164</f>
        <v>7</v>
      </c>
      <c r="C165" s="41">
        <f>IF(Decisiones!K164="",0,Decisiones!K164)</f>
        <v>0</v>
      </c>
      <c r="Z165" t="s">
        <v>404</v>
      </c>
      <c r="AA165" s="94">
        <v>42957</v>
      </c>
    </row>
    <row r="166" spans="1:27">
      <c r="A166" s="39" t="str">
        <f>TEXT(Decisiones!B165,"yyyy-mm")</f>
        <v>2017-08</v>
      </c>
      <c r="B166" s="40">
        <f>Decisiones!H165</f>
        <v>7</v>
      </c>
      <c r="C166" s="41">
        <f>IF(Decisiones!K165="",0,Decisiones!K165)</f>
        <v>0</v>
      </c>
      <c r="Z166" t="s">
        <v>407</v>
      </c>
      <c r="AA166" s="94">
        <v>43006</v>
      </c>
    </row>
    <row r="167" spans="1:27">
      <c r="A167" s="39" t="str">
        <f>TEXT(Decisiones!B166,"yyyy-mm")</f>
        <v>2017-09</v>
      </c>
      <c r="B167" s="40">
        <f>Decisiones!H166</f>
        <v>7</v>
      </c>
      <c r="C167" s="41">
        <f>IF(Decisiones!K166="",0,Decisiones!K166)</f>
        <v>0</v>
      </c>
      <c r="Z167" t="s">
        <v>410</v>
      </c>
      <c r="AA167" s="94">
        <v>43048</v>
      </c>
    </row>
    <row r="168" spans="1:27">
      <c r="A168" s="39" t="str">
        <f>TEXT(Decisiones!B167,"yyyy-mm")</f>
        <v>2017-11</v>
      </c>
      <c r="B168" s="40">
        <f>Decisiones!H167</f>
        <v>7</v>
      </c>
      <c r="C168" s="41">
        <f>IF(Decisiones!K167="",0,Decisiones!K167)</f>
        <v>0</v>
      </c>
      <c r="Z168" t="s">
        <v>413</v>
      </c>
      <c r="AA168" s="94">
        <v>43083</v>
      </c>
    </row>
    <row r="169" spans="1:27">
      <c r="A169" s="39" t="str">
        <f>TEXT(Decisiones!B168,"yyyy-mm")</f>
        <v>2017-12</v>
      </c>
      <c r="B169" s="40">
        <f>Decisiones!H168</f>
        <v>7.25</v>
      </c>
      <c r="C169" s="41">
        <f>IF(Decisiones!K168="",0,Decisiones!K168)</f>
        <v>0</v>
      </c>
      <c r="Z169" t="s">
        <v>416</v>
      </c>
      <c r="AA169" s="94">
        <v>43139</v>
      </c>
    </row>
    <row r="170" spans="1:27">
      <c r="A170" s="39" t="str">
        <f>TEXT(Decisiones!B169,"yyyy-mm")</f>
        <v>2018-02</v>
      </c>
      <c r="B170" s="40">
        <f>Decisiones!H169</f>
        <v>7.5</v>
      </c>
      <c r="C170" s="41">
        <f>IF(Decisiones!K169="",0,Decisiones!K169)</f>
        <v>0</v>
      </c>
      <c r="Z170" t="s">
        <v>419</v>
      </c>
      <c r="AA170" s="94">
        <v>43202</v>
      </c>
    </row>
    <row r="171" spans="1:27">
      <c r="A171" s="39" t="str">
        <f>TEXT(Decisiones!B170,"yyyy-mm")</f>
        <v>2018-04</v>
      </c>
      <c r="B171" s="40">
        <f>Decisiones!H170</f>
        <v>7.5</v>
      </c>
      <c r="C171" s="41">
        <f>IF(Decisiones!K170="",0,Decisiones!K170)</f>
        <v>0</v>
      </c>
      <c r="Z171" t="s">
        <v>422</v>
      </c>
      <c r="AA171" s="94">
        <v>43237</v>
      </c>
    </row>
    <row r="172" spans="1:27">
      <c r="A172" s="39" t="str">
        <f>TEXT(Decisiones!B171,"yyyy-mm")</f>
        <v>2018-05</v>
      </c>
      <c r="B172" s="40">
        <f>Decisiones!H171</f>
        <v>7.5</v>
      </c>
      <c r="C172" s="41">
        <f>IF(Decisiones!K171="",0,Decisiones!K171)</f>
        <v>0</v>
      </c>
      <c r="Z172" t="s">
        <v>425</v>
      </c>
      <c r="AA172" s="94">
        <v>43272</v>
      </c>
    </row>
    <row r="173" spans="1:27">
      <c r="A173" s="39" t="str">
        <f>TEXT(Decisiones!B172,"yyyy-mm")</f>
        <v>2018-06</v>
      </c>
      <c r="B173" s="40">
        <f>Decisiones!H172</f>
        <v>7.75</v>
      </c>
      <c r="C173" s="41">
        <f>IF(Decisiones!K172="",0,Decisiones!K172)</f>
        <v>0</v>
      </c>
      <c r="Z173" t="s">
        <v>428</v>
      </c>
      <c r="AA173" s="94">
        <v>43314</v>
      </c>
    </row>
    <row r="174" spans="1:27">
      <c r="A174" s="39" t="str">
        <f>TEXT(Decisiones!B173,"yyyy-mm")</f>
        <v>2018-08</v>
      </c>
      <c r="B174" s="40">
        <f>Decisiones!H173</f>
        <v>7.75</v>
      </c>
      <c r="C174" s="41">
        <f>IF(Decisiones!K173="",0,Decisiones!K173)</f>
        <v>0</v>
      </c>
      <c r="Z174" t="s">
        <v>431</v>
      </c>
      <c r="AA174" s="94">
        <v>43377</v>
      </c>
    </row>
    <row r="175" spans="1:27">
      <c r="A175" s="39" t="str">
        <f>TEXT(Decisiones!B174,"yyyy-mm")</f>
        <v>2018-10</v>
      </c>
      <c r="B175" s="40">
        <f>Decisiones!H174</f>
        <v>7.75</v>
      </c>
      <c r="C175" s="41">
        <f>IF(Decisiones!K174="",0,Decisiones!K174)</f>
        <v>1</v>
      </c>
      <c r="Z175" t="s">
        <v>434</v>
      </c>
      <c r="AA175" s="94">
        <v>43419</v>
      </c>
    </row>
    <row r="176" spans="1:27">
      <c r="A176" s="39" t="str">
        <f>TEXT(Decisiones!B175,"yyyy-mm")</f>
        <v>2018-11</v>
      </c>
      <c r="B176" s="40">
        <f>Decisiones!H175</f>
        <v>8</v>
      </c>
      <c r="C176" s="41">
        <f>IF(Decisiones!K175="",0,Decisiones!K175)</f>
        <v>1</v>
      </c>
      <c r="Z176" t="s">
        <v>437</v>
      </c>
      <c r="AA176" s="94">
        <v>43454</v>
      </c>
    </row>
    <row r="177" spans="1:27">
      <c r="A177" s="39" t="str">
        <f>TEXT(Decisiones!B176,"yyyy-mm")</f>
        <v>2018-12</v>
      </c>
      <c r="B177" s="40">
        <f>Decisiones!H176</f>
        <v>8.25</v>
      </c>
      <c r="C177" s="41">
        <f>IF(Decisiones!K176="",0,Decisiones!K176)</f>
        <v>0</v>
      </c>
      <c r="Z177" t="s">
        <v>440</v>
      </c>
      <c r="AA177" s="94">
        <v>43503</v>
      </c>
    </row>
    <row r="178" spans="1:27">
      <c r="A178" s="39" t="str">
        <f>TEXT(Decisiones!B177,"yyyy-mm")</f>
        <v>2019-02</v>
      </c>
      <c r="B178" s="40">
        <f>Decisiones!H177</f>
        <v>8.25</v>
      </c>
      <c r="C178" s="41">
        <f>IF(Decisiones!K177="",0,Decisiones!K177)</f>
        <v>0</v>
      </c>
      <c r="Z178" t="s">
        <v>443</v>
      </c>
      <c r="AA178" s="94">
        <v>43552</v>
      </c>
    </row>
    <row r="179" spans="1:27">
      <c r="A179" s="39" t="str">
        <f>TEXT(Decisiones!B178,"yyyy-mm")</f>
        <v>2019-03</v>
      </c>
      <c r="B179" s="40">
        <f>Decisiones!H178</f>
        <v>8.25</v>
      </c>
      <c r="C179" s="41">
        <f>IF(Decisiones!K178="",0,Decisiones!K178)</f>
        <v>0</v>
      </c>
      <c r="Z179" t="s">
        <v>446</v>
      </c>
      <c r="AA179" s="94">
        <v>43601</v>
      </c>
    </row>
    <row r="180" spans="1:27">
      <c r="A180" s="39" t="str">
        <f>TEXT(Decisiones!B179,"yyyy-mm")</f>
        <v>2019-05</v>
      </c>
      <c r="B180" s="40">
        <f>Decisiones!H179</f>
        <v>8.25</v>
      </c>
      <c r="C180" s="41">
        <f>IF(Decisiones!K179="",0,Decisiones!K179)</f>
        <v>0</v>
      </c>
      <c r="Z180" t="s">
        <v>449</v>
      </c>
      <c r="AA180" s="94">
        <v>43643</v>
      </c>
    </row>
    <row r="181" spans="1:27">
      <c r="A181" s="39" t="str">
        <f>TEXT(Decisiones!B180,"yyyy-mm")</f>
        <v>2019-06</v>
      </c>
      <c r="B181" s="40">
        <f>Decisiones!H180</f>
        <v>8.25</v>
      </c>
      <c r="C181" s="41">
        <f>IF(Decisiones!K180="",0,Decisiones!K180)</f>
        <v>1</v>
      </c>
      <c r="Z181" t="s">
        <v>452</v>
      </c>
      <c r="AA181" s="94">
        <v>43692</v>
      </c>
    </row>
    <row r="182" spans="1:27">
      <c r="A182" s="39" t="str">
        <f>TEXT(Decisiones!B181,"yyyy-mm")</f>
        <v>2019-08</v>
      </c>
      <c r="B182" s="40">
        <f>Decisiones!H181</f>
        <v>8</v>
      </c>
      <c r="C182" s="41">
        <f>IF(Decisiones!K181="",0,Decisiones!K181)</f>
        <v>1</v>
      </c>
      <c r="Z182" t="s">
        <v>455</v>
      </c>
      <c r="AA182" s="94">
        <v>43734</v>
      </c>
    </row>
    <row r="183" spans="1:27">
      <c r="A183" s="39" t="str">
        <f>TEXT(Decisiones!B182,"yyyy-mm")</f>
        <v>2019-09</v>
      </c>
      <c r="B183" s="40">
        <f>Decisiones!H182</f>
        <v>7.75</v>
      </c>
      <c r="C183" s="41">
        <f>IF(Decisiones!K182="",0,Decisiones!K182)</f>
        <v>2</v>
      </c>
      <c r="Z183" t="s">
        <v>458</v>
      </c>
      <c r="AA183" s="94">
        <v>43783</v>
      </c>
    </row>
    <row r="184" spans="1:27">
      <c r="A184" s="39" t="str">
        <f>TEXT(Decisiones!B183,"yyyy-mm")</f>
        <v>2019-11</v>
      </c>
      <c r="B184" s="40">
        <f>Decisiones!H183</f>
        <v>7.5</v>
      </c>
      <c r="C184" s="41">
        <f>IF(Decisiones!K183="",0,Decisiones!K183)</f>
        <v>2</v>
      </c>
      <c r="Z184" t="s">
        <v>461</v>
      </c>
      <c r="AA184" s="94">
        <v>43818</v>
      </c>
    </row>
    <row r="185" spans="1:27">
      <c r="A185" s="39" t="str">
        <f>TEXT(Decisiones!B184,"yyyy-mm")</f>
        <v>2019-12</v>
      </c>
      <c r="B185" s="40">
        <f>Decisiones!H184</f>
        <v>7.25</v>
      </c>
      <c r="C185" s="41">
        <f>IF(Decisiones!K184="",0,Decisiones!K184)</f>
        <v>1</v>
      </c>
      <c r="Z185" t="s">
        <v>464</v>
      </c>
      <c r="AA185" s="94">
        <v>43874</v>
      </c>
    </row>
    <row r="186" spans="1:27">
      <c r="A186" s="39" t="str">
        <f>TEXT(Decisiones!B185,"yyyy-mm")</f>
        <v>2020-02</v>
      </c>
      <c r="B186" s="40">
        <f>Decisiones!H185</f>
        <v>7</v>
      </c>
      <c r="C186" s="41">
        <f>IF(Decisiones!K185="",0,Decisiones!K185)</f>
        <v>0</v>
      </c>
      <c r="Z186" t="s">
        <v>467</v>
      </c>
      <c r="AA186" s="94">
        <v>43910</v>
      </c>
    </row>
    <row r="187" spans="1:27">
      <c r="A187" s="39" t="str">
        <f>TEXT(Decisiones!B186,"yyyy-mm")</f>
        <v>2020-03</v>
      </c>
      <c r="B187" s="40">
        <f>Decisiones!H186</f>
        <v>6.5</v>
      </c>
      <c r="C187" s="41">
        <f>IF(Decisiones!K186="",0,Decisiones!K186)</f>
        <v>1</v>
      </c>
      <c r="Z187" t="s">
        <v>470</v>
      </c>
      <c r="AA187" s="94">
        <v>43942</v>
      </c>
    </row>
    <row r="188" spans="1:27">
      <c r="A188" s="39" t="str">
        <f>TEXT(Decisiones!B187,"yyyy-mm")</f>
        <v>2020-04</v>
      </c>
      <c r="B188" s="40">
        <f>Decisiones!H187</f>
        <v>6</v>
      </c>
      <c r="C188" s="41">
        <f>IF(Decisiones!K187="",0,Decisiones!K187)</f>
        <v>0</v>
      </c>
      <c r="Z188" t="s">
        <v>473</v>
      </c>
      <c r="AA188" s="94">
        <v>43965</v>
      </c>
    </row>
    <row r="189" spans="1:27">
      <c r="A189" s="39" t="str">
        <f>TEXT(Decisiones!B188,"yyyy-mm")</f>
        <v>2020-05</v>
      </c>
      <c r="B189" s="40">
        <f>Decisiones!H188</f>
        <v>5.5</v>
      </c>
      <c r="C189" s="41">
        <f>IF(Decisiones!K188="",0,Decisiones!K188)</f>
        <v>0</v>
      </c>
      <c r="Z189" t="s">
        <v>476</v>
      </c>
      <c r="AA189" s="94">
        <v>44007</v>
      </c>
    </row>
    <row r="190" spans="1:27">
      <c r="A190" s="39" t="str">
        <f>TEXT(Decisiones!B189,"yyyy-mm")</f>
        <v>2020-06</v>
      </c>
      <c r="B190" s="40">
        <f>Decisiones!H189</f>
        <v>5</v>
      </c>
      <c r="C190" s="41">
        <f>IF(Decisiones!K189="",0,Decisiones!K189)</f>
        <v>0</v>
      </c>
      <c r="Z190" t="s">
        <v>479</v>
      </c>
      <c r="AA190" s="94">
        <v>44056</v>
      </c>
    </row>
    <row r="191" spans="1:27">
      <c r="A191" s="39" t="str">
        <f>TEXT(Decisiones!B190,"yyyy-mm")</f>
        <v>2020-08</v>
      </c>
      <c r="B191" s="40">
        <f>Decisiones!H190</f>
        <v>4.5</v>
      </c>
      <c r="C191" s="41">
        <f>IF(Decisiones!K190="",0,Decisiones!K190)</f>
        <v>1</v>
      </c>
      <c r="Z191" t="s">
        <v>482</v>
      </c>
      <c r="AA191" s="94">
        <v>44098</v>
      </c>
    </row>
    <row r="192" spans="1:27">
      <c r="A192" s="39" t="str">
        <f>TEXT(Decisiones!B191,"yyyy-mm")</f>
        <v>2020-09</v>
      </c>
      <c r="B192" s="40">
        <f>Decisiones!H191</f>
        <v>4.25</v>
      </c>
      <c r="C192" s="41">
        <f>IF(Decisiones!K191="",0,Decisiones!K191)</f>
        <v>0</v>
      </c>
      <c r="Z192" t="s">
        <v>485</v>
      </c>
      <c r="AA192" s="94">
        <v>44147</v>
      </c>
    </row>
    <row r="193" spans="1:27">
      <c r="A193" s="39" t="str">
        <f>TEXT(Decisiones!B192,"yyyy-mm")</f>
        <v>2020-11</v>
      </c>
      <c r="B193" s="40">
        <f>Decisiones!H192</f>
        <v>4.25</v>
      </c>
      <c r="C193" s="41">
        <f>IF(Decisiones!K192="",0,Decisiones!K192)</f>
        <v>1</v>
      </c>
      <c r="Z193" t="s">
        <v>488</v>
      </c>
      <c r="AA193" s="94">
        <v>44182</v>
      </c>
    </row>
    <row r="194" spans="1:27">
      <c r="A194" s="39" t="str">
        <f>TEXT(Decisiones!B193,"yyyy-mm")</f>
        <v>2020-12</v>
      </c>
      <c r="B194" s="40">
        <f>Decisiones!H193</f>
        <v>4.25</v>
      </c>
      <c r="C194" s="41">
        <f>IF(Decisiones!K193="",0,Decisiones!K193)</f>
        <v>2</v>
      </c>
      <c r="Z194" t="s">
        <v>491</v>
      </c>
      <c r="AA194" s="94">
        <v>44238</v>
      </c>
    </row>
    <row r="195" spans="1:27">
      <c r="A195" s="39" t="str">
        <f>TEXT(Decisiones!B194,"yyyy-mm")</f>
        <v>2021-02</v>
      </c>
      <c r="B195" s="40">
        <f>Decisiones!H194</f>
        <v>4</v>
      </c>
      <c r="C195" s="41">
        <f>IF(Decisiones!K194="",0,Decisiones!K194)</f>
        <v>0</v>
      </c>
      <c r="Z195" t="s">
        <v>494</v>
      </c>
      <c r="AA195" s="94">
        <v>44280</v>
      </c>
    </row>
    <row r="196" spans="1:27">
      <c r="A196" s="39" t="str">
        <f>TEXT(Decisiones!B195,"yyyy-mm")</f>
        <v>2021-03</v>
      </c>
      <c r="B196" s="40">
        <f>Decisiones!H195</f>
        <v>4</v>
      </c>
      <c r="C196" s="41">
        <f>IF(Decisiones!K195="",0,Decisiones!K195)</f>
        <v>0</v>
      </c>
      <c r="Z196" t="s">
        <v>497</v>
      </c>
      <c r="AA196" s="94">
        <v>44329</v>
      </c>
    </row>
    <row r="197" spans="1:27">
      <c r="A197" s="39" t="str">
        <f>TEXT(Decisiones!B196,"yyyy-mm")</f>
        <v>2021-05</v>
      </c>
      <c r="B197" s="40">
        <f>Decisiones!H196</f>
        <v>4</v>
      </c>
      <c r="C197" s="41">
        <f>IF(Decisiones!K196="",0,Decisiones!K196)</f>
        <v>0</v>
      </c>
      <c r="Z197" t="s">
        <v>500</v>
      </c>
      <c r="AA197" s="94">
        <v>44371</v>
      </c>
    </row>
    <row r="198" spans="1:27">
      <c r="A198" s="39" t="str">
        <f>TEXT(Decisiones!B197,"yyyy-mm")</f>
        <v>2021-06</v>
      </c>
      <c r="B198" s="40">
        <f>Decisiones!H197</f>
        <v>4.25</v>
      </c>
      <c r="C198" s="41">
        <f>IF(Decisiones!K197="",0,Decisiones!K197)</f>
        <v>2</v>
      </c>
      <c r="Z198" t="s">
        <v>503</v>
      </c>
      <c r="AA198" s="94">
        <v>44420</v>
      </c>
    </row>
    <row r="199" spans="1:27">
      <c r="A199" s="39" t="str">
        <f>TEXT(Decisiones!B198,"yyyy-mm")</f>
        <v>2021-08</v>
      </c>
      <c r="B199" s="40">
        <f>Decisiones!H198</f>
        <v>4.5</v>
      </c>
      <c r="C199" s="41">
        <f>IF(Decisiones!K198="",0,Decisiones!K198)</f>
        <v>2</v>
      </c>
      <c r="Z199" t="s">
        <v>506</v>
      </c>
      <c r="AA199" s="94">
        <v>44469</v>
      </c>
    </row>
    <row r="200" spans="1:27">
      <c r="A200" s="39" t="str">
        <f>TEXT(Decisiones!B199,"yyyy-mm")</f>
        <v>2021-09</v>
      </c>
      <c r="B200" s="40">
        <f>Decisiones!H199</f>
        <v>4.75</v>
      </c>
      <c r="C200" s="41">
        <f>IF(Decisiones!K199="",0,Decisiones!K199)</f>
        <v>1</v>
      </c>
      <c r="Z200" t="s">
        <v>509</v>
      </c>
      <c r="AA200" s="94">
        <v>44511</v>
      </c>
    </row>
    <row r="201" spans="1:27">
      <c r="A201" s="39" t="str">
        <f>TEXT(Decisiones!B200,"yyyy-mm")</f>
        <v>2021-11</v>
      </c>
      <c r="B201" s="40">
        <f>Decisiones!H200</f>
        <v>5</v>
      </c>
      <c r="C201" s="41">
        <f>IF(Decisiones!K200="",0,Decisiones!K200)</f>
        <v>1</v>
      </c>
      <c r="Z201" t="s">
        <v>512</v>
      </c>
      <c r="AA201" s="94">
        <v>44546</v>
      </c>
    </row>
    <row r="202" spans="1:27">
      <c r="A202" s="39" t="str">
        <f>TEXT(Decisiones!B201,"yyyy-mm")</f>
        <v>2021-12</v>
      </c>
      <c r="B202" s="40">
        <f>Decisiones!H201</f>
        <v>5.5</v>
      </c>
      <c r="C202" s="41">
        <f>IF(Decisiones!K201="",0,Decisiones!K201)</f>
        <v>1</v>
      </c>
      <c r="Z202" t="s">
        <v>515</v>
      </c>
      <c r="AA202" s="94">
        <v>44602</v>
      </c>
    </row>
    <row r="203" spans="1:27">
      <c r="A203" s="39" t="str">
        <f>TEXT(Decisiones!B202,"yyyy-mm")</f>
        <v>2022-02</v>
      </c>
      <c r="B203" s="40">
        <f>Decisiones!H202</f>
        <v>6</v>
      </c>
      <c r="C203" s="41">
        <f>IF(Decisiones!K202="",0,Decisiones!K202)</f>
        <v>1</v>
      </c>
      <c r="Z203" t="s">
        <v>518</v>
      </c>
      <c r="AA203" s="94">
        <v>44644</v>
      </c>
    </row>
    <row r="204" spans="1:27">
      <c r="A204" s="39" t="str">
        <f>TEXT(Decisiones!B203,"yyyy-mm")</f>
        <v>2022-03</v>
      </c>
      <c r="B204" s="40">
        <f>Decisiones!H203</f>
        <v>6.5</v>
      </c>
      <c r="C204" s="41">
        <f>IF(Decisiones!K203="",0,Decisiones!K203)</f>
        <v>0</v>
      </c>
      <c r="Z204" t="s">
        <v>521</v>
      </c>
      <c r="AA204" s="94">
        <v>44693</v>
      </c>
    </row>
    <row r="205" spans="1:27">
      <c r="A205" s="39" t="str">
        <f>TEXT(Decisiones!B204,"yyyy-mm")</f>
        <v>2022-05</v>
      </c>
      <c r="B205" s="40">
        <f>Decisiones!H204</f>
        <v>7</v>
      </c>
      <c r="C205" s="41">
        <f>IF(Decisiones!K204="",0,Decisiones!K204)</f>
        <v>1</v>
      </c>
      <c r="Z205" t="s">
        <v>524</v>
      </c>
      <c r="AA205" s="94">
        <v>44735</v>
      </c>
    </row>
    <row r="206" spans="1:27">
      <c r="A206" s="39" t="str">
        <f>TEXT(Decisiones!B205,"yyyy-mm")</f>
        <v>2022-06</v>
      </c>
      <c r="B206" s="40">
        <f>Decisiones!H205</f>
        <v>7.75</v>
      </c>
      <c r="C206" s="41">
        <f>IF(Decisiones!K205="",0,Decisiones!K205)</f>
        <v>0</v>
      </c>
      <c r="Z206" t="s">
        <v>527</v>
      </c>
      <c r="AA206" s="94">
        <v>44784</v>
      </c>
    </row>
    <row r="207" spans="1:27">
      <c r="A207" s="39" t="str">
        <f>TEXT(Decisiones!B206,"yyyy-mm")</f>
        <v>2022-08</v>
      </c>
      <c r="B207" s="40">
        <f>Decisiones!H206</f>
        <v>8.5</v>
      </c>
      <c r="C207" s="41">
        <f>IF(Decisiones!K206="",0,Decisiones!K206)</f>
        <v>0</v>
      </c>
      <c r="Z207" t="s">
        <v>530</v>
      </c>
      <c r="AA207" s="94">
        <v>44833</v>
      </c>
    </row>
    <row r="208" spans="1:27">
      <c r="A208" s="39" t="str">
        <f>TEXT(Decisiones!B207,"yyyy-mm")</f>
        <v>2022-09</v>
      </c>
      <c r="B208" s="40">
        <f>Decisiones!H207</f>
        <v>9.25</v>
      </c>
      <c r="C208" s="41">
        <f>IF(Decisiones!K207="",0,Decisiones!K207)</f>
        <v>0</v>
      </c>
      <c r="Z208" t="s">
        <v>533</v>
      </c>
      <c r="AA208" s="94">
        <v>44875</v>
      </c>
    </row>
    <row r="209" spans="1:27">
      <c r="A209" s="39" t="str">
        <f>TEXT(Decisiones!B208,"yyyy-mm")</f>
        <v>2022-11</v>
      </c>
      <c r="B209" s="40">
        <f>Decisiones!H208</f>
        <v>10</v>
      </c>
      <c r="C209" s="41">
        <f>IF(Decisiones!K208="",0,Decisiones!K208)</f>
        <v>1</v>
      </c>
      <c r="Z209" t="s">
        <v>536</v>
      </c>
      <c r="AA209" s="94">
        <v>44910</v>
      </c>
    </row>
    <row r="210" spans="1:27">
      <c r="A210" s="39" t="str">
        <f>TEXT(Decisiones!B209,"yyyy-mm")</f>
        <v>2022-12</v>
      </c>
      <c r="B210" s="40">
        <f>Decisiones!H209</f>
        <v>10.5</v>
      </c>
      <c r="C210" s="41">
        <f>IF(Decisiones!K209="",0,Decisiones!K209)</f>
        <v>1</v>
      </c>
      <c r="Z210" t="s">
        <v>539</v>
      </c>
      <c r="AA210" s="94">
        <v>44966</v>
      </c>
    </row>
    <row r="211" spans="1:27">
      <c r="A211" s="39" t="str">
        <f>TEXT(Decisiones!B210,"yyyy-mm")</f>
        <v>2023-02</v>
      </c>
      <c r="B211" s="40">
        <f>Decisiones!H210</f>
        <v>11</v>
      </c>
      <c r="C211" s="41">
        <f>IF(Decisiones!K210="",0,Decisiones!K210)</f>
        <v>0</v>
      </c>
      <c r="Z211" t="s">
        <v>542</v>
      </c>
      <c r="AA211" s="94">
        <v>45015</v>
      </c>
    </row>
    <row r="212" spans="1:27">
      <c r="A212" s="39" t="str">
        <f>TEXT(Decisiones!B211,"yyyy-mm")</f>
        <v>2023-03</v>
      </c>
      <c r="B212" s="40">
        <f>Decisiones!H211</f>
        <v>11.25</v>
      </c>
      <c r="C212" s="41">
        <f>IF(Decisiones!K211="",0,Decisiones!K211)</f>
        <v>0</v>
      </c>
      <c r="Z212" t="s">
        <v>545</v>
      </c>
      <c r="AA212" s="94">
        <v>45064</v>
      </c>
    </row>
    <row r="213" spans="1:27">
      <c r="A213" s="39" t="str">
        <f>TEXT(Decisiones!B212,"yyyy-mm")</f>
        <v>2023-05</v>
      </c>
      <c r="B213" s="40">
        <f>Decisiones!H212</f>
        <v>11.25</v>
      </c>
      <c r="C213" s="41">
        <f>IF(Decisiones!K212="",0,Decisiones!K212)</f>
        <v>0</v>
      </c>
      <c r="Z213" t="s">
        <v>548</v>
      </c>
      <c r="AA213" s="94">
        <v>45099</v>
      </c>
    </row>
    <row r="214" spans="1:27">
      <c r="A214" s="39" t="str">
        <f>TEXT(Decisiones!B213,"yyyy-mm")</f>
        <v>2023-06</v>
      </c>
      <c r="B214" s="40">
        <f>Decisiones!H213</f>
        <v>11.25</v>
      </c>
      <c r="C214" s="41">
        <f>IF(Decisiones!K213="",0,Decisiones!K213)</f>
        <v>0</v>
      </c>
      <c r="Z214" t="s">
        <v>551</v>
      </c>
      <c r="AA214" s="94">
        <v>45148</v>
      </c>
    </row>
    <row r="215" spans="1:27">
      <c r="A215" s="39" t="str">
        <f>TEXT(Decisiones!B214,"yyyy-mm")</f>
        <v>2023-08</v>
      </c>
      <c r="B215" s="40">
        <f>Decisiones!H214</f>
        <v>11.25</v>
      </c>
      <c r="C215" s="41">
        <f>IF(Decisiones!K214="",0,Decisiones!K214)</f>
        <v>0</v>
      </c>
      <c r="Z215" t="s">
        <v>554</v>
      </c>
      <c r="AA215" s="94">
        <v>45197</v>
      </c>
    </row>
    <row r="216" spans="1:27">
      <c r="A216" s="39" t="str">
        <f>TEXT(Decisiones!B215,"yyyy-mm")</f>
        <v>2023-09</v>
      </c>
      <c r="B216" s="40">
        <f>Decisiones!H215</f>
        <v>11.25</v>
      </c>
      <c r="C216" s="41">
        <f>IF(Decisiones!K215="",0,Decisiones!K215)</f>
        <v>0</v>
      </c>
      <c r="Z216" t="s">
        <v>557</v>
      </c>
      <c r="AA216" s="94">
        <v>45239</v>
      </c>
    </row>
    <row r="217" spans="1:27">
      <c r="A217" s="39" t="str">
        <f>TEXT(Decisiones!B216,"yyyy-mm")</f>
        <v>2023-11</v>
      </c>
      <c r="B217" s="40">
        <f>Decisiones!H216</f>
        <v>11.25</v>
      </c>
      <c r="C217" s="41">
        <f>IF(Decisiones!K216="",0,Decisiones!K216)</f>
        <v>0</v>
      </c>
      <c r="Z217" t="s">
        <v>560</v>
      </c>
      <c r="AA217" s="94">
        <v>45274</v>
      </c>
    </row>
    <row r="218" spans="1:27">
      <c r="A218" s="39" t="str">
        <f>TEXT(Decisiones!B217,"yyyy-mm")</f>
        <v>2023-12</v>
      </c>
      <c r="B218" s="40">
        <f>Decisiones!H217</f>
        <v>11.25</v>
      </c>
      <c r="C218" s="41">
        <f>IF(Decisiones!K217="",0,Decisiones!K217)</f>
        <v>0</v>
      </c>
      <c r="Z218" t="s">
        <v>563</v>
      </c>
      <c r="AA218" s="94">
        <v>45330</v>
      </c>
    </row>
    <row r="219" spans="1:27">
      <c r="A219" s="39" t="str">
        <f>TEXT(Decisiones!B218,"yyyy-mm")</f>
        <v>2024-02</v>
      </c>
      <c r="B219" s="40">
        <f>Decisiones!H218</f>
        <v>11.25</v>
      </c>
      <c r="C219" s="41">
        <f>IF(Decisiones!K218="",0,Decisiones!K218)</f>
        <v>0</v>
      </c>
      <c r="Z219" t="s">
        <v>566</v>
      </c>
      <c r="AA219" s="94">
        <v>45372</v>
      </c>
    </row>
    <row r="220" spans="1:27">
      <c r="A220" s="39" t="str">
        <f>TEXT(Decisiones!B219,"yyyy-mm")</f>
        <v>2024-03</v>
      </c>
      <c r="B220" s="40">
        <f>Decisiones!H219</f>
        <v>11</v>
      </c>
      <c r="C220" s="41">
        <f>IF(Decisiones!K219="",0,Decisiones!K219)</f>
        <v>1</v>
      </c>
      <c r="Z220" t="s">
        <v>569</v>
      </c>
      <c r="AA220" s="94">
        <v>45421</v>
      </c>
    </row>
    <row r="221" spans="1:27">
      <c r="A221" s="39" t="str">
        <f>TEXT(Decisiones!B220,"yyyy-mm")</f>
        <v>2024-05</v>
      </c>
      <c r="B221" s="40">
        <f>Decisiones!H220</f>
        <v>11</v>
      </c>
      <c r="C221" s="41">
        <f>IF(Decisiones!K220="",0,Decisiones!K220)</f>
        <v>0</v>
      </c>
      <c r="Z221" t="s">
        <v>572</v>
      </c>
      <c r="AA221" s="94">
        <v>45470</v>
      </c>
    </row>
    <row r="222" spans="1:27">
      <c r="A222" s="39" t="str">
        <f>TEXT(Decisiones!B221,"yyyy-mm")</f>
        <v>2024-06</v>
      </c>
      <c r="B222" s="40">
        <f>Decisiones!H221</f>
        <v>11</v>
      </c>
      <c r="C222" s="41">
        <f>IF(Decisiones!K221="",0,Decisiones!K221)</f>
        <v>1</v>
      </c>
      <c r="Z222" t="s">
        <v>575</v>
      </c>
      <c r="AA222" s="94">
        <v>45512</v>
      </c>
    </row>
    <row r="223" spans="1:27">
      <c r="A223" s="39" t="str">
        <f>TEXT(Decisiones!B222,"yyyy-mm")</f>
        <v>2024-08</v>
      </c>
      <c r="B223" s="40">
        <f>Decisiones!H222</f>
        <v>10.75</v>
      </c>
      <c r="C223" s="41">
        <f>IF(Decisiones!K222="",0,Decisiones!K222)</f>
        <v>2</v>
      </c>
      <c r="Z223" t="s">
        <v>578</v>
      </c>
      <c r="AA223" s="94">
        <v>45561</v>
      </c>
    </row>
    <row r="224" spans="1:27">
      <c r="A224" s="39" t="str">
        <f>TEXT(Decisiones!B223,"yyyy-mm")</f>
        <v>2024-09</v>
      </c>
      <c r="B224" s="40">
        <f>Decisiones!H223</f>
        <v>10.5</v>
      </c>
      <c r="C224" s="41">
        <f>IF(Decisiones!K223="",0,Decisiones!K223)</f>
        <v>1</v>
      </c>
      <c r="Z224" t="s">
        <v>581</v>
      </c>
      <c r="AA224" s="94">
        <v>45610</v>
      </c>
    </row>
    <row r="225" spans="1:27">
      <c r="A225" s="39" t="str">
        <f>TEXT(Decisiones!B224,"yyyy-mm")</f>
        <v>2024-11</v>
      </c>
      <c r="B225" s="40">
        <f>Decisiones!H224</f>
        <v>10.25</v>
      </c>
      <c r="C225" s="41">
        <f>IF(Decisiones!K224="",0,Decisiones!K224)</f>
        <v>0</v>
      </c>
      <c r="Z225" t="s">
        <v>584</v>
      </c>
      <c r="AA225" s="94">
        <v>45645</v>
      </c>
    </row>
    <row r="226" spans="1:27">
      <c r="A226" s="39" t="str">
        <f>TEXT(Decisiones!B225,"yyyy-mm")</f>
        <v>2024-12</v>
      </c>
      <c r="B226" s="40">
        <f>Decisiones!H225</f>
        <v>10</v>
      </c>
      <c r="C226" s="41">
        <f>IF(Decisiones!K225="",0,Decisiones!K225)</f>
        <v>0</v>
      </c>
      <c r="Z226" t="s">
        <v>587</v>
      </c>
      <c r="AA226" s="94">
        <v>45694</v>
      </c>
    </row>
    <row r="227" spans="1:27">
      <c r="A227" s="39" t="str">
        <f>TEXT(Decisiones!B226,"yyyy-mm")</f>
        <v>2025-02</v>
      </c>
      <c r="B227" s="40">
        <f>Decisiones!H226</f>
        <v>9.5</v>
      </c>
      <c r="C227" s="41">
        <f>IF(Decisiones!K226="",0,Decisiones!K226)</f>
        <v>1</v>
      </c>
      <c r="Z227" t="s">
        <v>590</v>
      </c>
      <c r="AA227" s="94">
        <v>45743</v>
      </c>
    </row>
    <row r="228" spans="1:27">
      <c r="A228" s="39" t="str">
        <f>TEXT(Decisiones!B227,"yyyy-mm")</f>
        <v>2025-03</v>
      </c>
      <c r="B228" s="40">
        <f>Decisiones!H227</f>
        <v>9</v>
      </c>
      <c r="C228" s="41">
        <f>IF(Decisiones!K227="",0,Decisiones!K227)</f>
        <v>0</v>
      </c>
      <c r="Z228" t="s">
        <v>593</v>
      </c>
      <c r="AA228" s="94">
        <v>45792</v>
      </c>
    </row>
    <row r="229" spans="1:27">
      <c r="A229" s="39" t="str">
        <f>TEXT(Decisiones!B228,"yyyy-mm")</f>
        <v>2025-05</v>
      </c>
      <c r="B229" s="40">
        <f>Decisiones!H228</f>
        <v>8.5</v>
      </c>
      <c r="C229" s="41">
        <f>IF(Decisiones!K228="",0,Decisiones!K228)</f>
        <v>0</v>
      </c>
      <c r="Z229" t="s">
        <v>596</v>
      </c>
      <c r="AA229" s="94">
        <v>45834</v>
      </c>
    </row>
    <row r="230" spans="1:27">
      <c r="A230" s="39" t="str">
        <f>TEXT(Decisiones!B229,"yyyy-mm")</f>
        <v>2025-06</v>
      </c>
      <c r="B230" s="40">
        <f>Decisiones!H229</f>
        <v>8</v>
      </c>
      <c r="C230" s="41">
        <f>IF(Decisiones!K229="",0,Decisiones!K229)</f>
        <v>1</v>
      </c>
      <c r="Z230" t="s">
        <v>599</v>
      </c>
      <c r="AA230" s="94">
        <v>45876</v>
      </c>
    </row>
    <row r="231" spans="1:27">
      <c r="A231" s="39" t="str">
        <f>TEXT(Decisiones!B230,"yyyy-mm")</f>
        <v>2025-08</v>
      </c>
      <c r="B231" s="40">
        <f>Decisiones!H230</f>
        <v>7.75</v>
      </c>
      <c r="C231" s="41">
        <f>IF(Decisiones!K230="",0,Decisiones!K230)</f>
        <v>1</v>
      </c>
      <c r="Z231" t="s">
        <v>602</v>
      </c>
      <c r="AA231" s="94">
        <v>45925</v>
      </c>
    </row>
    <row r="232" spans="1:27">
      <c r="A232" s="39" t="str">
        <f>TEXT(Decisiones!B231,"yyyy-mm")</f>
        <v>2025-09</v>
      </c>
      <c r="B232" s="40">
        <f>Decisiones!H231</f>
        <v>7.5</v>
      </c>
      <c r="C232" s="41">
        <f>IF(Decisiones!K231="",0,Decisiones!K231)</f>
        <v>1</v>
      </c>
      <c r="Z232" t="s">
        <v>605</v>
      </c>
      <c r="AA232" s="94">
        <v>45967</v>
      </c>
    </row>
    <row r="233" spans="1:27">
      <c r="A233" s="39" t="str">
        <f>TEXT(Decisiones!B232,"yyyy-mm")</f>
        <v>2025-11</v>
      </c>
      <c r="B233" s="40">
        <f>Decisiones!H232</f>
        <v>7.25</v>
      </c>
      <c r="C233" s="41">
        <f>IF(Decisiones!K232="",0,Decisiones!K232)</f>
        <v>1</v>
      </c>
      <c r="Z233" t="s">
        <v>608</v>
      </c>
      <c r="AA233" s="94">
        <v>46009</v>
      </c>
    </row>
    <row r="234" spans="1:27">
      <c r="A234" s="39" t="str">
        <f>TEXT(Decisiones!B233,"yyyy-mm")</f>
        <v>2025-12</v>
      </c>
      <c r="B234" s="40">
        <f>Decisiones!H233</f>
        <v>7</v>
      </c>
      <c r="C234" s="41">
        <f>IF(Decisiones!K233="",0,Decisiones!K233)</f>
        <v>1</v>
      </c>
      <c r="Z234" t="s">
        <v>611</v>
      </c>
      <c r="AA234" s="94">
        <v>46058</v>
      </c>
    </row>
    <row r="235" spans="1:27">
      <c r="A235" s="39" t="str">
        <f>TEXT(Decisiones!B234,"yyyy-mm")</f>
        <v>2026-02</v>
      </c>
      <c r="B235" s="40">
        <f>Decisiones!H234</f>
        <v>7</v>
      </c>
      <c r="C235" s="41">
        <f>IF(Decisiones!K234="",0,Decisiones!K234)</f>
        <v>0</v>
      </c>
      <c r="Z235" t="s">
        <v>614</v>
      </c>
      <c r="AA235" s="94">
        <v>46107</v>
      </c>
    </row>
    <row r="236" spans="1:27">
      <c r="A236" s="39" t="str">
        <f>TEXT(Decisiones!B235,"yyyy-mm")</f>
        <v>2026-03</v>
      </c>
      <c r="B236" s="40">
        <f>Decisiones!H235</f>
        <v>6.75</v>
      </c>
      <c r="C236" s="41">
        <f>IF(Decisiones!K235="",0,Decisiones!K235)</f>
        <v>2</v>
      </c>
      <c r="Z236" t="s">
        <v>617</v>
      </c>
      <c r="AA236" s="94">
        <v>46149</v>
      </c>
    </row>
    <row r="237" spans="1:27">
      <c r="A237" s="39" t="str">
        <f>TEXT(Decisiones!B236,"yyyy-mm")</f>
        <v>2026-05</v>
      </c>
      <c r="B237" s="40">
        <f>Decisiones!H236</f>
        <v>6.5</v>
      </c>
      <c r="C237" s="41">
        <f>IF(Decisiones!K236="",0,Decisiones!K236)</f>
        <v>2</v>
      </c>
      <c r="Z237" t="s">
        <v>620</v>
      </c>
      <c r="AA237" s="94">
        <v>46198</v>
      </c>
    </row>
    <row r="238" spans="1:27">
      <c r="A238" s="39" t="str">
        <f>TEXT(Decisiones!B237,"yyyy-mm")</f>
        <v>2026-06</v>
      </c>
      <c r="B238" s="40">
        <f>Decisiones!H237</f>
        <v>6.5</v>
      </c>
      <c r="C238" s="41">
        <f>IF(Decisiones!K237="",0,Decisiones!K237)</f>
        <v>0</v>
      </c>
      <c r="Z238" t="s">
        <v>1143</v>
      </c>
      <c r="AA238" s="94">
        <v>46240</v>
      </c>
    </row>
    <row r="239" spans="1:27">
      <c r="A239" s="39"/>
      <c r="B239" s="40"/>
      <c r="C239" s="41"/>
      <c r="Z239" t="s">
        <v>1176</v>
      </c>
      <c r="AA239" s="94">
        <v>46289</v>
      </c>
    </row>
    <row r="240" spans="1:27">
      <c r="A240" s="39"/>
      <c r="B240" s="40"/>
      <c r="C240" s="41"/>
    </row>
    <row r="241" spans="1:3">
      <c r="A241" s="39"/>
      <c r="B241" s="40"/>
      <c r="C241" s="41"/>
    </row>
    <row r="242" spans="1:3">
      <c r="A242" s="39"/>
      <c r="B242" s="40"/>
      <c r="C242" s="41"/>
    </row>
    <row r="243" spans="1:3">
      <c r="A243" s="39"/>
      <c r="B243" s="40"/>
      <c r="C243" s="41"/>
    </row>
    <row r="244" spans="1:3">
      <c r="A244" s="39"/>
      <c r="B244" s="40"/>
      <c r="C244" s="41"/>
    </row>
    <row r="245" spans="1:3">
      <c r="A245" s="39"/>
      <c r="B245" s="40"/>
      <c r="C245" s="41"/>
    </row>
    <row r="246" spans="1:3">
      <c r="A246" s="39"/>
      <c r="B246" s="40"/>
      <c r="C246" s="41"/>
    </row>
    <row r="247" spans="1:3">
      <c r="A247" s="39"/>
      <c r="B247" s="40"/>
      <c r="C247" s="41"/>
    </row>
    <row r="248" spans="1:3">
      <c r="A248" s="39"/>
      <c r="B248" s="40"/>
      <c r="C248" s="41"/>
    </row>
    <row r="249" spans="1:3">
      <c r="A249" s="39"/>
      <c r="B249" s="40"/>
      <c r="C249" s="41"/>
    </row>
    <row r="250" spans="1:3">
      <c r="A250" s="39"/>
      <c r="B250" s="40"/>
      <c r="C250" s="41"/>
    </row>
    <row r="251" spans="1:3">
      <c r="A251" s="39"/>
      <c r="B251" s="40"/>
      <c r="C251" s="41"/>
    </row>
    <row r="252" spans="1:3">
      <c r="A252" s="39"/>
      <c r="B252" s="40"/>
      <c r="C252" s="41"/>
    </row>
    <row r="253" spans="1:3">
      <c r="A253" s="39"/>
      <c r="B253" s="40"/>
      <c r="C253" s="41"/>
    </row>
    <row r="254" spans="1:3">
      <c r="A254" s="39"/>
      <c r="B254" s="40"/>
      <c r="C254" s="41"/>
    </row>
    <row r="255" spans="1:3">
      <c r="A255" s="39"/>
      <c r="B255" s="40"/>
      <c r="C255" s="41"/>
    </row>
    <row r="256" spans="1:3">
      <c r="A256" s="39"/>
      <c r="B256" s="40"/>
      <c r="C256" s="41"/>
    </row>
    <row r="257" spans="1:3">
      <c r="A257" s="39"/>
      <c r="B257" s="40"/>
      <c r="C257" s="41"/>
    </row>
    <row r="258" spans="1:3">
      <c r="A258" s="39"/>
      <c r="B258" s="40"/>
      <c r="C258" s="41"/>
    </row>
    <row r="259" spans="1:3">
      <c r="A259" s="39"/>
      <c r="B259" s="40"/>
      <c r="C259" s="41"/>
    </row>
    <row r="260" spans="1:3">
      <c r="A260" s="39"/>
      <c r="B260" s="40"/>
      <c r="C260" s="41"/>
    </row>
    <row r="261" spans="1:3">
      <c r="A261" s="39"/>
      <c r="B261" s="40"/>
      <c r="C261" s="41"/>
    </row>
    <row r="262" spans="1:3">
      <c r="A262" s="39"/>
      <c r="B262" s="40"/>
      <c r="C262" s="41"/>
    </row>
    <row r="263" spans="1:3">
      <c r="A263" s="39"/>
      <c r="B263" s="40"/>
      <c r="C263" s="41"/>
    </row>
    <row r="264" spans="1:3">
      <c r="A264" s="39"/>
      <c r="B264" s="40"/>
      <c r="C264" s="41"/>
    </row>
    <row r="265" spans="1:3">
      <c r="A265" s="39"/>
      <c r="B265" s="40"/>
      <c r="C265" s="41"/>
    </row>
    <row r="266" spans="1:3">
      <c r="A266" s="39"/>
      <c r="B266" s="40"/>
      <c r="C266" s="41"/>
    </row>
    <row r="267" spans="1:3">
      <c r="A267" s="39"/>
      <c r="B267" s="40"/>
      <c r="C267" s="41"/>
    </row>
    <row r="268" spans="1:3">
      <c r="A268" s="39"/>
      <c r="B268" s="40"/>
      <c r="C268" s="41"/>
    </row>
    <row r="269" spans="1:3">
      <c r="A269" s="39"/>
      <c r="B269" s="40"/>
      <c r="C269" s="41"/>
    </row>
    <row r="270" spans="1:3">
      <c r="A270" s="39"/>
      <c r="B270" s="40"/>
      <c r="C270" s="41"/>
    </row>
    <row r="271" spans="1:3">
      <c r="A271" s="39"/>
      <c r="B271" s="40"/>
      <c r="C271" s="41"/>
    </row>
    <row r="272" spans="1:3">
      <c r="A272" s="39"/>
      <c r="B272" s="40"/>
      <c r="C272" s="41"/>
    </row>
    <row r="273" spans="1:3">
      <c r="A273" s="39"/>
      <c r="B273" s="40"/>
      <c r="C273" s="41"/>
    </row>
    <row r="274" spans="1:3">
      <c r="A274" s="39"/>
      <c r="B274" s="40"/>
      <c r="C274" s="41"/>
    </row>
    <row r="275" spans="1:3">
      <c r="A275" s="39"/>
      <c r="B275" s="40"/>
      <c r="C275" s="41"/>
    </row>
    <row r="276" spans="1:3">
      <c r="A276" s="39"/>
      <c r="B276" s="40"/>
      <c r="C276" s="41"/>
    </row>
    <row r="277" spans="1:3">
      <c r="A277" s="39"/>
      <c r="B277" s="40"/>
      <c r="C277" s="41"/>
    </row>
    <row r="278" spans="1:3">
      <c r="A278" s="39"/>
      <c r="B278" s="40"/>
      <c r="C278" s="41"/>
    </row>
    <row r="279" spans="1:3">
      <c r="A279" s="39"/>
      <c r="B279" s="40"/>
      <c r="C279" s="41"/>
    </row>
    <row r="280" spans="1:3">
      <c r="A280" s="39"/>
      <c r="B280" s="40"/>
      <c r="C280" s="41"/>
    </row>
    <row r="281" spans="1:3">
      <c r="A281" s="39"/>
      <c r="B281" s="40"/>
      <c r="C281" s="41"/>
    </row>
    <row r="282" spans="1:3">
      <c r="A282" s="39"/>
      <c r="B282" s="40"/>
      <c r="C282" s="41"/>
    </row>
    <row r="283" spans="1:3">
      <c r="A283" s="39"/>
      <c r="B283" s="40"/>
      <c r="C283" s="41"/>
    </row>
    <row r="284" spans="1:3">
      <c r="A284" s="39"/>
      <c r="B284" s="40"/>
      <c r="C284" s="41"/>
    </row>
    <row r="285" spans="1:3">
      <c r="A285" s="39"/>
      <c r="B285" s="40"/>
      <c r="C285" s="41"/>
    </row>
    <row r="286" spans="1:3">
      <c r="A286" s="39"/>
      <c r="B286" s="40"/>
      <c r="C286" s="41"/>
    </row>
    <row r="287" spans="1:3">
      <c r="A287" s="39"/>
      <c r="B287" s="40"/>
      <c r="C287" s="41"/>
    </row>
    <row r="288" spans="1:3">
      <c r="A288" s="39"/>
      <c r="B288" s="40"/>
      <c r="C288" s="41"/>
    </row>
    <row r="289" spans="1:3">
      <c r="A289" s="39"/>
      <c r="B289" s="40"/>
      <c r="C289" s="41"/>
    </row>
    <row r="290" spans="1:3">
      <c r="A290" s="39"/>
      <c r="B290" s="40"/>
      <c r="C290" s="41"/>
    </row>
    <row r="291" spans="1:3">
      <c r="A291" s="39"/>
      <c r="B291" s="40"/>
      <c r="C291" s="41"/>
    </row>
    <row r="292" spans="1:3">
      <c r="A292" s="39"/>
      <c r="B292" s="40"/>
      <c r="C292" s="41"/>
    </row>
    <row r="293" spans="1:3">
      <c r="A293" s="39"/>
      <c r="B293" s="40"/>
      <c r="C293" s="41"/>
    </row>
    <row r="294" spans="1:3">
      <c r="A294" s="39"/>
      <c r="B294" s="40"/>
      <c r="C294" s="41"/>
    </row>
    <row r="295" spans="1:3">
      <c r="A295" s="39"/>
      <c r="B295" s="40"/>
      <c r="C295" s="41"/>
    </row>
    <row r="296" spans="1:3">
      <c r="A296" s="39"/>
      <c r="B296" s="40"/>
      <c r="C296" s="41"/>
    </row>
    <row r="297" spans="1:3">
      <c r="A297" s="39"/>
      <c r="B297" s="40"/>
      <c r="C297" s="41"/>
    </row>
    <row r="298" spans="1:3">
      <c r="A298" s="39"/>
      <c r="B298" s="40"/>
      <c r="C298" s="41"/>
    </row>
    <row r="299" spans="1:3">
      <c r="A299" s="39"/>
      <c r="B299" s="40"/>
      <c r="C299" s="41"/>
    </row>
    <row r="300" spans="1:3">
      <c r="A300" s="39"/>
      <c r="B300" s="40"/>
      <c r="C300" s="41"/>
    </row>
    <row r="301" spans="1:3">
      <c r="A301" s="39"/>
      <c r="B301" s="40"/>
      <c r="C301" s="41"/>
    </row>
    <row r="302" spans="1:3">
      <c r="A302" s="39"/>
      <c r="B302" s="40"/>
      <c r="C302" s="41"/>
    </row>
    <row r="303" spans="1:3">
      <c r="A303" s="39"/>
      <c r="B303" s="40"/>
      <c r="C303" s="41"/>
    </row>
    <row r="304" spans="1:3">
      <c r="A304" s="39"/>
      <c r="B304" s="40"/>
      <c r="C304" s="41"/>
    </row>
    <row r="305" spans="1:3">
      <c r="A305" s="39"/>
      <c r="B305" s="40"/>
      <c r="C305" s="41"/>
    </row>
    <row r="306" spans="1:3">
      <c r="A306" s="39"/>
      <c r="B306" s="40"/>
      <c r="C306" s="41"/>
    </row>
    <row r="307" spans="1:3">
      <c r="A307" s="39"/>
      <c r="B307" s="40"/>
      <c r="C307" s="41"/>
    </row>
    <row r="308" spans="1:3">
      <c r="A308" s="39"/>
      <c r="B308" s="40"/>
      <c r="C308" s="41"/>
    </row>
    <row r="309" spans="1:3">
      <c r="A309" s="39"/>
      <c r="B309" s="40"/>
      <c r="C309" s="41"/>
    </row>
    <row r="310" spans="1:3">
      <c r="A310" s="39"/>
      <c r="B310" s="40"/>
      <c r="C310" s="41"/>
    </row>
    <row r="311" spans="1:3">
      <c r="A311" s="39"/>
      <c r="B311" s="40"/>
      <c r="C311" s="41"/>
    </row>
    <row r="312" spans="1:3">
      <c r="A312" s="39"/>
      <c r="B312" s="40"/>
      <c r="C312" s="41"/>
    </row>
    <row r="313" spans="1:3">
      <c r="A313" s="39"/>
      <c r="B313" s="40"/>
      <c r="C313" s="41"/>
    </row>
    <row r="314" spans="1:3">
      <c r="A314" s="39"/>
      <c r="B314" s="40"/>
      <c r="C314" s="41"/>
    </row>
    <row r="315" spans="1:3">
      <c r="A315" s="39"/>
      <c r="B315" s="40"/>
      <c r="C315" s="41"/>
    </row>
    <row r="316" spans="1:3">
      <c r="A316" s="39"/>
      <c r="B316" s="40"/>
      <c r="C316" s="41"/>
    </row>
    <row r="350" spans="1:11">
      <c r="A350" s="38" t="s">
        <v>0</v>
      </c>
      <c r="B350" s="38" t="s">
        <v>894</v>
      </c>
      <c r="C350" s="38" t="s">
        <v>895</v>
      </c>
      <c r="D350" s="38" t="s">
        <v>896</v>
      </c>
      <c r="E350" s="38" t="s">
        <v>897</v>
      </c>
      <c r="F350" s="38" t="s">
        <v>898</v>
      </c>
      <c r="G350" s="38" t="s">
        <v>899</v>
      </c>
      <c r="H350" s="38" t="s">
        <v>900</v>
      </c>
      <c r="I350" s="38" t="s">
        <v>901</v>
      </c>
      <c r="J350" s="38" t="s">
        <v>902</v>
      </c>
      <c r="K350" s="38" t="s">
        <v>903</v>
      </c>
    </row>
    <row r="351" spans="1:11">
      <c r="A351" s="38" t="s">
        <v>14</v>
      </c>
      <c r="B351" s="38"/>
      <c r="C351" s="38"/>
      <c r="D351" s="38"/>
      <c r="E351" s="38"/>
      <c r="F351" s="38"/>
      <c r="G351" s="38"/>
      <c r="H351" s="38"/>
      <c r="I351" s="38"/>
      <c r="J351" s="38"/>
      <c r="K351" s="38"/>
    </row>
    <row r="352" spans="1:11">
      <c r="A352" s="38" t="s">
        <v>20</v>
      </c>
      <c r="B352" s="38"/>
      <c r="C352" s="38"/>
      <c r="D352" s="38"/>
      <c r="E352" s="38"/>
      <c r="F352" s="38"/>
      <c r="G352" s="38"/>
      <c r="H352" s="38"/>
      <c r="I352" s="38"/>
      <c r="J352" s="38"/>
      <c r="K352" s="38"/>
    </row>
    <row r="353" spans="1:11">
      <c r="A353" s="38" t="s">
        <v>22</v>
      </c>
      <c r="B353" s="38"/>
      <c r="C353" s="38"/>
      <c r="D353" s="38"/>
      <c r="E353" s="38"/>
      <c r="F353" s="38"/>
      <c r="G353" s="38"/>
      <c r="H353" s="38"/>
      <c r="I353" s="38"/>
      <c r="J353" s="38"/>
      <c r="K353" s="38"/>
    </row>
    <row r="354" spans="1:11">
      <c r="A354" s="38" t="s">
        <v>24</v>
      </c>
      <c r="B354" s="38"/>
      <c r="C354" s="38"/>
      <c r="D354" s="38"/>
      <c r="E354" s="38"/>
      <c r="F354" s="38"/>
      <c r="G354" s="38"/>
      <c r="H354" s="38"/>
      <c r="I354" s="38"/>
      <c r="J354" s="38"/>
      <c r="K354" s="38"/>
    </row>
    <row r="355" spans="1:11">
      <c r="A355" s="38" t="s">
        <v>26</v>
      </c>
      <c r="B355" s="38"/>
      <c r="C355" s="38"/>
      <c r="D355" s="38"/>
      <c r="E355" s="38"/>
      <c r="F355" s="38"/>
      <c r="G355" s="38"/>
      <c r="H355" s="38"/>
      <c r="I355" s="38"/>
      <c r="J355" s="38"/>
      <c r="K355" s="38"/>
    </row>
    <row r="356" spans="1:11">
      <c r="A356" s="38" t="s">
        <v>28</v>
      </c>
      <c r="B356" s="38"/>
      <c r="C356" s="38"/>
      <c r="D356" s="38"/>
      <c r="E356" s="38"/>
      <c r="F356" s="38"/>
      <c r="G356" s="38"/>
      <c r="H356" s="38"/>
      <c r="I356" s="38"/>
      <c r="J356" s="38"/>
      <c r="K356" s="38"/>
    </row>
    <row r="357" spans="1:11">
      <c r="A357" s="38" t="s">
        <v>30</v>
      </c>
      <c r="B357" s="38"/>
      <c r="C357" s="38"/>
      <c r="D357" s="38"/>
      <c r="E357" s="38"/>
      <c r="F357" s="38"/>
      <c r="G357" s="38"/>
      <c r="H357" s="38"/>
      <c r="I357" s="38"/>
      <c r="J357" s="38"/>
      <c r="K357" s="38"/>
    </row>
    <row r="358" spans="1:11">
      <c r="A358" s="38" t="s">
        <v>32</v>
      </c>
      <c r="B358" s="38"/>
      <c r="C358" s="38"/>
      <c r="D358" s="38"/>
      <c r="E358" s="38"/>
      <c r="F358" s="38"/>
      <c r="G358" s="38"/>
      <c r="H358" s="38"/>
      <c r="I358" s="38"/>
      <c r="J358" s="38"/>
      <c r="K358" s="38"/>
    </row>
    <row r="359" spans="1:11">
      <c r="A359" s="38" t="s">
        <v>34</v>
      </c>
      <c r="B359" s="38"/>
      <c r="C359" s="38"/>
      <c r="D359" s="38"/>
      <c r="E359" s="38"/>
      <c r="F359" s="38"/>
      <c r="G359" s="38"/>
      <c r="H359" s="38"/>
      <c r="I359" s="38"/>
      <c r="J359" s="38"/>
      <c r="K359" s="38"/>
    </row>
    <row r="360" spans="1:11">
      <c r="A360" s="38" t="s">
        <v>36</v>
      </c>
      <c r="B360" s="38"/>
      <c r="C360" s="38"/>
      <c r="D360" s="38"/>
      <c r="E360" s="38"/>
      <c r="F360" s="38"/>
      <c r="G360" s="38"/>
      <c r="H360" s="38"/>
      <c r="I360" s="38"/>
      <c r="J360" s="38"/>
      <c r="K360" s="38"/>
    </row>
    <row r="361" spans="1:11">
      <c r="A361" s="38" t="s">
        <v>38</v>
      </c>
      <c r="B361" s="38"/>
      <c r="C361" s="38"/>
      <c r="D361" s="38"/>
      <c r="E361" s="38"/>
      <c r="F361" s="38"/>
      <c r="G361" s="38"/>
      <c r="H361" s="38"/>
      <c r="I361" s="38"/>
      <c r="J361" s="38"/>
      <c r="K361" s="38"/>
    </row>
    <row r="362" spans="1:11">
      <c r="A362" s="38" t="s">
        <v>40</v>
      </c>
      <c r="B362" s="38"/>
      <c r="C362" s="38"/>
      <c r="D362" s="38"/>
      <c r="E362" s="38"/>
      <c r="F362" s="38"/>
      <c r="G362" s="38"/>
      <c r="H362" s="38"/>
      <c r="I362" s="38"/>
      <c r="J362" s="38"/>
      <c r="K362" s="38"/>
    </row>
    <row r="363" spans="1:11">
      <c r="A363" s="38" t="s">
        <v>42</v>
      </c>
      <c r="B363" s="38"/>
      <c r="C363" s="38"/>
      <c r="D363" s="38"/>
      <c r="E363" s="38"/>
      <c r="F363" s="38"/>
      <c r="G363" s="38"/>
      <c r="H363" s="38"/>
      <c r="I363" s="38"/>
      <c r="J363" s="38"/>
      <c r="K363" s="38"/>
    </row>
    <row r="364" spans="1:11">
      <c r="A364" s="38" t="s">
        <v>44</v>
      </c>
      <c r="B364" s="38"/>
      <c r="C364" s="38"/>
      <c r="D364" s="38"/>
      <c r="E364" s="38"/>
      <c r="F364" s="38"/>
      <c r="G364" s="38"/>
      <c r="H364" s="38"/>
      <c r="I364" s="38"/>
      <c r="J364" s="38"/>
      <c r="K364" s="38"/>
    </row>
    <row r="365" spans="1:11">
      <c r="A365" s="38" t="s">
        <v>46</v>
      </c>
      <c r="B365" s="38"/>
      <c r="C365" s="38"/>
      <c r="D365" s="38"/>
      <c r="E365" s="38"/>
      <c r="F365" s="38"/>
      <c r="G365" s="38"/>
      <c r="H365" s="38"/>
      <c r="I365" s="38"/>
      <c r="J365" s="38"/>
      <c r="K365" s="38"/>
    </row>
    <row r="366" spans="1:11">
      <c r="A366" s="38" t="s">
        <v>49</v>
      </c>
      <c r="B366" s="38"/>
      <c r="C366" s="38"/>
      <c r="D366" s="38"/>
      <c r="E366" s="38"/>
      <c r="F366" s="38"/>
      <c r="G366" s="38"/>
      <c r="H366" s="38"/>
      <c r="I366" s="38"/>
      <c r="J366" s="38"/>
      <c r="K366" s="38"/>
    </row>
    <row r="367" spans="1:11">
      <c r="A367" s="38" t="s">
        <v>51</v>
      </c>
      <c r="B367" s="38"/>
      <c r="C367" s="38"/>
      <c r="D367" s="38"/>
      <c r="E367" s="38"/>
      <c r="F367" s="38"/>
      <c r="G367" s="38"/>
      <c r="H367" s="38"/>
      <c r="I367" s="38"/>
      <c r="J367" s="38"/>
      <c r="K367" s="38"/>
    </row>
    <row r="368" spans="1:11">
      <c r="A368" s="38" t="s">
        <v>53</v>
      </c>
      <c r="B368" s="38"/>
      <c r="C368" s="38"/>
      <c r="D368" s="38"/>
      <c r="E368" s="38"/>
      <c r="F368" s="38"/>
      <c r="G368" s="38"/>
      <c r="H368" s="38"/>
      <c r="I368" s="38"/>
      <c r="J368" s="38"/>
      <c r="K368" s="38"/>
    </row>
    <row r="369" spans="1:11">
      <c r="A369" s="38" t="s">
        <v>55</v>
      </c>
      <c r="B369" s="38"/>
      <c r="C369" s="38"/>
      <c r="D369" s="38"/>
      <c r="E369" s="38"/>
      <c r="F369" s="38"/>
      <c r="G369" s="38"/>
      <c r="H369" s="38"/>
      <c r="I369" s="38"/>
      <c r="J369" s="38"/>
      <c r="K369" s="38"/>
    </row>
    <row r="370" spans="1:11">
      <c r="A370" s="38" t="s">
        <v>57</v>
      </c>
      <c r="B370" s="38"/>
      <c r="C370" s="38"/>
      <c r="D370" s="38"/>
      <c r="E370" s="38"/>
      <c r="F370" s="38"/>
      <c r="G370" s="38"/>
      <c r="H370" s="38"/>
      <c r="I370" s="38"/>
      <c r="J370" s="38"/>
      <c r="K370" s="38"/>
    </row>
    <row r="371" spans="1:11">
      <c r="A371" s="38" t="s">
        <v>59</v>
      </c>
      <c r="B371" s="38"/>
      <c r="C371" s="38"/>
      <c r="D371" s="38"/>
      <c r="E371" s="38"/>
      <c r="F371" s="38"/>
      <c r="G371" s="38"/>
      <c r="H371" s="38"/>
      <c r="I371" s="38"/>
      <c r="J371" s="38"/>
      <c r="K371" s="38"/>
    </row>
    <row r="372" spans="1:11">
      <c r="A372" s="38" t="s">
        <v>61</v>
      </c>
      <c r="B372" s="38"/>
      <c r="C372" s="38"/>
      <c r="D372" s="38"/>
      <c r="E372" s="38"/>
      <c r="F372" s="38"/>
      <c r="G372" s="38"/>
      <c r="H372" s="38"/>
      <c r="I372" s="38"/>
      <c r="J372" s="38"/>
      <c r="K372" s="38"/>
    </row>
    <row r="373" spans="1:11">
      <c r="A373" s="38" t="s">
        <v>63</v>
      </c>
      <c r="B373" s="38"/>
      <c r="C373" s="38"/>
      <c r="D373" s="38"/>
      <c r="E373" s="38"/>
      <c r="F373" s="38"/>
      <c r="G373" s="38"/>
      <c r="H373" s="38"/>
      <c r="I373" s="38"/>
      <c r="J373" s="38"/>
      <c r="K373" s="38"/>
    </row>
    <row r="374" spans="1:11">
      <c r="A374" s="38" t="s">
        <v>65</v>
      </c>
      <c r="B374" s="38"/>
      <c r="C374" s="38"/>
      <c r="D374" s="38"/>
      <c r="E374" s="38"/>
      <c r="F374" s="38"/>
      <c r="G374" s="38"/>
      <c r="H374" s="38"/>
      <c r="I374" s="38"/>
      <c r="J374" s="38"/>
      <c r="K374" s="38"/>
    </row>
    <row r="375" spans="1:11">
      <c r="A375" s="38" t="s">
        <v>67</v>
      </c>
      <c r="B375" s="38"/>
      <c r="C375" s="38"/>
      <c r="D375" s="38"/>
      <c r="E375" s="38"/>
      <c r="F375" s="38"/>
      <c r="G375" s="38"/>
      <c r="H375" s="38"/>
      <c r="I375" s="38"/>
      <c r="J375" s="38"/>
      <c r="K375" s="38"/>
    </row>
    <row r="376" spans="1:11">
      <c r="A376" s="38" t="s">
        <v>69</v>
      </c>
      <c r="B376" s="38"/>
      <c r="C376" s="38"/>
      <c r="D376" s="38"/>
      <c r="E376" s="38"/>
      <c r="F376" s="38"/>
      <c r="G376" s="38"/>
      <c r="H376" s="38"/>
      <c r="I376" s="38"/>
      <c r="J376" s="38"/>
      <c r="K376" s="38"/>
    </row>
    <row r="377" spans="1:11">
      <c r="A377" s="38" t="s">
        <v>71</v>
      </c>
      <c r="B377" s="38"/>
      <c r="C377" s="38"/>
      <c r="D377" s="38"/>
      <c r="E377" s="38"/>
      <c r="F377" s="38"/>
      <c r="G377" s="38"/>
      <c r="H377" s="38"/>
      <c r="I377" s="38"/>
      <c r="J377" s="38"/>
      <c r="K377" s="38"/>
    </row>
    <row r="378" spans="1:11">
      <c r="A378" s="38" t="s">
        <v>73</v>
      </c>
      <c r="B378" s="38"/>
      <c r="C378" s="38"/>
      <c r="D378" s="38"/>
      <c r="E378" s="38"/>
      <c r="F378" s="38"/>
      <c r="G378" s="38"/>
      <c r="H378" s="38"/>
      <c r="I378" s="38"/>
      <c r="J378" s="38"/>
      <c r="K378" s="38"/>
    </row>
    <row r="379" spans="1:11">
      <c r="A379" s="38" t="s">
        <v>75</v>
      </c>
      <c r="B379" s="38"/>
      <c r="C379" s="38"/>
      <c r="D379" s="38"/>
      <c r="E379" s="38"/>
      <c r="F379" s="38"/>
      <c r="G379" s="38"/>
      <c r="H379" s="38"/>
      <c r="I379" s="38"/>
      <c r="J379" s="38"/>
      <c r="K379" s="38"/>
    </row>
    <row r="380" spans="1:11">
      <c r="A380" s="38" t="s">
        <v>77</v>
      </c>
      <c r="B380" s="38"/>
      <c r="C380" s="38"/>
      <c r="D380" s="38"/>
      <c r="E380" s="38"/>
      <c r="F380" s="38"/>
      <c r="G380" s="38"/>
      <c r="H380" s="38"/>
      <c r="I380" s="38"/>
      <c r="J380" s="38"/>
      <c r="K380" s="38"/>
    </row>
    <row r="381" spans="1:11">
      <c r="A381" s="38" t="s">
        <v>79</v>
      </c>
      <c r="B381" s="38"/>
      <c r="C381" s="38"/>
      <c r="D381" s="38"/>
      <c r="E381" s="38"/>
      <c r="F381" s="38"/>
      <c r="G381" s="38"/>
      <c r="H381" s="38"/>
      <c r="I381" s="38"/>
      <c r="J381" s="38"/>
      <c r="K381" s="38"/>
    </row>
    <row r="382" spans="1:11">
      <c r="A382" s="38" t="s">
        <v>81</v>
      </c>
      <c r="B382" s="38"/>
      <c r="C382" s="38"/>
      <c r="D382" s="38"/>
      <c r="E382" s="38"/>
      <c r="F382" s="38"/>
      <c r="G382" s="38"/>
      <c r="H382" s="38"/>
      <c r="I382" s="38"/>
      <c r="J382" s="38"/>
      <c r="K382" s="38"/>
    </row>
    <row r="383" spans="1:11">
      <c r="A383" s="38" t="s">
        <v>83</v>
      </c>
      <c r="B383" s="38"/>
      <c r="C383" s="38"/>
      <c r="D383" s="38"/>
      <c r="E383" s="38"/>
      <c r="F383" s="38"/>
      <c r="G383" s="38"/>
      <c r="H383" s="38"/>
      <c r="I383" s="38"/>
      <c r="J383" s="38"/>
      <c r="K383" s="38"/>
    </row>
    <row r="384" spans="1:11">
      <c r="A384" s="38" t="s">
        <v>85</v>
      </c>
      <c r="B384" s="38"/>
      <c r="C384" s="38"/>
      <c r="D384" s="38"/>
      <c r="E384" s="38"/>
      <c r="F384" s="38"/>
      <c r="G384" s="38"/>
      <c r="H384" s="38"/>
      <c r="I384" s="38"/>
      <c r="J384" s="38"/>
      <c r="K384" s="38"/>
    </row>
    <row r="385" spans="1:11">
      <c r="A385" s="38" t="s">
        <v>87</v>
      </c>
      <c r="B385" s="38"/>
      <c r="C385" s="38"/>
      <c r="D385" s="38"/>
      <c r="E385" s="38"/>
      <c r="F385" s="38"/>
      <c r="G385" s="38"/>
      <c r="H385" s="38"/>
      <c r="I385" s="38"/>
      <c r="J385" s="38"/>
      <c r="K385" s="38"/>
    </row>
    <row r="386" spans="1:11">
      <c r="A386" s="38" t="s">
        <v>89</v>
      </c>
      <c r="B386" s="38"/>
      <c r="C386" s="38"/>
      <c r="D386" s="38"/>
      <c r="E386" s="38"/>
      <c r="F386" s="38"/>
      <c r="G386" s="38"/>
      <c r="H386" s="38"/>
      <c r="I386" s="38"/>
      <c r="J386" s="38"/>
      <c r="K386" s="38"/>
    </row>
    <row r="387" spans="1:11">
      <c r="A387" s="38" t="s">
        <v>91</v>
      </c>
      <c r="B387" s="38"/>
      <c r="C387" s="38"/>
      <c r="D387" s="38"/>
      <c r="E387" s="38"/>
      <c r="F387" s="38"/>
      <c r="G387" s="38"/>
      <c r="H387" s="38"/>
      <c r="I387" s="38"/>
      <c r="J387" s="38"/>
      <c r="K387" s="38"/>
    </row>
    <row r="388" spans="1:11">
      <c r="A388" s="38" t="s">
        <v>93</v>
      </c>
      <c r="B388" s="38"/>
      <c r="C388" s="38"/>
      <c r="D388" s="38"/>
      <c r="E388" s="38"/>
      <c r="F388" s="38"/>
      <c r="G388" s="38"/>
      <c r="H388" s="38"/>
      <c r="I388" s="38"/>
      <c r="J388" s="38"/>
      <c r="K388" s="38"/>
    </row>
    <row r="389" spans="1:11">
      <c r="A389" s="38" t="s">
        <v>95</v>
      </c>
      <c r="B389" s="38"/>
      <c r="C389" s="38"/>
      <c r="D389" s="38"/>
      <c r="E389" s="38"/>
      <c r="F389" s="38"/>
      <c r="G389" s="38"/>
      <c r="H389" s="38"/>
      <c r="I389" s="38"/>
      <c r="J389" s="38"/>
      <c r="K389" s="38"/>
    </row>
    <row r="390" spans="1:11">
      <c r="A390" s="38" t="s">
        <v>97</v>
      </c>
      <c r="B390" s="38"/>
      <c r="C390" s="38"/>
      <c r="D390" s="38"/>
      <c r="E390" s="38"/>
      <c r="F390" s="38"/>
      <c r="G390" s="38"/>
      <c r="H390" s="38"/>
      <c r="I390" s="38"/>
      <c r="J390" s="38"/>
      <c r="K390" s="38"/>
    </row>
    <row r="391" spans="1:11">
      <c r="A391" s="38" t="s">
        <v>99</v>
      </c>
      <c r="B391" s="38"/>
      <c r="C391" s="38"/>
      <c r="D391" s="38"/>
      <c r="E391" s="38"/>
      <c r="F391" s="38"/>
      <c r="G391" s="38"/>
      <c r="H391" s="38"/>
      <c r="I391" s="38"/>
      <c r="J391" s="38"/>
      <c r="K391" s="38"/>
    </row>
    <row r="392" spans="1:11">
      <c r="A392" s="38" t="s">
        <v>101</v>
      </c>
      <c r="B392" s="38"/>
      <c r="C392" s="38"/>
      <c r="D392" s="38"/>
      <c r="E392" s="38"/>
      <c r="F392" s="38"/>
      <c r="G392" s="38"/>
      <c r="H392" s="38"/>
      <c r="I392" s="38"/>
      <c r="J392" s="38"/>
      <c r="K392" s="38"/>
    </row>
    <row r="393" spans="1:11">
      <c r="A393" s="38" t="s">
        <v>103</v>
      </c>
      <c r="B393" s="38"/>
      <c r="C393" s="38"/>
      <c r="D393" s="38"/>
      <c r="E393" s="38"/>
      <c r="F393" s="38"/>
      <c r="G393" s="38"/>
      <c r="H393" s="38"/>
      <c r="I393" s="38"/>
      <c r="J393" s="38"/>
      <c r="K393" s="38"/>
    </row>
    <row r="394" spans="1:11">
      <c r="A394" s="38" t="s">
        <v>105</v>
      </c>
      <c r="B394" s="38"/>
      <c r="C394" s="38"/>
      <c r="D394" s="38"/>
      <c r="E394" s="38"/>
      <c r="F394" s="38"/>
      <c r="G394" s="38"/>
      <c r="H394" s="38"/>
      <c r="I394" s="38"/>
      <c r="J394" s="38"/>
      <c r="K394" s="38"/>
    </row>
    <row r="395" spans="1:11">
      <c r="A395" s="38" t="s">
        <v>107</v>
      </c>
      <c r="B395" s="38"/>
      <c r="C395" s="38"/>
      <c r="D395" s="38"/>
      <c r="E395" s="38"/>
      <c r="F395" s="38"/>
      <c r="G395" s="38"/>
      <c r="H395" s="38"/>
      <c r="I395" s="38"/>
      <c r="J395" s="38"/>
      <c r="K395" s="38"/>
    </row>
    <row r="396" spans="1:11">
      <c r="A396" s="38" t="s">
        <v>109</v>
      </c>
      <c r="B396" s="38"/>
      <c r="C396" s="38"/>
      <c r="D396" s="38"/>
      <c r="E396" s="38"/>
      <c r="F396" s="38"/>
      <c r="G396" s="38"/>
      <c r="H396" s="38"/>
      <c r="I396" s="38"/>
      <c r="J396" s="38"/>
      <c r="K396" s="38"/>
    </row>
    <row r="397" spans="1:11">
      <c r="A397" s="38" t="s">
        <v>111</v>
      </c>
      <c r="B397" s="38"/>
      <c r="C397" s="38"/>
      <c r="D397" s="38"/>
      <c r="E397" s="38"/>
      <c r="F397" s="38"/>
      <c r="G397" s="38"/>
      <c r="H397" s="38"/>
      <c r="I397" s="38"/>
      <c r="J397" s="38"/>
      <c r="K397" s="38"/>
    </row>
    <row r="398" spans="1:11">
      <c r="A398" s="38" t="s">
        <v>113</v>
      </c>
      <c r="B398" s="38"/>
      <c r="C398" s="38"/>
      <c r="D398" s="38"/>
      <c r="E398" s="38"/>
      <c r="F398" s="38"/>
      <c r="G398" s="38"/>
      <c r="H398" s="38"/>
      <c r="I398" s="38"/>
      <c r="J398" s="38"/>
      <c r="K398" s="38"/>
    </row>
    <row r="399" spans="1:11">
      <c r="A399" s="38" t="s">
        <v>115</v>
      </c>
      <c r="B399" s="38"/>
      <c r="C399" s="38"/>
      <c r="D399" s="38"/>
      <c r="E399" s="38"/>
      <c r="F399" s="38"/>
      <c r="G399" s="38"/>
      <c r="H399" s="38"/>
      <c r="I399" s="38"/>
      <c r="J399" s="38"/>
      <c r="K399" s="38"/>
    </row>
    <row r="400" spans="1:11">
      <c r="A400" s="38" t="s">
        <v>117</v>
      </c>
      <c r="B400" s="38"/>
      <c r="C400" s="38"/>
      <c r="D400" s="38"/>
      <c r="E400" s="38"/>
      <c r="F400" s="38"/>
      <c r="G400" s="38"/>
      <c r="H400" s="38"/>
      <c r="I400" s="38"/>
      <c r="J400" s="38"/>
      <c r="K400" s="38"/>
    </row>
    <row r="401" spans="1:11">
      <c r="A401" s="38" t="s">
        <v>119</v>
      </c>
      <c r="B401" s="38"/>
      <c r="C401" s="38"/>
      <c r="D401" s="38"/>
      <c r="E401" s="38"/>
      <c r="F401" s="38"/>
      <c r="G401" s="38"/>
      <c r="H401" s="38"/>
      <c r="I401" s="38"/>
      <c r="J401" s="38"/>
      <c r="K401" s="38"/>
    </row>
    <row r="402" spans="1:11">
      <c r="A402" s="38" t="s">
        <v>121</v>
      </c>
      <c r="B402" s="38"/>
      <c r="C402" s="38"/>
      <c r="D402" s="38"/>
      <c r="E402" s="38"/>
      <c r="F402" s="38"/>
      <c r="G402" s="38"/>
      <c r="H402" s="38"/>
      <c r="I402" s="38"/>
      <c r="J402" s="38"/>
      <c r="K402" s="38"/>
    </row>
    <row r="403" spans="1:11">
      <c r="A403" s="38" t="s">
        <v>123</v>
      </c>
      <c r="B403" s="38"/>
      <c r="C403" s="38"/>
      <c r="D403" s="38"/>
      <c r="E403" s="38"/>
      <c r="F403" s="38"/>
      <c r="G403" s="38"/>
      <c r="H403" s="38"/>
      <c r="I403" s="38"/>
      <c r="J403" s="38"/>
      <c r="K403" s="38"/>
    </row>
    <row r="404" spans="1:11">
      <c r="A404" s="38" t="s">
        <v>125</v>
      </c>
      <c r="B404" s="38"/>
      <c r="C404" s="38"/>
      <c r="D404" s="38"/>
      <c r="E404" s="38"/>
      <c r="F404" s="38"/>
      <c r="G404" s="38"/>
      <c r="H404" s="38"/>
      <c r="I404" s="38"/>
      <c r="J404" s="38"/>
      <c r="K404" s="38"/>
    </row>
    <row r="405" spans="1:11">
      <c r="A405" s="38" t="s">
        <v>127</v>
      </c>
      <c r="B405" s="38"/>
      <c r="C405" s="38"/>
      <c r="D405" s="38"/>
      <c r="E405" s="38"/>
      <c r="F405" s="38"/>
      <c r="G405" s="38"/>
      <c r="H405" s="38"/>
      <c r="I405" s="38"/>
      <c r="J405" s="38"/>
      <c r="K405" s="38"/>
    </row>
    <row r="406" spans="1:11">
      <c r="A406" s="38" t="s">
        <v>129</v>
      </c>
      <c r="B406" s="38"/>
      <c r="C406" s="38"/>
      <c r="D406" s="38"/>
      <c r="E406" s="38"/>
      <c r="F406" s="38"/>
      <c r="G406" s="38"/>
      <c r="H406" s="38"/>
      <c r="I406" s="38"/>
      <c r="J406" s="38"/>
      <c r="K406" s="38"/>
    </row>
    <row r="407" spans="1:11">
      <c r="A407" s="38" t="s">
        <v>131</v>
      </c>
      <c r="B407" s="38"/>
      <c r="C407" s="38"/>
      <c r="D407" s="38"/>
      <c r="E407" s="38"/>
      <c r="F407" s="38"/>
      <c r="G407" s="38"/>
      <c r="H407" s="38"/>
      <c r="I407" s="38"/>
      <c r="J407" s="38"/>
      <c r="K407" s="38"/>
    </row>
    <row r="408" spans="1:11">
      <c r="A408" s="38" t="s">
        <v>133</v>
      </c>
      <c r="B408" s="38"/>
      <c r="C408" s="38"/>
      <c r="D408" s="38"/>
      <c r="E408" s="38"/>
      <c r="F408" s="38"/>
      <c r="G408" s="38"/>
      <c r="H408" s="38"/>
      <c r="I408" s="38"/>
      <c r="J408" s="38"/>
      <c r="K408" s="38"/>
    </row>
    <row r="409" spans="1:11">
      <c r="A409" s="38" t="s">
        <v>135</v>
      </c>
      <c r="B409" s="38"/>
      <c r="C409" s="38"/>
      <c r="D409" s="38"/>
      <c r="E409" s="38"/>
      <c r="F409" s="38"/>
      <c r="G409" s="38"/>
      <c r="H409" s="38"/>
      <c r="I409" s="38"/>
      <c r="J409" s="38"/>
      <c r="K409" s="38"/>
    </row>
    <row r="410" spans="1:11">
      <c r="A410" s="38" t="s">
        <v>137</v>
      </c>
      <c r="B410" s="38"/>
      <c r="C410" s="38"/>
      <c r="D410" s="38"/>
      <c r="E410" s="38"/>
      <c r="F410" s="38"/>
      <c r="G410" s="38"/>
      <c r="H410" s="38"/>
      <c r="I410" s="38"/>
      <c r="J410" s="38"/>
      <c r="K410" s="38"/>
    </row>
    <row r="411" spans="1:11">
      <c r="A411" s="38" t="s">
        <v>139</v>
      </c>
      <c r="B411" s="38"/>
      <c r="C411" s="38"/>
      <c r="D411" s="38"/>
      <c r="E411" s="38"/>
      <c r="F411" s="38"/>
      <c r="G411" s="38"/>
      <c r="H411" s="38"/>
      <c r="I411" s="38"/>
      <c r="J411" s="38"/>
      <c r="K411" s="38"/>
    </row>
    <row r="412" spans="1:11">
      <c r="A412" s="38" t="s">
        <v>141</v>
      </c>
      <c r="B412" s="38"/>
      <c r="C412" s="38"/>
      <c r="D412" s="38"/>
      <c r="E412" s="38"/>
      <c r="F412" s="38"/>
      <c r="G412" s="38"/>
      <c r="H412" s="38"/>
      <c r="I412" s="38"/>
      <c r="J412" s="38"/>
      <c r="K412" s="38"/>
    </row>
    <row r="413" spans="1:11">
      <c r="A413" s="38" t="s">
        <v>143</v>
      </c>
      <c r="B413" s="38"/>
      <c r="C413" s="38"/>
      <c r="D413" s="38"/>
      <c r="E413" s="38"/>
      <c r="F413" s="38"/>
      <c r="G413" s="38"/>
      <c r="H413" s="38"/>
      <c r="I413" s="38"/>
      <c r="J413" s="38"/>
      <c r="K413" s="38"/>
    </row>
    <row r="414" spans="1:11">
      <c r="A414" s="38" t="s">
        <v>145</v>
      </c>
      <c r="B414" s="38"/>
      <c r="C414" s="38"/>
      <c r="D414" s="38"/>
      <c r="E414" s="38"/>
      <c r="F414" s="38"/>
      <c r="G414" s="38"/>
      <c r="H414" s="38"/>
      <c r="I414" s="38"/>
      <c r="J414" s="38"/>
      <c r="K414" s="38"/>
    </row>
    <row r="415" spans="1:11">
      <c r="A415" s="38" t="s">
        <v>147</v>
      </c>
      <c r="B415" s="38"/>
      <c r="C415" s="38"/>
      <c r="D415" s="38"/>
      <c r="E415" s="38"/>
      <c r="F415" s="38"/>
      <c r="G415" s="38"/>
      <c r="H415" s="38"/>
      <c r="I415" s="38"/>
      <c r="J415" s="38"/>
      <c r="K415" s="38"/>
    </row>
    <row r="416" spans="1:11">
      <c r="A416" s="38" t="s">
        <v>149</v>
      </c>
      <c r="B416" s="38"/>
      <c r="C416" s="38"/>
      <c r="D416" s="38"/>
      <c r="E416" s="38"/>
      <c r="F416" s="38"/>
      <c r="G416" s="38"/>
      <c r="H416" s="38"/>
      <c r="I416" s="38"/>
      <c r="J416" s="38"/>
      <c r="K416" s="38"/>
    </row>
    <row r="417" spans="1:11">
      <c r="A417" s="38" t="s">
        <v>151</v>
      </c>
      <c r="B417" s="38"/>
      <c r="C417" s="38"/>
      <c r="D417" s="38"/>
      <c r="E417" s="38"/>
      <c r="F417" s="38"/>
      <c r="G417" s="38"/>
      <c r="H417" s="38"/>
      <c r="I417" s="38"/>
      <c r="J417" s="38"/>
      <c r="K417" s="38"/>
    </row>
    <row r="418" spans="1:11">
      <c r="A418" s="38" t="s">
        <v>153</v>
      </c>
      <c r="B418" s="38"/>
      <c r="C418" s="38"/>
      <c r="D418" s="38"/>
      <c r="E418" s="38"/>
      <c r="F418" s="38"/>
      <c r="G418" s="38"/>
      <c r="H418" s="38"/>
      <c r="I418" s="38"/>
      <c r="J418" s="38"/>
      <c r="K418" s="38"/>
    </row>
    <row r="419" spans="1:11">
      <c r="A419" s="38" t="s">
        <v>155</v>
      </c>
      <c r="B419" s="38"/>
      <c r="C419" s="38"/>
      <c r="D419" s="38"/>
      <c r="E419" s="38"/>
      <c r="F419" s="38"/>
      <c r="G419" s="38"/>
      <c r="H419" s="38"/>
      <c r="I419" s="38"/>
      <c r="J419" s="38"/>
      <c r="K419" s="38"/>
    </row>
    <row r="420" spans="1:11">
      <c r="A420" s="38" t="s">
        <v>158</v>
      </c>
      <c r="B420" s="38"/>
      <c r="C420" s="38"/>
      <c r="D420" s="38"/>
      <c r="E420" s="38"/>
      <c r="F420" s="38"/>
      <c r="G420" s="38"/>
      <c r="H420" s="38"/>
      <c r="I420" s="38"/>
      <c r="J420" s="38"/>
      <c r="K420" s="38"/>
    </row>
    <row r="421" spans="1:11">
      <c r="A421" s="38" t="s">
        <v>160</v>
      </c>
      <c r="B421" s="38"/>
      <c r="C421" s="38"/>
      <c r="D421" s="38"/>
      <c r="E421" s="38"/>
      <c r="F421" s="38"/>
      <c r="G421" s="38"/>
      <c r="H421" s="38"/>
      <c r="I421" s="38"/>
      <c r="J421" s="38"/>
      <c r="K421" s="38"/>
    </row>
    <row r="422" spans="1:11">
      <c r="A422" s="38" t="s">
        <v>162</v>
      </c>
      <c r="B422" s="38"/>
      <c r="C422" s="38"/>
      <c r="D422" s="38"/>
      <c r="E422" s="38"/>
      <c r="F422" s="38"/>
      <c r="G422" s="38"/>
      <c r="H422" s="38"/>
      <c r="I422" s="38"/>
      <c r="J422" s="38"/>
      <c r="K422" s="38"/>
    </row>
    <row r="423" spans="1:11">
      <c r="A423" s="38" t="s">
        <v>164</v>
      </c>
      <c r="B423" s="38"/>
      <c r="C423" s="38"/>
      <c r="D423" s="38"/>
      <c r="E423" s="38"/>
      <c r="F423" s="38"/>
      <c r="G423" s="38"/>
      <c r="H423" s="38"/>
      <c r="I423" s="38"/>
      <c r="J423" s="38"/>
      <c r="K423" s="38"/>
    </row>
    <row r="424" spans="1:11">
      <c r="A424" s="38" t="s">
        <v>166</v>
      </c>
      <c r="B424" s="38"/>
      <c r="C424" s="38"/>
      <c r="D424" s="38"/>
      <c r="E424" s="38"/>
      <c r="F424" s="38"/>
      <c r="G424" s="38"/>
      <c r="H424" s="38"/>
      <c r="I424" s="38"/>
      <c r="J424" s="38"/>
      <c r="K424" s="38"/>
    </row>
    <row r="425" spans="1:11">
      <c r="A425" s="38" t="s">
        <v>168</v>
      </c>
      <c r="B425" s="38"/>
      <c r="C425" s="38"/>
      <c r="D425" s="38"/>
      <c r="E425" s="38"/>
      <c r="F425" s="38"/>
      <c r="G425" s="38"/>
      <c r="H425" s="38"/>
      <c r="I425" s="38"/>
      <c r="J425" s="38"/>
      <c r="K425" s="38"/>
    </row>
    <row r="426" spans="1:11">
      <c r="A426" s="38" t="s">
        <v>170</v>
      </c>
      <c r="B426" s="38"/>
      <c r="C426" s="38"/>
      <c r="D426" s="38"/>
      <c r="E426" s="38"/>
      <c r="F426" s="38"/>
      <c r="G426" s="38"/>
      <c r="H426" s="38"/>
      <c r="I426" s="38"/>
      <c r="J426" s="38"/>
      <c r="K426" s="38"/>
    </row>
    <row r="427" spans="1:11">
      <c r="A427" s="38" t="s">
        <v>172</v>
      </c>
      <c r="B427" s="38"/>
      <c r="C427" s="38"/>
      <c r="D427" s="38"/>
      <c r="E427" s="38"/>
      <c r="F427" s="38"/>
      <c r="G427" s="38"/>
      <c r="H427" s="38"/>
      <c r="I427" s="38"/>
      <c r="J427" s="38"/>
      <c r="K427" s="38"/>
    </row>
    <row r="428" spans="1:11">
      <c r="A428" s="38" t="s">
        <v>174</v>
      </c>
      <c r="B428" s="38"/>
      <c r="C428" s="38"/>
      <c r="D428" s="38"/>
      <c r="E428" s="38"/>
      <c r="F428" s="38"/>
      <c r="G428" s="38"/>
      <c r="H428" s="38"/>
      <c r="I428" s="38"/>
      <c r="J428" s="38"/>
      <c r="K428" s="38"/>
    </row>
    <row r="429" spans="1:11">
      <c r="A429" s="38" t="s">
        <v>176</v>
      </c>
      <c r="B429" s="38"/>
      <c r="C429" s="38"/>
      <c r="D429" s="38"/>
      <c r="E429" s="38"/>
      <c r="F429" s="38"/>
      <c r="G429" s="38"/>
      <c r="H429" s="38"/>
      <c r="I429" s="38"/>
      <c r="J429" s="38"/>
      <c r="K429" s="38"/>
    </row>
    <row r="430" spans="1:11">
      <c r="A430" s="38" t="s">
        <v>180</v>
      </c>
      <c r="B430" s="38"/>
      <c r="C430" s="38"/>
      <c r="D430" s="38"/>
      <c r="E430" s="38"/>
      <c r="F430" s="38"/>
      <c r="G430" s="38"/>
      <c r="H430" s="38"/>
      <c r="I430" s="38"/>
      <c r="J430" s="38"/>
      <c r="K430" s="38"/>
    </row>
    <row r="431" spans="1:11">
      <c r="A431" s="38" t="s">
        <v>182</v>
      </c>
      <c r="B431" s="38"/>
      <c r="C431" s="38"/>
      <c r="D431" s="38"/>
      <c r="E431" s="38"/>
      <c r="F431" s="38"/>
      <c r="G431" s="38"/>
      <c r="H431" s="38"/>
      <c r="I431" s="38"/>
      <c r="J431" s="38"/>
      <c r="K431" s="38"/>
    </row>
    <row r="432" spans="1:11">
      <c r="A432" s="38" t="s">
        <v>184</v>
      </c>
      <c r="B432" s="38"/>
      <c r="C432" s="38"/>
      <c r="D432" s="38"/>
      <c r="E432" s="38"/>
      <c r="F432" s="38"/>
      <c r="G432" s="38"/>
      <c r="H432" s="38"/>
      <c r="I432" s="38"/>
      <c r="J432" s="38"/>
      <c r="K432" s="38"/>
    </row>
    <row r="433" spans="1:11">
      <c r="A433" s="38" t="s">
        <v>186</v>
      </c>
      <c r="B433" s="38"/>
      <c r="C433" s="38"/>
      <c r="D433" s="38"/>
      <c r="E433" s="38"/>
      <c r="F433" s="38"/>
      <c r="G433" s="38"/>
      <c r="H433" s="38"/>
      <c r="I433" s="38"/>
      <c r="J433" s="38"/>
      <c r="K433" s="38"/>
    </row>
    <row r="434" spans="1:11">
      <c r="A434" s="38" t="s">
        <v>188</v>
      </c>
      <c r="B434" s="38"/>
      <c r="C434" s="38"/>
      <c r="D434" s="38"/>
      <c r="E434" s="38"/>
      <c r="F434" s="38"/>
      <c r="G434" s="38"/>
      <c r="H434" s="38"/>
      <c r="I434" s="38"/>
      <c r="J434" s="38"/>
      <c r="K434" s="38"/>
    </row>
    <row r="435" spans="1:11">
      <c r="A435" s="38" t="s">
        <v>190</v>
      </c>
      <c r="B435" s="38"/>
      <c r="C435" s="38"/>
      <c r="D435" s="38"/>
      <c r="E435" s="38"/>
      <c r="F435" s="38"/>
      <c r="G435" s="38"/>
      <c r="H435" s="38"/>
      <c r="I435" s="38"/>
      <c r="J435" s="38"/>
      <c r="K435" s="38"/>
    </row>
    <row r="436" spans="1:11">
      <c r="A436" s="38" t="s">
        <v>192</v>
      </c>
      <c r="B436" s="38"/>
      <c r="C436" s="38"/>
      <c r="D436" s="38"/>
      <c r="E436" s="38"/>
      <c r="F436" s="38"/>
      <c r="G436" s="38"/>
      <c r="H436" s="38"/>
      <c r="I436" s="38"/>
      <c r="J436" s="38"/>
      <c r="K436" s="38"/>
    </row>
    <row r="437" spans="1:11">
      <c r="A437" s="38" t="s">
        <v>194</v>
      </c>
      <c r="B437" s="38"/>
      <c r="C437" s="38"/>
      <c r="D437" s="38"/>
      <c r="E437" s="38"/>
      <c r="F437" s="38"/>
      <c r="G437" s="38"/>
      <c r="H437" s="38"/>
      <c r="I437" s="38"/>
      <c r="J437" s="38"/>
      <c r="K437" s="38"/>
    </row>
    <row r="438" spans="1:11">
      <c r="A438" s="38" t="s">
        <v>196</v>
      </c>
      <c r="B438" s="38"/>
      <c r="C438" s="38"/>
      <c r="D438" s="38"/>
      <c r="E438" s="38"/>
      <c r="F438" s="38"/>
      <c r="G438" s="38"/>
      <c r="H438" s="38"/>
      <c r="I438" s="38"/>
      <c r="J438" s="38"/>
      <c r="K438" s="38"/>
    </row>
    <row r="439" spans="1:11">
      <c r="A439" s="38" t="s">
        <v>198</v>
      </c>
      <c r="B439" s="38"/>
      <c r="C439" s="38"/>
      <c r="D439" s="38"/>
      <c r="E439" s="38"/>
      <c r="F439" s="38"/>
      <c r="G439" s="38"/>
      <c r="H439" s="38"/>
      <c r="I439" s="38"/>
      <c r="J439" s="38"/>
      <c r="K439" s="38"/>
    </row>
    <row r="440" spans="1:11">
      <c r="A440" s="38" t="s">
        <v>201</v>
      </c>
      <c r="B440" s="38"/>
      <c r="C440" s="38"/>
      <c r="D440" s="38"/>
      <c r="E440" s="38"/>
      <c r="F440" s="38"/>
      <c r="G440" s="38"/>
      <c r="H440" s="38"/>
      <c r="I440" s="38"/>
      <c r="J440" s="38"/>
      <c r="K440" s="38"/>
    </row>
    <row r="441" spans="1:11">
      <c r="A441" s="38" t="s">
        <v>203</v>
      </c>
      <c r="B441" s="38"/>
      <c r="C441" s="38"/>
      <c r="D441" s="38"/>
      <c r="E441" s="38"/>
      <c r="F441" s="38"/>
      <c r="G441" s="38"/>
      <c r="H441" s="38"/>
      <c r="I441" s="38"/>
      <c r="J441" s="38"/>
      <c r="K441" s="38"/>
    </row>
    <row r="442" spans="1:11">
      <c r="A442" s="38" t="s">
        <v>205</v>
      </c>
      <c r="B442" s="38"/>
      <c r="C442" s="38"/>
      <c r="D442" s="38"/>
      <c r="E442" s="38"/>
      <c r="F442" s="38"/>
      <c r="G442" s="38"/>
      <c r="H442" s="38"/>
      <c r="I442" s="38"/>
      <c r="J442" s="38"/>
      <c r="K442" s="38"/>
    </row>
    <row r="443" spans="1:11">
      <c r="A443" s="38" t="s">
        <v>207</v>
      </c>
      <c r="B443" s="38"/>
      <c r="C443" s="38"/>
      <c r="D443" s="38"/>
      <c r="E443" s="38"/>
      <c r="F443" s="38"/>
      <c r="G443" s="38"/>
      <c r="H443" s="38"/>
      <c r="I443" s="38"/>
      <c r="J443" s="38"/>
      <c r="K443" s="38"/>
    </row>
    <row r="444" spans="1:11">
      <c r="A444" s="38" t="s">
        <v>209</v>
      </c>
      <c r="B444" s="38"/>
      <c r="C444" s="38"/>
      <c r="D444" s="38"/>
      <c r="E444" s="38"/>
      <c r="F444" s="38"/>
      <c r="G444" s="38"/>
      <c r="H444" s="38"/>
      <c r="I444" s="38"/>
      <c r="J444" s="38"/>
      <c r="K444" s="38"/>
    </row>
    <row r="445" spans="1:11">
      <c r="A445" s="38" t="s">
        <v>211</v>
      </c>
      <c r="B445" s="38"/>
      <c r="C445" s="38"/>
      <c r="D445" s="38"/>
      <c r="E445" s="38"/>
      <c r="F445" s="38"/>
      <c r="G445" s="38"/>
      <c r="H445" s="38"/>
      <c r="I445" s="38"/>
      <c r="J445" s="38"/>
      <c r="K445" s="38"/>
    </row>
    <row r="446" spans="1:11">
      <c r="A446" s="38" t="s">
        <v>213</v>
      </c>
      <c r="B446" s="38"/>
      <c r="C446" s="38"/>
      <c r="D446" s="38"/>
      <c r="E446" s="38"/>
      <c r="F446" s="38"/>
      <c r="G446" s="38"/>
      <c r="H446" s="38"/>
      <c r="I446" s="38"/>
      <c r="J446" s="38"/>
      <c r="K446" s="38"/>
    </row>
    <row r="447" spans="1:11">
      <c r="A447" s="38" t="s">
        <v>215</v>
      </c>
      <c r="B447" s="38"/>
      <c r="C447" s="38"/>
      <c r="D447" s="38"/>
      <c r="E447" s="38"/>
      <c r="F447" s="38"/>
      <c r="G447" s="38"/>
      <c r="H447" s="38"/>
      <c r="I447" s="38"/>
      <c r="J447" s="38"/>
      <c r="K447" s="38"/>
    </row>
    <row r="448" spans="1:11">
      <c r="A448" s="38" t="s">
        <v>217</v>
      </c>
      <c r="B448" s="38"/>
      <c r="C448" s="38"/>
      <c r="D448" s="38"/>
      <c r="E448" s="38"/>
      <c r="F448" s="38"/>
      <c r="G448" s="38"/>
      <c r="H448" s="38"/>
      <c r="I448" s="38"/>
      <c r="J448" s="38"/>
      <c r="K448" s="38"/>
    </row>
    <row r="449" spans="1:11">
      <c r="A449" s="38" t="s">
        <v>219</v>
      </c>
      <c r="B449" s="38"/>
      <c r="C449" s="38"/>
      <c r="D449" s="38"/>
      <c r="E449" s="38"/>
      <c r="F449" s="38"/>
      <c r="G449" s="38"/>
      <c r="H449" s="38"/>
      <c r="I449" s="38"/>
      <c r="J449" s="38"/>
      <c r="K449" s="38"/>
    </row>
    <row r="450" spans="1:11">
      <c r="A450" s="38" t="s">
        <v>221</v>
      </c>
      <c r="B450" s="38"/>
      <c r="C450" s="38"/>
      <c r="D450" s="38"/>
      <c r="E450" s="38"/>
      <c r="F450" s="38"/>
      <c r="G450" s="38"/>
      <c r="H450" s="38"/>
      <c r="I450" s="38"/>
      <c r="J450" s="38"/>
      <c r="K450" s="38"/>
    </row>
    <row r="451" spans="1:11">
      <c r="A451" s="38" t="s">
        <v>223</v>
      </c>
      <c r="B451" s="38"/>
      <c r="C451" s="38"/>
      <c r="D451" s="38"/>
      <c r="E451" s="38"/>
      <c r="F451" s="38"/>
      <c r="G451" s="38"/>
      <c r="H451" s="38"/>
      <c r="I451" s="38"/>
      <c r="J451" s="38"/>
      <c r="K451" s="38"/>
    </row>
    <row r="452" spans="1:11">
      <c r="A452" s="38" t="s">
        <v>225</v>
      </c>
      <c r="B452" s="38"/>
      <c r="C452" s="38"/>
      <c r="D452" s="38"/>
      <c r="E452" s="38"/>
      <c r="F452" s="38"/>
      <c r="G452" s="38"/>
      <c r="H452" s="38"/>
      <c r="I452" s="38"/>
      <c r="J452" s="38"/>
      <c r="K452" s="38"/>
    </row>
    <row r="453" spans="1:11">
      <c r="A453" s="38" t="s">
        <v>227</v>
      </c>
      <c r="B453" s="38"/>
      <c r="C453" s="38"/>
      <c r="D453" s="38"/>
      <c r="E453" s="38"/>
      <c r="F453" s="38"/>
      <c r="G453" s="38"/>
      <c r="H453" s="38"/>
      <c r="I453" s="38"/>
      <c r="J453" s="38"/>
      <c r="K453" s="38"/>
    </row>
    <row r="454" spans="1:11">
      <c r="A454" s="38" t="s">
        <v>229</v>
      </c>
      <c r="B454" s="38"/>
      <c r="C454" s="38"/>
      <c r="D454" s="38"/>
      <c r="E454" s="38"/>
      <c r="F454" s="38"/>
      <c r="G454" s="38"/>
      <c r="H454" s="38"/>
      <c r="I454" s="38"/>
      <c r="J454" s="38"/>
      <c r="K454" s="38"/>
    </row>
    <row r="455" spans="1:11">
      <c r="A455" s="38" t="s">
        <v>231</v>
      </c>
      <c r="B455" s="38"/>
      <c r="C455" s="38"/>
      <c r="D455" s="38"/>
      <c r="E455" s="38"/>
      <c r="F455" s="38"/>
      <c r="G455" s="38"/>
      <c r="H455" s="38"/>
      <c r="I455" s="38"/>
      <c r="J455" s="38"/>
      <c r="K455" s="38"/>
    </row>
    <row r="456" spans="1:11">
      <c r="A456" s="38" t="s">
        <v>233</v>
      </c>
      <c r="B456" s="38"/>
      <c r="C456" s="38"/>
      <c r="D456" s="38"/>
      <c r="E456" s="38"/>
      <c r="F456" s="38"/>
      <c r="G456" s="38"/>
      <c r="H456" s="38"/>
      <c r="I456" s="38"/>
      <c r="J456" s="38"/>
      <c r="K456" s="38"/>
    </row>
    <row r="457" spans="1:11">
      <c r="A457" s="38" t="s">
        <v>235</v>
      </c>
      <c r="B457" s="38"/>
      <c r="C457" s="38"/>
      <c r="D457" s="38"/>
      <c r="E457" s="38"/>
      <c r="F457" s="38"/>
      <c r="G457" s="38"/>
      <c r="H457" s="38"/>
      <c r="I457" s="38"/>
      <c r="J457" s="38"/>
      <c r="K457" s="38"/>
    </row>
    <row r="458" spans="1:11">
      <c r="A458" s="38" t="s">
        <v>237</v>
      </c>
      <c r="B458" s="38"/>
      <c r="C458" s="38"/>
      <c r="D458" s="38"/>
      <c r="E458" s="38"/>
      <c r="F458" s="38"/>
      <c r="G458" s="38"/>
      <c r="H458" s="38"/>
      <c r="I458" s="38"/>
      <c r="J458" s="38"/>
      <c r="K458" s="38"/>
    </row>
    <row r="459" spans="1:11">
      <c r="A459" s="38" t="s">
        <v>239</v>
      </c>
      <c r="B459" s="38"/>
      <c r="C459" s="38"/>
      <c r="D459" s="38"/>
      <c r="E459" s="38"/>
      <c r="F459" s="38"/>
      <c r="G459" s="38"/>
      <c r="H459" s="38"/>
      <c r="I459" s="38"/>
      <c r="J459" s="38"/>
      <c r="K459" s="38"/>
    </row>
    <row r="460" spans="1:11">
      <c r="A460" s="38" t="s">
        <v>241</v>
      </c>
      <c r="B460" s="38"/>
      <c r="C460" s="38"/>
      <c r="D460" s="38"/>
      <c r="E460" s="38"/>
      <c r="F460" s="38"/>
      <c r="G460" s="38"/>
      <c r="H460" s="38"/>
      <c r="I460" s="38"/>
      <c r="J460" s="38"/>
      <c r="K460" s="38"/>
    </row>
    <row r="461" spans="1:11">
      <c r="A461" s="38" t="s">
        <v>243</v>
      </c>
      <c r="B461" s="38"/>
      <c r="C461" s="38"/>
      <c r="D461" s="38"/>
      <c r="E461" s="38"/>
      <c r="F461" s="38"/>
      <c r="G461" s="38"/>
      <c r="H461" s="38"/>
      <c r="I461" s="38"/>
      <c r="J461" s="38"/>
      <c r="K461" s="38"/>
    </row>
    <row r="462" spans="1:11">
      <c r="A462" s="38" t="s">
        <v>247</v>
      </c>
      <c r="B462" s="38"/>
      <c r="C462" s="38"/>
      <c r="D462" s="38"/>
      <c r="E462" s="38"/>
      <c r="F462" s="38"/>
      <c r="G462" s="38"/>
      <c r="H462" s="38"/>
      <c r="I462" s="38"/>
      <c r="J462" s="38"/>
      <c r="K462" s="38"/>
    </row>
    <row r="463" spans="1:11">
      <c r="A463" s="38" t="s">
        <v>250</v>
      </c>
      <c r="B463" s="38"/>
      <c r="C463" s="38"/>
      <c r="D463" s="38"/>
      <c r="E463" s="38"/>
      <c r="F463" s="38"/>
      <c r="G463" s="38"/>
      <c r="H463" s="38"/>
      <c r="I463" s="38"/>
      <c r="J463" s="38"/>
      <c r="K463" s="38"/>
    </row>
    <row r="464" spans="1:11">
      <c r="A464" s="38" t="s">
        <v>253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</row>
    <row r="465" spans="1:11">
      <c r="A465" s="38" t="s">
        <v>256</v>
      </c>
      <c r="B465" s="38"/>
      <c r="C465" s="38"/>
      <c r="D465" s="38"/>
      <c r="E465" s="38"/>
      <c r="F465" s="38"/>
      <c r="G465" s="38"/>
      <c r="H465" s="38"/>
      <c r="I465" s="38"/>
      <c r="J465" s="38"/>
      <c r="K465" s="38"/>
    </row>
    <row r="466" spans="1:11">
      <c r="A466" s="38" t="s">
        <v>259</v>
      </c>
      <c r="B466" s="38"/>
      <c r="C466" s="38"/>
      <c r="D466" s="38"/>
      <c r="E466" s="38"/>
      <c r="F466" s="38"/>
      <c r="G466" s="38"/>
      <c r="H466" s="38"/>
      <c r="I466" s="38"/>
      <c r="J466" s="38"/>
      <c r="K466" s="38"/>
    </row>
    <row r="467" spans="1:11">
      <c r="A467" s="38" t="s">
        <v>262</v>
      </c>
      <c r="B467" s="38"/>
      <c r="C467" s="38"/>
      <c r="D467" s="38"/>
      <c r="E467" s="38"/>
      <c r="F467" s="38"/>
      <c r="G467" s="38"/>
      <c r="H467" s="38"/>
      <c r="I467" s="38"/>
      <c r="J467" s="38"/>
      <c r="K467" s="38"/>
    </row>
    <row r="468" spans="1:11">
      <c r="A468" s="38" t="s">
        <v>265</v>
      </c>
      <c r="B468" s="38"/>
      <c r="C468" s="38"/>
      <c r="D468" s="38"/>
      <c r="E468" s="38"/>
      <c r="F468" s="38"/>
      <c r="G468" s="38"/>
      <c r="H468" s="38"/>
      <c r="I468" s="38"/>
      <c r="J468" s="38"/>
      <c r="K468" s="38"/>
    </row>
    <row r="469" spans="1:11">
      <c r="A469" s="38" t="s">
        <v>268</v>
      </c>
      <c r="B469" s="38"/>
      <c r="C469" s="38"/>
      <c r="D469" s="38"/>
      <c r="E469" s="38"/>
      <c r="F469" s="38"/>
      <c r="G469" s="38"/>
      <c r="H469" s="38"/>
      <c r="I469" s="38"/>
      <c r="J469" s="38"/>
      <c r="K469" s="38"/>
    </row>
    <row r="470" spans="1:11">
      <c r="A470" s="38" t="s">
        <v>271</v>
      </c>
      <c r="B470" s="38"/>
      <c r="C470" s="38"/>
      <c r="D470" s="38"/>
      <c r="E470" s="38"/>
      <c r="F470" s="38"/>
      <c r="G470" s="38"/>
      <c r="H470" s="38"/>
      <c r="I470" s="38"/>
      <c r="J470" s="38"/>
      <c r="K470" s="38"/>
    </row>
    <row r="471" spans="1:11">
      <c r="A471" s="38" t="s">
        <v>274</v>
      </c>
      <c r="B471" s="38"/>
      <c r="C471" s="38"/>
      <c r="D471" s="38"/>
      <c r="E471" s="38"/>
      <c r="F471" s="38"/>
      <c r="G471" s="38"/>
      <c r="H471" s="38"/>
      <c r="I471" s="38"/>
      <c r="J471" s="38"/>
      <c r="K471" s="38"/>
    </row>
    <row r="472" spans="1:11">
      <c r="A472" s="38" t="s">
        <v>277</v>
      </c>
      <c r="B472" s="38"/>
      <c r="C472" s="38"/>
      <c r="D472" s="38"/>
      <c r="E472" s="38"/>
      <c r="F472" s="38"/>
      <c r="G472" s="38"/>
      <c r="H472" s="38"/>
      <c r="I472" s="38"/>
      <c r="J472" s="38"/>
      <c r="K472" s="38"/>
    </row>
    <row r="473" spans="1:11">
      <c r="A473" s="38" t="s">
        <v>280</v>
      </c>
      <c r="B473" s="38"/>
      <c r="C473" s="38"/>
      <c r="D473" s="38"/>
      <c r="E473" s="38"/>
      <c r="F473" s="38"/>
      <c r="G473" s="38"/>
      <c r="H473" s="38"/>
      <c r="I473" s="38"/>
      <c r="J473" s="38"/>
      <c r="K473" s="38"/>
    </row>
    <row r="474" spans="1:11">
      <c r="A474" s="38" t="s">
        <v>283</v>
      </c>
      <c r="B474" s="38"/>
      <c r="C474" s="38"/>
      <c r="D474" s="38"/>
      <c r="E474" s="38"/>
      <c r="F474" s="38"/>
      <c r="G474" s="38"/>
      <c r="H474" s="38"/>
      <c r="I474" s="38"/>
      <c r="J474" s="38"/>
      <c r="K474" s="38"/>
    </row>
    <row r="475" spans="1:11">
      <c r="A475" s="38" t="s">
        <v>286</v>
      </c>
      <c r="B475" s="38"/>
      <c r="C475" s="38"/>
      <c r="D475" s="38"/>
      <c r="E475" s="38"/>
      <c r="F475" s="38"/>
      <c r="G475" s="38"/>
      <c r="H475" s="38"/>
      <c r="I475" s="38"/>
      <c r="J475" s="38"/>
      <c r="K475" s="38"/>
    </row>
    <row r="476" spans="1:11">
      <c r="A476" s="38" t="s">
        <v>289</v>
      </c>
      <c r="B476" s="38"/>
      <c r="C476" s="38"/>
      <c r="D476" s="38"/>
      <c r="E476" s="38"/>
      <c r="F476" s="38"/>
      <c r="G476" s="38"/>
      <c r="H476" s="38"/>
      <c r="I476" s="38"/>
      <c r="J476" s="38"/>
      <c r="K476" s="38"/>
    </row>
    <row r="477" spans="1:11">
      <c r="A477" s="38" t="s">
        <v>292</v>
      </c>
      <c r="B477" s="38"/>
      <c r="C477" s="38"/>
      <c r="D477" s="38"/>
      <c r="E477" s="38"/>
      <c r="F477" s="38"/>
      <c r="G477" s="38"/>
      <c r="H477" s="38"/>
      <c r="I477" s="38"/>
      <c r="J477" s="38"/>
      <c r="K477" s="38"/>
    </row>
    <row r="478" spans="1:11">
      <c r="A478" s="38" t="s">
        <v>295</v>
      </c>
      <c r="B478" s="38"/>
      <c r="C478" s="38"/>
      <c r="D478" s="38"/>
      <c r="E478" s="38"/>
      <c r="F478" s="38"/>
      <c r="G478" s="38"/>
      <c r="H478" s="38"/>
      <c r="I478" s="38"/>
      <c r="J478" s="38"/>
      <c r="K478" s="38"/>
    </row>
    <row r="479" spans="1:11">
      <c r="A479" s="38" t="s">
        <v>298</v>
      </c>
      <c r="B479" s="38"/>
      <c r="C479" s="38"/>
      <c r="D479" s="38"/>
      <c r="E479" s="38"/>
      <c r="F479" s="38"/>
      <c r="G479" s="38"/>
      <c r="H479" s="38"/>
      <c r="I479" s="38"/>
      <c r="J479" s="38"/>
      <c r="K479" s="38"/>
    </row>
    <row r="480" spans="1:11">
      <c r="A480" s="38" t="s">
        <v>301</v>
      </c>
      <c r="B480" s="38"/>
      <c r="C480" s="38"/>
      <c r="D480" s="38"/>
      <c r="E480" s="38"/>
      <c r="F480" s="38"/>
      <c r="G480" s="38"/>
      <c r="H480" s="38"/>
      <c r="I480" s="38"/>
      <c r="J480" s="38"/>
      <c r="K480" s="38"/>
    </row>
    <row r="481" spans="1:11">
      <c r="A481" s="38" t="s">
        <v>304</v>
      </c>
      <c r="B481" s="38"/>
      <c r="C481" s="38"/>
      <c r="D481" s="38"/>
      <c r="E481" s="38"/>
      <c r="F481" s="38"/>
      <c r="G481" s="38"/>
      <c r="H481" s="38"/>
      <c r="I481" s="38"/>
      <c r="J481" s="38"/>
      <c r="K481" s="38"/>
    </row>
    <row r="482" spans="1:11">
      <c r="A482" s="38" t="s">
        <v>307</v>
      </c>
      <c r="B482" s="38"/>
      <c r="C482" s="38"/>
      <c r="D482" s="38"/>
      <c r="E482" s="38"/>
      <c r="F482" s="38"/>
      <c r="G482" s="38"/>
      <c r="H482" s="38"/>
      <c r="I482" s="38"/>
      <c r="J482" s="38"/>
      <c r="K482" s="38"/>
    </row>
    <row r="483" spans="1:11">
      <c r="A483" s="38" t="s">
        <v>311</v>
      </c>
      <c r="B483" s="38"/>
      <c r="C483" s="38"/>
      <c r="D483" s="38"/>
      <c r="E483" s="38"/>
      <c r="F483" s="38"/>
      <c r="G483" s="38"/>
      <c r="H483" s="38"/>
      <c r="I483" s="38"/>
      <c r="J483" s="38"/>
      <c r="K483" s="38"/>
    </row>
    <row r="484" spans="1:11">
      <c r="A484" s="38" t="s">
        <v>314</v>
      </c>
      <c r="B484" s="38"/>
      <c r="C484" s="38"/>
      <c r="D484" s="38"/>
      <c r="E484" s="38"/>
      <c r="F484" s="38"/>
      <c r="G484" s="38"/>
      <c r="H484" s="38"/>
      <c r="I484" s="38"/>
      <c r="J484" s="38"/>
      <c r="K484" s="38"/>
    </row>
    <row r="485" spans="1:11">
      <c r="A485" s="38" t="s">
        <v>317</v>
      </c>
      <c r="B485" s="38"/>
      <c r="C485" s="38"/>
      <c r="D485" s="38"/>
      <c r="E485" s="38"/>
      <c r="F485" s="38"/>
      <c r="G485" s="38"/>
      <c r="H485" s="38"/>
      <c r="I485" s="38"/>
      <c r="J485" s="38"/>
      <c r="K485" s="38"/>
    </row>
    <row r="486" spans="1:11">
      <c r="A486" s="38" t="s">
        <v>320</v>
      </c>
      <c r="B486" s="38"/>
      <c r="C486" s="38"/>
      <c r="D486" s="38"/>
      <c r="E486" s="38"/>
      <c r="F486" s="38"/>
      <c r="G486" s="38"/>
      <c r="H486" s="38"/>
      <c r="I486" s="38"/>
      <c r="J486" s="38"/>
      <c r="K486" s="38"/>
    </row>
    <row r="487" spans="1:11">
      <c r="A487" s="38" t="s">
        <v>323</v>
      </c>
      <c r="B487" s="38"/>
      <c r="C487" s="38"/>
      <c r="D487" s="38"/>
      <c r="E487" s="38"/>
      <c r="F487" s="38"/>
      <c r="G487" s="38"/>
      <c r="H487" s="38"/>
      <c r="I487" s="38"/>
      <c r="J487" s="38"/>
      <c r="K487" s="38"/>
    </row>
    <row r="488" spans="1:11">
      <c r="A488" s="38" t="s">
        <v>326</v>
      </c>
      <c r="B488" s="38"/>
      <c r="C488" s="38"/>
      <c r="D488" s="38"/>
      <c r="E488" s="38"/>
      <c r="F488" s="38"/>
      <c r="G488" s="38"/>
      <c r="H488" s="38"/>
      <c r="I488" s="38"/>
      <c r="J488" s="38"/>
      <c r="K488" s="38"/>
    </row>
    <row r="489" spans="1:11">
      <c r="A489" s="38" t="s">
        <v>329</v>
      </c>
      <c r="B489" s="38"/>
      <c r="C489" s="38"/>
      <c r="D489" s="38"/>
      <c r="E489" s="38"/>
      <c r="F489" s="38"/>
      <c r="G489" s="38"/>
      <c r="H489" s="38"/>
      <c r="I489" s="38"/>
      <c r="J489" s="38"/>
      <c r="K489" s="38"/>
    </row>
    <row r="490" spans="1:11">
      <c r="A490" s="38" t="s">
        <v>332</v>
      </c>
      <c r="B490" s="38"/>
      <c r="C490" s="38"/>
      <c r="D490" s="38"/>
      <c r="E490" s="38"/>
      <c r="F490" s="38"/>
      <c r="G490" s="38"/>
      <c r="H490" s="38"/>
      <c r="I490" s="38"/>
      <c r="J490" s="38"/>
      <c r="K490" s="38"/>
    </row>
    <row r="491" spans="1:11">
      <c r="A491" s="38" t="s">
        <v>335</v>
      </c>
      <c r="B491" s="38"/>
      <c r="C491" s="38"/>
      <c r="D491" s="38"/>
      <c r="E491" s="38"/>
      <c r="F491" s="38"/>
      <c r="G491" s="38"/>
      <c r="H491" s="38"/>
      <c r="I491" s="38"/>
      <c r="J491" s="38"/>
      <c r="K491" s="38"/>
    </row>
    <row r="492" spans="1:11">
      <c r="A492" s="38" t="s">
        <v>338</v>
      </c>
      <c r="B492" s="38"/>
      <c r="C492" s="38"/>
      <c r="D492" s="38"/>
      <c r="E492" s="38"/>
      <c r="F492" s="38"/>
      <c r="G492" s="38"/>
      <c r="H492" s="38"/>
      <c r="I492" s="38"/>
      <c r="J492" s="38"/>
      <c r="K492" s="38"/>
    </row>
    <row r="493" spans="1:11">
      <c r="A493" s="38" t="s">
        <v>341</v>
      </c>
      <c r="B493" s="38"/>
      <c r="C493" s="38"/>
      <c r="D493" s="38"/>
      <c r="E493" s="38"/>
      <c r="F493" s="38"/>
      <c r="G493" s="38"/>
      <c r="H493" s="38"/>
      <c r="I493" s="38"/>
      <c r="J493" s="38"/>
      <c r="K493" s="38"/>
    </row>
    <row r="494" spans="1:11">
      <c r="A494" s="38" t="s">
        <v>344</v>
      </c>
      <c r="B494" s="38"/>
      <c r="C494" s="38"/>
      <c r="D494" s="38"/>
      <c r="E494" s="38"/>
      <c r="F494" s="38"/>
      <c r="G494" s="38"/>
      <c r="H494" s="38"/>
      <c r="I494" s="38"/>
      <c r="J494" s="38"/>
      <c r="K494" s="38"/>
    </row>
    <row r="495" spans="1:11">
      <c r="A495" s="38" t="s">
        <v>347</v>
      </c>
      <c r="B495" s="38"/>
      <c r="C495" s="38"/>
      <c r="D495" s="38"/>
      <c r="E495" s="38"/>
      <c r="F495" s="38"/>
      <c r="G495" s="38"/>
      <c r="H495" s="38"/>
      <c r="I495" s="38"/>
      <c r="J495" s="38"/>
      <c r="K495" s="38"/>
    </row>
    <row r="496" spans="1:11">
      <c r="A496" s="38" t="s">
        <v>350</v>
      </c>
      <c r="B496" s="38"/>
      <c r="C496" s="38"/>
      <c r="D496" s="38"/>
      <c r="E496" s="38"/>
      <c r="F496" s="38"/>
      <c r="G496" s="38"/>
      <c r="H496" s="38"/>
      <c r="I496" s="38"/>
      <c r="J496" s="38"/>
      <c r="K496" s="38"/>
    </row>
    <row r="497" spans="1:11">
      <c r="A497" s="38" t="s">
        <v>353</v>
      </c>
      <c r="B497" s="38"/>
      <c r="C497" s="38"/>
      <c r="D497" s="38"/>
      <c r="E497" s="38"/>
      <c r="F497" s="38"/>
      <c r="G497" s="38"/>
      <c r="H497" s="38"/>
      <c r="I497" s="38"/>
      <c r="J497" s="38"/>
      <c r="K497" s="38"/>
    </row>
    <row r="498" spans="1:11">
      <c r="A498" s="38" t="s">
        <v>356</v>
      </c>
      <c r="B498" s="38"/>
      <c r="C498" s="38"/>
      <c r="D498" s="38"/>
      <c r="E498" s="38"/>
      <c r="F498" s="38"/>
      <c r="G498" s="38"/>
      <c r="H498" s="38"/>
      <c r="I498" s="38"/>
      <c r="J498" s="38"/>
      <c r="K498" s="38"/>
    </row>
    <row r="499" spans="1:11">
      <c r="A499" s="38" t="s">
        <v>359</v>
      </c>
      <c r="B499" s="38"/>
      <c r="C499" s="38"/>
      <c r="D499" s="38"/>
      <c r="E499" s="38"/>
      <c r="F499" s="38"/>
      <c r="G499" s="38"/>
      <c r="H499" s="38"/>
      <c r="I499" s="38"/>
      <c r="J499" s="38"/>
      <c r="K499" s="38"/>
    </row>
    <row r="500" spans="1:11">
      <c r="A500" s="38" t="s">
        <v>362</v>
      </c>
      <c r="B500" s="38"/>
      <c r="C500" s="38"/>
      <c r="D500" s="38"/>
      <c r="E500" s="38"/>
      <c r="F500" s="38"/>
      <c r="G500" s="38"/>
      <c r="H500" s="38"/>
      <c r="I500" s="38"/>
      <c r="J500" s="38"/>
      <c r="K500" s="38"/>
    </row>
    <row r="501" spans="1:11">
      <c r="A501" s="38" t="s">
        <v>365</v>
      </c>
      <c r="B501" s="38"/>
      <c r="C501" s="38"/>
      <c r="D501" s="38"/>
      <c r="E501" s="38"/>
      <c r="F501" s="38"/>
      <c r="G501" s="38"/>
      <c r="H501" s="38"/>
      <c r="I501" s="38"/>
      <c r="J501" s="38"/>
      <c r="K501" s="38"/>
    </row>
    <row r="502" spans="1:11">
      <c r="A502" s="38" t="s">
        <v>368</v>
      </c>
      <c r="B502" s="38"/>
      <c r="C502" s="38"/>
      <c r="D502" s="38"/>
      <c r="E502" s="38"/>
      <c r="F502" s="38"/>
      <c r="G502" s="38"/>
      <c r="H502" s="38"/>
      <c r="I502" s="38"/>
      <c r="J502" s="38"/>
      <c r="K502" s="38"/>
    </row>
    <row r="503" spans="1:11">
      <c r="A503" s="38" t="s">
        <v>371</v>
      </c>
      <c r="B503" s="38"/>
      <c r="C503" s="38"/>
      <c r="D503" s="38"/>
      <c r="E503" s="38"/>
      <c r="F503" s="38"/>
      <c r="G503" s="38"/>
      <c r="H503" s="38"/>
      <c r="I503" s="38"/>
      <c r="J503" s="38"/>
      <c r="K503" s="38"/>
    </row>
    <row r="504" spans="1:11">
      <c r="A504" s="38" t="s">
        <v>374</v>
      </c>
      <c r="B504" s="38"/>
      <c r="C504" s="38"/>
      <c r="D504" s="38"/>
      <c r="E504" s="38"/>
      <c r="F504" s="38"/>
      <c r="G504" s="38"/>
      <c r="H504" s="38"/>
      <c r="I504" s="38"/>
      <c r="J504" s="38"/>
      <c r="K504" s="38"/>
    </row>
    <row r="505" spans="1:11">
      <c r="A505" s="38" t="s">
        <v>377</v>
      </c>
      <c r="B505" s="38"/>
      <c r="C505" s="38"/>
      <c r="D505" s="38"/>
      <c r="E505" s="38"/>
      <c r="F505" s="38"/>
      <c r="G505" s="38"/>
      <c r="H505" s="38"/>
      <c r="I505" s="38"/>
      <c r="J505" s="38"/>
      <c r="K505" s="38"/>
    </row>
    <row r="506" spans="1:11">
      <c r="A506" s="38" t="s">
        <v>380</v>
      </c>
      <c r="B506" s="38"/>
      <c r="C506" s="38"/>
      <c r="D506" s="38"/>
      <c r="E506" s="38"/>
      <c r="F506" s="38"/>
      <c r="G506" s="38"/>
      <c r="H506" s="38"/>
      <c r="I506" s="38"/>
      <c r="J506" s="38"/>
      <c r="K506" s="38"/>
    </row>
    <row r="507" spans="1:11">
      <c r="A507" s="38" t="s">
        <v>383</v>
      </c>
      <c r="B507" s="38"/>
      <c r="C507" s="38"/>
      <c r="D507" s="38"/>
      <c r="E507" s="38"/>
      <c r="F507" s="38"/>
      <c r="G507" s="38"/>
      <c r="H507" s="38"/>
      <c r="I507" s="38"/>
      <c r="J507" s="38"/>
      <c r="K507" s="38"/>
    </row>
    <row r="508" spans="1:11">
      <c r="A508" s="38" t="s">
        <v>386</v>
      </c>
      <c r="B508" s="38"/>
      <c r="C508" s="38"/>
      <c r="D508" s="38"/>
      <c r="E508" s="38"/>
      <c r="F508" s="38"/>
      <c r="G508" s="38"/>
      <c r="H508" s="38"/>
      <c r="I508" s="38"/>
      <c r="J508" s="38"/>
      <c r="K508" s="38"/>
    </row>
    <row r="509" spans="1:11">
      <c r="A509" s="38" t="s">
        <v>389</v>
      </c>
      <c r="B509" s="38"/>
      <c r="C509" s="38"/>
      <c r="D509" s="38"/>
      <c r="E509" s="38"/>
      <c r="F509" s="38"/>
      <c r="G509" s="38"/>
      <c r="H509" s="38"/>
      <c r="I509" s="38"/>
      <c r="J509" s="38"/>
      <c r="K509" s="38"/>
    </row>
    <row r="510" spans="1:11">
      <c r="A510" s="38" t="s">
        <v>392</v>
      </c>
      <c r="B510" s="38"/>
      <c r="C510" s="38"/>
      <c r="D510" s="38"/>
      <c r="E510" s="38"/>
      <c r="F510" s="38"/>
      <c r="G510" s="38"/>
      <c r="H510" s="38"/>
      <c r="I510" s="38"/>
      <c r="J510" s="38"/>
      <c r="K510" s="38"/>
    </row>
    <row r="511" spans="1:11">
      <c r="A511" s="38" t="s">
        <v>395</v>
      </c>
      <c r="B511" s="38"/>
      <c r="C511" s="38"/>
      <c r="D511" s="38"/>
      <c r="E511" s="38"/>
      <c r="F511" s="38"/>
      <c r="G511" s="38"/>
      <c r="H511" s="38"/>
      <c r="I511" s="38"/>
      <c r="J511" s="38"/>
      <c r="K511" s="38"/>
    </row>
    <row r="512" spans="1:11">
      <c r="A512" s="38" t="s">
        <v>398</v>
      </c>
      <c r="B512" s="38"/>
      <c r="C512" s="38"/>
      <c r="D512" s="38"/>
      <c r="E512" s="38"/>
      <c r="F512" s="38"/>
      <c r="G512" s="38"/>
      <c r="H512" s="38"/>
      <c r="I512" s="38"/>
      <c r="J512" s="38"/>
      <c r="K512" s="38"/>
    </row>
    <row r="513" spans="1:11">
      <c r="A513" s="38" t="s">
        <v>401</v>
      </c>
      <c r="B513" s="38"/>
      <c r="C513" s="38"/>
      <c r="D513" s="38"/>
      <c r="E513" s="38"/>
      <c r="F513" s="38"/>
      <c r="G513" s="38"/>
      <c r="H513" s="38"/>
      <c r="I513" s="38"/>
      <c r="J513" s="38"/>
      <c r="K513" s="38"/>
    </row>
    <row r="514" spans="1:11">
      <c r="A514" s="38" t="s">
        <v>404</v>
      </c>
      <c r="B514" s="38"/>
      <c r="C514" s="38"/>
      <c r="D514" s="38"/>
      <c r="E514" s="38"/>
      <c r="F514" s="38"/>
      <c r="G514" s="38"/>
      <c r="H514" s="38"/>
      <c r="I514" s="38"/>
      <c r="J514" s="38"/>
      <c r="K514" s="38"/>
    </row>
    <row r="515" spans="1:11">
      <c r="A515" s="38" t="s">
        <v>407</v>
      </c>
      <c r="B515" s="38"/>
      <c r="C515" s="38"/>
      <c r="D515" s="38"/>
      <c r="E515" s="38"/>
      <c r="F515" s="38"/>
      <c r="G515" s="38"/>
      <c r="H515" s="38"/>
      <c r="I515" s="38"/>
      <c r="J515" s="38"/>
      <c r="K515" s="38"/>
    </row>
    <row r="516" spans="1:11">
      <c r="A516" s="38" t="s">
        <v>410</v>
      </c>
      <c r="B516" s="38"/>
      <c r="C516" s="38"/>
      <c r="D516" s="38"/>
      <c r="E516" s="38"/>
      <c r="F516" s="38"/>
      <c r="G516" s="38"/>
      <c r="H516" s="38"/>
      <c r="I516" s="38"/>
      <c r="J516" s="38"/>
      <c r="K516" s="38"/>
    </row>
    <row r="517" spans="1:11">
      <c r="A517" s="38" t="s">
        <v>413</v>
      </c>
      <c r="B517" s="38"/>
      <c r="C517" s="38"/>
      <c r="D517" s="38"/>
      <c r="E517" s="38"/>
      <c r="F517" s="38"/>
      <c r="G517" s="38"/>
      <c r="H517" s="38"/>
      <c r="I517" s="38"/>
      <c r="J517" s="38"/>
      <c r="K517" s="38"/>
    </row>
    <row r="518" spans="1:11">
      <c r="A518" s="38" t="s">
        <v>416</v>
      </c>
      <c r="B518" s="38"/>
      <c r="C518" s="38"/>
      <c r="D518" s="38"/>
      <c r="E518" s="38"/>
      <c r="F518" s="38"/>
      <c r="G518" s="38"/>
      <c r="H518" s="38"/>
      <c r="I518" s="38"/>
      <c r="J518" s="38"/>
      <c r="K518" s="38"/>
    </row>
    <row r="519" spans="1:11">
      <c r="A519" s="38" t="s">
        <v>419</v>
      </c>
      <c r="B519" s="38"/>
      <c r="C519" s="38"/>
      <c r="D519" s="38"/>
      <c r="E519" s="38"/>
      <c r="F519" s="38"/>
      <c r="G519" s="38"/>
      <c r="H519" s="38"/>
      <c r="I519" s="38"/>
      <c r="J519" s="38"/>
      <c r="K519" s="38"/>
    </row>
    <row r="520" spans="1:11">
      <c r="A520" s="38" t="s">
        <v>422</v>
      </c>
      <c r="B520" s="38"/>
      <c r="C520" s="38"/>
      <c r="D520" s="38"/>
      <c r="E520" s="38"/>
      <c r="F520" s="38"/>
      <c r="G520" s="38"/>
      <c r="H520" s="38"/>
      <c r="I520" s="38"/>
      <c r="J520" s="38"/>
      <c r="K520" s="38"/>
    </row>
    <row r="521" spans="1:11">
      <c r="A521" s="38" t="s">
        <v>425</v>
      </c>
      <c r="B521" s="38"/>
      <c r="C521" s="38"/>
      <c r="D521" s="38"/>
      <c r="E521" s="38"/>
      <c r="F521" s="38"/>
      <c r="G521" s="38"/>
      <c r="H521" s="38"/>
      <c r="I521" s="38"/>
      <c r="J521" s="38"/>
      <c r="K521" s="38"/>
    </row>
    <row r="522" spans="1:11">
      <c r="A522" s="38" t="s">
        <v>428</v>
      </c>
      <c r="B522" s="38"/>
      <c r="C522" s="38"/>
      <c r="D522" s="38"/>
      <c r="E522" s="38"/>
      <c r="F522" s="38"/>
      <c r="G522" s="38"/>
      <c r="H522" s="38"/>
      <c r="I522" s="38"/>
      <c r="J522" s="38"/>
      <c r="K522" s="38"/>
    </row>
    <row r="523" spans="1:11">
      <c r="A523" s="38" t="s">
        <v>431</v>
      </c>
      <c r="B523" s="38"/>
      <c r="C523" s="38"/>
      <c r="D523" s="38"/>
      <c r="E523" s="38"/>
      <c r="F523" s="38"/>
      <c r="G523" s="38"/>
      <c r="H523" s="38"/>
      <c r="I523" s="38"/>
      <c r="J523" s="38"/>
      <c r="K523" s="38"/>
    </row>
    <row r="524" spans="1:11">
      <c r="A524" s="38" t="s">
        <v>434</v>
      </c>
      <c r="B524" s="38"/>
      <c r="C524" s="38"/>
      <c r="D524" s="38"/>
      <c r="E524" s="38"/>
      <c r="F524" s="38"/>
      <c r="G524" s="38"/>
      <c r="H524" s="38"/>
      <c r="I524" s="38"/>
      <c r="J524" s="38"/>
      <c r="K524" s="38"/>
    </row>
    <row r="525" spans="1:11">
      <c r="A525" s="38" t="s">
        <v>437</v>
      </c>
      <c r="B525" s="38"/>
      <c r="C525" s="38"/>
      <c r="D525" s="38"/>
      <c r="E525" s="38"/>
      <c r="F525" s="38"/>
      <c r="G525" s="38"/>
      <c r="H525" s="38"/>
      <c r="I525" s="38"/>
      <c r="J525" s="38"/>
      <c r="K525" s="38"/>
    </row>
    <row r="526" spans="1:11">
      <c r="A526" s="38" t="s">
        <v>440</v>
      </c>
      <c r="B526" s="38"/>
      <c r="C526" s="38"/>
      <c r="D526" s="38"/>
      <c r="E526" s="38"/>
      <c r="F526" s="38"/>
      <c r="G526" s="38"/>
      <c r="H526" s="38"/>
      <c r="I526" s="38"/>
      <c r="J526" s="38"/>
      <c r="K526" s="38"/>
    </row>
    <row r="527" spans="1:11">
      <c r="A527" s="38" t="s">
        <v>443</v>
      </c>
      <c r="B527" s="38"/>
      <c r="C527" s="38"/>
      <c r="D527" s="38"/>
      <c r="E527" s="38"/>
      <c r="F527" s="38"/>
      <c r="G527" s="38"/>
      <c r="H527" s="38"/>
      <c r="I527" s="38"/>
      <c r="J527" s="38"/>
      <c r="K527" s="38"/>
    </row>
    <row r="528" spans="1:11">
      <c r="A528" s="38" t="s">
        <v>446</v>
      </c>
      <c r="B528" s="38"/>
      <c r="C528" s="38"/>
      <c r="D528" s="38"/>
      <c r="E528" s="38"/>
      <c r="F528" s="38"/>
      <c r="G528" s="38"/>
      <c r="H528" s="38"/>
      <c r="I528" s="38"/>
      <c r="J528" s="38"/>
      <c r="K528" s="38"/>
    </row>
    <row r="529" spans="1:11">
      <c r="A529" s="38" t="s">
        <v>449</v>
      </c>
      <c r="B529" s="38"/>
      <c r="C529" s="38"/>
      <c r="D529" s="38"/>
      <c r="E529" s="38"/>
      <c r="F529" s="38"/>
      <c r="G529" s="38"/>
      <c r="H529" s="38"/>
      <c r="I529" s="38"/>
      <c r="J529" s="38"/>
      <c r="K529" s="38"/>
    </row>
    <row r="530" spans="1:11">
      <c r="A530" s="38" t="s">
        <v>452</v>
      </c>
      <c r="B530" s="38"/>
      <c r="C530" s="38"/>
      <c r="D530" s="38"/>
      <c r="E530" s="38"/>
      <c r="F530" s="38"/>
      <c r="G530" s="38"/>
      <c r="H530" s="38"/>
      <c r="I530" s="38"/>
      <c r="J530" s="38"/>
      <c r="K530" s="38"/>
    </row>
    <row r="531" spans="1:11">
      <c r="A531" s="38" t="s">
        <v>455</v>
      </c>
      <c r="B531" s="38"/>
      <c r="C531" s="38"/>
      <c r="D531" s="38"/>
      <c r="E531" s="38"/>
      <c r="F531" s="38"/>
      <c r="G531" s="38"/>
      <c r="H531" s="38"/>
      <c r="I531" s="38"/>
      <c r="J531" s="38"/>
      <c r="K531" s="38"/>
    </row>
    <row r="532" spans="1:11">
      <c r="A532" s="38" t="s">
        <v>458</v>
      </c>
      <c r="B532" s="38"/>
      <c r="C532" s="38"/>
      <c r="D532" s="38"/>
      <c r="E532" s="38"/>
      <c r="F532" s="38"/>
      <c r="G532" s="38"/>
      <c r="H532" s="38"/>
      <c r="I532" s="38"/>
      <c r="J532" s="38"/>
      <c r="K532" s="38"/>
    </row>
    <row r="533" spans="1:11">
      <c r="A533" s="38" t="s">
        <v>461</v>
      </c>
      <c r="B533" s="38"/>
      <c r="C533" s="38"/>
      <c r="D533" s="38"/>
      <c r="E533" s="38"/>
      <c r="F533" s="38"/>
      <c r="G533" s="38"/>
      <c r="H533" s="38"/>
      <c r="I533" s="38"/>
      <c r="J533" s="38"/>
      <c r="K533" s="38"/>
    </row>
    <row r="534" spans="1:11">
      <c r="A534" s="38" t="s">
        <v>464</v>
      </c>
      <c r="B534" s="38"/>
      <c r="C534" s="38"/>
      <c r="D534" s="38"/>
      <c r="E534" s="38"/>
      <c r="F534" s="38"/>
      <c r="G534" s="38"/>
      <c r="H534" s="38"/>
      <c r="I534" s="38"/>
      <c r="J534" s="38"/>
      <c r="K534" s="38"/>
    </row>
    <row r="535" spans="1:11">
      <c r="A535" s="38" t="s">
        <v>467</v>
      </c>
      <c r="B535" s="38"/>
      <c r="C535" s="38"/>
      <c r="D535" s="38"/>
      <c r="E535" s="38"/>
      <c r="F535" s="38"/>
      <c r="G535" s="38"/>
      <c r="H535" s="38"/>
      <c r="I535" s="38"/>
      <c r="J535" s="38"/>
      <c r="K535" s="38"/>
    </row>
    <row r="536" spans="1:11">
      <c r="A536" s="38" t="s">
        <v>470</v>
      </c>
      <c r="B536" s="38"/>
      <c r="C536" s="38"/>
      <c r="D536" s="38"/>
      <c r="E536" s="38"/>
      <c r="F536" s="38"/>
      <c r="G536" s="38"/>
      <c r="H536" s="38"/>
      <c r="I536" s="38"/>
      <c r="J536" s="38"/>
      <c r="K536" s="38"/>
    </row>
    <row r="537" spans="1:11">
      <c r="A537" s="38" t="s">
        <v>473</v>
      </c>
      <c r="B537" s="38"/>
      <c r="C537" s="38"/>
      <c r="D537" s="38"/>
      <c r="E537" s="38"/>
      <c r="F537" s="38"/>
      <c r="G537" s="38"/>
      <c r="H537" s="38"/>
      <c r="I537" s="38"/>
      <c r="J537" s="38"/>
      <c r="K537" s="38"/>
    </row>
    <row r="538" spans="1:11">
      <c r="A538" s="38" t="s">
        <v>476</v>
      </c>
      <c r="B538" s="38"/>
      <c r="C538" s="38"/>
      <c r="D538" s="38"/>
      <c r="E538" s="38"/>
      <c r="F538" s="38"/>
      <c r="G538" s="38"/>
      <c r="H538" s="38"/>
      <c r="I538" s="38"/>
      <c r="J538" s="38"/>
      <c r="K538" s="38"/>
    </row>
    <row r="539" spans="1:11">
      <c r="A539" s="38" t="s">
        <v>479</v>
      </c>
      <c r="B539" s="38"/>
      <c r="C539" s="38"/>
      <c r="D539" s="38"/>
      <c r="E539" s="38"/>
      <c r="F539" s="38"/>
      <c r="G539" s="38"/>
      <c r="H539" s="38"/>
      <c r="I539" s="38"/>
      <c r="J539" s="38"/>
      <c r="K539" s="38"/>
    </row>
    <row r="540" spans="1:11">
      <c r="A540" s="38" t="s">
        <v>482</v>
      </c>
      <c r="B540" s="38"/>
      <c r="C540" s="38"/>
      <c r="D540" s="38"/>
      <c r="E540" s="38"/>
      <c r="F540" s="38"/>
      <c r="G540" s="38"/>
      <c r="H540" s="38"/>
      <c r="I540" s="38"/>
      <c r="J540" s="38"/>
      <c r="K540" s="38"/>
    </row>
    <row r="541" spans="1:11">
      <c r="A541" s="38" t="s">
        <v>485</v>
      </c>
      <c r="B541" s="38"/>
      <c r="C541" s="38"/>
      <c r="D541" s="38"/>
      <c r="E541" s="38"/>
      <c r="F541" s="38"/>
      <c r="G541" s="38"/>
      <c r="H541" s="38"/>
      <c r="I541" s="38"/>
      <c r="J541" s="38"/>
      <c r="K541" s="38"/>
    </row>
    <row r="542" spans="1:11">
      <c r="A542" s="38" t="s">
        <v>488</v>
      </c>
      <c r="B542" s="38" t="s">
        <v>632</v>
      </c>
      <c r="C542" s="38" t="s">
        <v>633</v>
      </c>
      <c r="D542" s="38" t="s">
        <v>642</v>
      </c>
      <c r="E542" s="38" t="s">
        <v>643</v>
      </c>
      <c r="F542" s="38" t="s">
        <v>661</v>
      </c>
      <c r="G542" s="38"/>
      <c r="H542" s="38"/>
      <c r="I542" s="38"/>
      <c r="J542" s="38"/>
      <c r="K542" s="38"/>
    </row>
    <row r="543" spans="1:11">
      <c r="A543" s="38" t="s">
        <v>491</v>
      </c>
      <c r="B543" s="38" t="s">
        <v>632</v>
      </c>
      <c r="C543" s="38" t="s">
        <v>633</v>
      </c>
      <c r="D543" s="38" t="s">
        <v>642</v>
      </c>
      <c r="E543" s="38" t="s">
        <v>643</v>
      </c>
      <c r="F543" s="38" t="s">
        <v>661</v>
      </c>
      <c r="G543" s="38"/>
      <c r="H543" s="38"/>
      <c r="I543" s="38"/>
      <c r="J543" s="38"/>
      <c r="K543" s="38"/>
    </row>
    <row r="544" spans="1:11">
      <c r="A544" s="38" t="s">
        <v>494</v>
      </c>
      <c r="B544" s="38" t="s">
        <v>632</v>
      </c>
      <c r="C544" s="38" t="s">
        <v>633</v>
      </c>
      <c r="D544" s="38" t="s">
        <v>642</v>
      </c>
      <c r="E544" s="38" t="s">
        <v>643</v>
      </c>
      <c r="F544" s="38" t="s">
        <v>661</v>
      </c>
      <c r="G544" s="38"/>
      <c r="H544" s="38"/>
      <c r="I544" s="38"/>
      <c r="J544" s="38"/>
      <c r="K544" s="38"/>
    </row>
    <row r="545" spans="1:11">
      <c r="A545" s="38" t="s">
        <v>497</v>
      </c>
      <c r="B545" s="38" t="s">
        <v>632</v>
      </c>
      <c r="C545" s="38" t="s">
        <v>633</v>
      </c>
      <c r="D545" s="38" t="s">
        <v>642</v>
      </c>
      <c r="E545" s="38" t="s">
        <v>643</v>
      </c>
      <c r="F545" s="38" t="s">
        <v>661</v>
      </c>
      <c r="G545" s="38"/>
      <c r="H545" s="38"/>
      <c r="I545" s="38"/>
      <c r="J545" s="38"/>
      <c r="K545" s="38"/>
    </row>
    <row r="546" spans="1:11">
      <c r="A546" s="38" t="s">
        <v>500</v>
      </c>
      <c r="B546" s="38" t="s">
        <v>632</v>
      </c>
      <c r="C546" s="38" t="s">
        <v>670</v>
      </c>
      <c r="D546" s="38" t="s">
        <v>633</v>
      </c>
      <c r="E546" s="38" t="s">
        <v>642</v>
      </c>
      <c r="F546" s="38" t="s">
        <v>643</v>
      </c>
      <c r="G546" s="38" t="s">
        <v>661</v>
      </c>
      <c r="H546" s="38"/>
      <c r="I546" s="38"/>
      <c r="J546" s="38"/>
      <c r="K546" s="38"/>
    </row>
    <row r="547" spans="1:11">
      <c r="A547" s="38" t="s">
        <v>503</v>
      </c>
      <c r="B547" s="38" t="s">
        <v>632</v>
      </c>
      <c r="C547" s="38" t="s">
        <v>670</v>
      </c>
      <c r="D547" s="38" t="s">
        <v>633</v>
      </c>
      <c r="E547" s="38" t="s">
        <v>642</v>
      </c>
      <c r="F547" s="38" t="s">
        <v>643</v>
      </c>
      <c r="G547" s="38" t="s">
        <v>661</v>
      </c>
      <c r="H547" s="38"/>
      <c r="I547" s="38"/>
      <c r="J547" s="38"/>
      <c r="K547" s="38"/>
    </row>
    <row r="548" spans="1:11">
      <c r="A548" s="38" t="s">
        <v>506</v>
      </c>
      <c r="B548" s="38" t="s">
        <v>632</v>
      </c>
      <c r="C548" s="38" t="s">
        <v>670</v>
      </c>
      <c r="D548" s="38" t="s">
        <v>633</v>
      </c>
      <c r="E548" s="38" t="s">
        <v>642</v>
      </c>
      <c r="F548" s="38" t="s">
        <v>643</v>
      </c>
      <c r="G548" s="38" t="s">
        <v>661</v>
      </c>
      <c r="H548" s="38"/>
      <c r="I548" s="38"/>
      <c r="J548" s="38"/>
      <c r="K548" s="38"/>
    </row>
    <row r="549" spans="1:11">
      <c r="A549" s="38" t="s">
        <v>509</v>
      </c>
      <c r="B549" s="38" t="s">
        <v>632</v>
      </c>
      <c r="C549" s="38" t="s">
        <v>670</v>
      </c>
      <c r="D549" s="38" t="s">
        <v>633</v>
      </c>
      <c r="E549" s="38" t="s">
        <v>642</v>
      </c>
      <c r="F549" s="38" t="s">
        <v>643</v>
      </c>
      <c r="G549" s="38" t="s">
        <v>661</v>
      </c>
      <c r="H549" s="38"/>
      <c r="I549" s="38"/>
      <c r="J549" s="38"/>
      <c r="K549" s="38"/>
    </row>
    <row r="550" spans="1:11">
      <c r="A550" s="38" t="s">
        <v>512</v>
      </c>
      <c r="B550" s="38" t="s">
        <v>632</v>
      </c>
      <c r="C550" s="38" t="s">
        <v>670</v>
      </c>
      <c r="D550" s="38" t="s">
        <v>633</v>
      </c>
      <c r="E550" s="38" t="s">
        <v>642</v>
      </c>
      <c r="F550" s="38" t="s">
        <v>643</v>
      </c>
      <c r="G550" s="38" t="s">
        <v>661</v>
      </c>
      <c r="H550" s="38"/>
      <c r="I550" s="38"/>
      <c r="J550" s="38"/>
      <c r="K550" s="38"/>
    </row>
    <row r="551" spans="1:11">
      <c r="A551" s="38" t="s">
        <v>515</v>
      </c>
      <c r="B551" s="38" t="s">
        <v>632</v>
      </c>
      <c r="C551" s="38" t="s">
        <v>670</v>
      </c>
      <c r="D551" s="38" t="s">
        <v>633</v>
      </c>
      <c r="E551" s="38" t="s">
        <v>642</v>
      </c>
      <c r="F551" s="38" t="s">
        <v>643</v>
      </c>
      <c r="G551" s="38" t="s">
        <v>661</v>
      </c>
      <c r="H551" s="38"/>
      <c r="I551" s="38"/>
      <c r="J551" s="38"/>
      <c r="K551" s="38"/>
    </row>
    <row r="552" spans="1:11">
      <c r="A552" s="38" t="s">
        <v>518</v>
      </c>
      <c r="B552" s="38" t="s">
        <v>632</v>
      </c>
      <c r="C552" s="38" t="s">
        <v>670</v>
      </c>
      <c r="D552" s="38" t="s">
        <v>633</v>
      </c>
      <c r="E552" s="38" t="s">
        <v>642</v>
      </c>
      <c r="F552" s="38" t="s">
        <v>643</v>
      </c>
      <c r="G552" s="38" t="s">
        <v>661</v>
      </c>
      <c r="H552" s="38"/>
      <c r="I552" s="38"/>
      <c r="J552" s="38"/>
      <c r="K552" s="38"/>
    </row>
    <row r="553" spans="1:11">
      <c r="A553" s="38" t="s">
        <v>521</v>
      </c>
      <c r="B553" s="38" t="s">
        <v>632</v>
      </c>
      <c r="C553" s="38" t="s">
        <v>670</v>
      </c>
      <c r="D553" s="38" t="s">
        <v>633</v>
      </c>
      <c r="E553" s="38" t="s">
        <v>642</v>
      </c>
      <c r="F553" s="38" t="s">
        <v>643</v>
      </c>
      <c r="G553" s="38" t="s">
        <v>661</v>
      </c>
      <c r="H553" s="38"/>
      <c r="I553" s="38"/>
      <c r="J553" s="38"/>
      <c r="K553" s="38"/>
    </row>
    <row r="554" spans="1:11">
      <c r="A554" s="38" t="s">
        <v>524</v>
      </c>
      <c r="B554" s="38" t="s">
        <v>632</v>
      </c>
      <c r="C554" s="38" t="s">
        <v>670</v>
      </c>
      <c r="D554" s="38" t="s">
        <v>633</v>
      </c>
      <c r="E554" s="38" t="s">
        <v>642</v>
      </c>
      <c r="F554" s="38" t="s">
        <v>643</v>
      </c>
      <c r="G554" s="38" t="s">
        <v>661</v>
      </c>
      <c r="H554" s="38"/>
      <c r="I554" s="38"/>
      <c r="J554" s="38"/>
      <c r="K554" s="38"/>
    </row>
    <row r="555" spans="1:11">
      <c r="A555" s="38" t="s">
        <v>527</v>
      </c>
      <c r="B555" s="38" t="s">
        <v>632</v>
      </c>
      <c r="C555" s="38" t="s">
        <v>670</v>
      </c>
      <c r="D555" s="38" t="s">
        <v>633</v>
      </c>
      <c r="E555" s="38" t="s">
        <v>642</v>
      </c>
      <c r="F555" s="38" t="s">
        <v>643</v>
      </c>
      <c r="G555" s="38" t="s">
        <v>661</v>
      </c>
      <c r="H555" s="38"/>
      <c r="I555" s="38"/>
      <c r="J555" s="38"/>
      <c r="K555" s="38"/>
    </row>
    <row r="556" spans="1:11">
      <c r="A556" s="38" t="s">
        <v>530</v>
      </c>
      <c r="B556" s="38" t="s">
        <v>670</v>
      </c>
      <c r="C556" s="38" t="s">
        <v>633</v>
      </c>
      <c r="D556" s="38" t="s">
        <v>642</v>
      </c>
      <c r="E556" s="38" t="s">
        <v>643</v>
      </c>
      <c r="F556" s="38" t="s">
        <v>661</v>
      </c>
      <c r="G556" s="38"/>
      <c r="H556" s="38"/>
      <c r="I556" s="38"/>
      <c r="J556" s="38"/>
      <c r="K556" s="38"/>
    </row>
    <row r="557" spans="1:11">
      <c r="A557" s="38" t="s">
        <v>533</v>
      </c>
      <c r="B557" s="38" t="s">
        <v>670</v>
      </c>
      <c r="C557" s="38" t="s">
        <v>633</v>
      </c>
      <c r="D557" s="38" t="s">
        <v>642</v>
      </c>
      <c r="E557" s="38" t="s">
        <v>643</v>
      </c>
      <c r="F557" s="38" t="s">
        <v>661</v>
      </c>
      <c r="G557" s="38"/>
      <c r="H557" s="38"/>
      <c r="I557" s="38"/>
      <c r="J557" s="38"/>
      <c r="K557" s="38"/>
    </row>
    <row r="558" spans="1:11">
      <c r="A558" s="38" t="s">
        <v>536</v>
      </c>
      <c r="B558" s="38" t="s">
        <v>670</v>
      </c>
      <c r="C558" s="38" t="s">
        <v>633</v>
      </c>
      <c r="D558" s="38" t="s">
        <v>642</v>
      </c>
      <c r="E558" s="38" t="s">
        <v>643</v>
      </c>
      <c r="F558" s="38" t="s">
        <v>661</v>
      </c>
      <c r="G558" s="38"/>
      <c r="H558" s="38"/>
      <c r="I558" s="38"/>
      <c r="J558" s="38"/>
      <c r="K558" s="38"/>
    </row>
    <row r="559" spans="1:11">
      <c r="A559" s="38" t="s">
        <v>539</v>
      </c>
      <c r="B559" s="38" t="s">
        <v>670</v>
      </c>
      <c r="C559" s="38" t="s">
        <v>633</v>
      </c>
      <c r="D559" s="38" t="s">
        <v>642</v>
      </c>
      <c r="E559" s="38" t="s">
        <v>643</v>
      </c>
      <c r="F559" s="38" t="s">
        <v>661</v>
      </c>
      <c r="G559" s="38"/>
      <c r="H559" s="38"/>
      <c r="I559" s="38"/>
      <c r="J559" s="38"/>
      <c r="K559" s="38"/>
    </row>
    <row r="560" spans="1:11">
      <c r="A560" s="38" t="s">
        <v>542</v>
      </c>
      <c r="B560" s="38" t="s">
        <v>670</v>
      </c>
      <c r="C560" s="38" t="s">
        <v>633</v>
      </c>
      <c r="D560" s="38" t="s">
        <v>642</v>
      </c>
      <c r="E560" s="38" t="s">
        <v>643</v>
      </c>
      <c r="F560" s="38" t="s">
        <v>661</v>
      </c>
      <c r="G560" s="38"/>
      <c r="H560" s="38"/>
      <c r="I560" s="38"/>
      <c r="J560" s="38"/>
      <c r="K560" s="38"/>
    </row>
    <row r="561" spans="1:11">
      <c r="A561" s="38" t="s">
        <v>545</v>
      </c>
      <c r="B561" s="38" t="s">
        <v>670</v>
      </c>
      <c r="C561" s="38" t="s">
        <v>633</v>
      </c>
      <c r="D561" s="38" t="s">
        <v>642</v>
      </c>
      <c r="E561" s="38" t="s">
        <v>643</v>
      </c>
      <c r="F561" s="38" t="s">
        <v>661</v>
      </c>
      <c r="G561" s="38"/>
      <c r="H561" s="38"/>
      <c r="I561" s="38"/>
      <c r="J561" s="38"/>
      <c r="K561" s="38"/>
    </row>
    <row r="562" spans="1:11">
      <c r="A562" s="38" t="s">
        <v>548</v>
      </c>
      <c r="B562" s="38" t="s">
        <v>670</v>
      </c>
      <c r="C562" s="38" t="s">
        <v>633</v>
      </c>
      <c r="D562" s="38" t="s">
        <v>642</v>
      </c>
      <c r="E562" s="38" t="s">
        <v>643</v>
      </c>
      <c r="F562" s="38" t="s">
        <v>661</v>
      </c>
      <c r="G562" s="38"/>
      <c r="H562" s="38"/>
      <c r="I562" s="38"/>
      <c r="J562" s="38"/>
      <c r="K562" s="38"/>
    </row>
    <row r="563" spans="1:11">
      <c r="A563" s="38" t="s">
        <v>551</v>
      </c>
      <c r="B563" s="38" t="s">
        <v>670</v>
      </c>
      <c r="C563" s="38" t="s">
        <v>633</v>
      </c>
      <c r="D563" s="38" t="s">
        <v>642</v>
      </c>
      <c r="E563" s="38" t="s">
        <v>643</v>
      </c>
      <c r="F563" s="38" t="s">
        <v>661</v>
      </c>
      <c r="G563" s="38" t="s">
        <v>679</v>
      </c>
      <c r="H563" s="38"/>
      <c r="I563" s="38"/>
      <c r="J563" s="38"/>
      <c r="K563" s="38"/>
    </row>
    <row r="564" spans="1:11">
      <c r="A564" s="38" t="s">
        <v>554</v>
      </c>
      <c r="B564" s="38" t="s">
        <v>670</v>
      </c>
      <c r="C564" s="38" t="s">
        <v>633</v>
      </c>
      <c r="D564" s="38" t="s">
        <v>643</v>
      </c>
      <c r="E564" s="38" t="s">
        <v>661</v>
      </c>
      <c r="F564" s="38" t="s">
        <v>679</v>
      </c>
      <c r="G564" s="38"/>
      <c r="H564" s="38"/>
      <c r="I564" s="38"/>
      <c r="J564" s="38"/>
      <c r="K564" s="38"/>
    </row>
    <row r="565" spans="1:11">
      <c r="A565" s="38" t="s">
        <v>557</v>
      </c>
      <c r="B565" s="38" t="s">
        <v>670</v>
      </c>
      <c r="C565" s="38" t="s">
        <v>633</v>
      </c>
      <c r="D565" s="38" t="s">
        <v>643</v>
      </c>
      <c r="E565" s="38" t="s">
        <v>661</v>
      </c>
      <c r="F565" s="38" t="s">
        <v>679</v>
      </c>
      <c r="G565" s="38"/>
      <c r="H565" s="38"/>
      <c r="I565" s="38"/>
      <c r="J565" s="38"/>
      <c r="K565" s="38"/>
    </row>
    <row r="566" spans="1:11">
      <c r="A566" s="38" t="s">
        <v>560</v>
      </c>
      <c r="B566" s="38" t="s">
        <v>670</v>
      </c>
      <c r="C566" s="38" t="s">
        <v>633</v>
      </c>
      <c r="D566" s="38" t="s">
        <v>643</v>
      </c>
      <c r="E566" s="38" t="s">
        <v>661</v>
      </c>
      <c r="F566" s="38" t="s">
        <v>679</v>
      </c>
      <c r="G566" s="38"/>
      <c r="H566" s="38"/>
      <c r="I566" s="38"/>
      <c r="J566" s="38"/>
      <c r="K566" s="38"/>
    </row>
    <row r="567" spans="1:11">
      <c r="A567" s="38" t="s">
        <v>563</v>
      </c>
      <c r="B567" s="38" t="s">
        <v>670</v>
      </c>
      <c r="C567" s="38" t="s">
        <v>633</v>
      </c>
      <c r="D567" s="38" t="s">
        <v>643</v>
      </c>
      <c r="E567" s="38" t="s">
        <v>661</v>
      </c>
      <c r="F567" s="38" t="s">
        <v>679</v>
      </c>
      <c r="G567" s="38"/>
      <c r="H567" s="38"/>
      <c r="I567" s="38"/>
      <c r="J567" s="38"/>
      <c r="K567" s="38"/>
    </row>
    <row r="568" spans="1:11">
      <c r="A568" s="38" t="s">
        <v>566</v>
      </c>
      <c r="B568" s="38" t="s">
        <v>670</v>
      </c>
      <c r="C568" s="38" t="s">
        <v>633</v>
      </c>
      <c r="D568" s="38" t="s">
        <v>643</v>
      </c>
      <c r="E568" s="38" t="s">
        <v>661</v>
      </c>
      <c r="F568" s="38" t="s">
        <v>679</v>
      </c>
      <c r="G568" s="38"/>
      <c r="H568" s="38"/>
      <c r="I568" s="38"/>
      <c r="J568" s="38"/>
      <c r="K568" s="38"/>
    </row>
    <row r="569" spans="1:11">
      <c r="A569" s="38" t="s">
        <v>569</v>
      </c>
      <c r="B569" s="38" t="s">
        <v>670</v>
      </c>
      <c r="C569" s="38" t="s">
        <v>633</v>
      </c>
      <c r="D569" s="38" t="s">
        <v>643</v>
      </c>
      <c r="E569" s="38" t="s">
        <v>661</v>
      </c>
      <c r="F569" s="38" t="s">
        <v>679</v>
      </c>
      <c r="G569" s="38"/>
      <c r="H569" s="38"/>
      <c r="I569" s="38"/>
      <c r="J569" s="38"/>
      <c r="K569" s="38"/>
    </row>
    <row r="570" spans="1:11">
      <c r="A570" s="38" t="s">
        <v>572</v>
      </c>
      <c r="B570" s="38" t="s">
        <v>670</v>
      </c>
      <c r="C570" s="38" t="s">
        <v>633</v>
      </c>
      <c r="D570" s="38" t="s">
        <v>643</v>
      </c>
      <c r="E570" s="38" t="s">
        <v>661</v>
      </c>
      <c r="F570" s="38" t="s">
        <v>679</v>
      </c>
      <c r="G570" s="38" t="s">
        <v>696</v>
      </c>
      <c r="H570" s="38"/>
      <c r="I570" s="38"/>
      <c r="J570" s="38"/>
      <c r="K570" s="38"/>
    </row>
    <row r="571" spans="1:11">
      <c r="A571" s="38" t="s">
        <v>575</v>
      </c>
      <c r="B571" s="38" t="s">
        <v>670</v>
      </c>
      <c r="C571" s="38" t="s">
        <v>633</v>
      </c>
      <c r="D571" s="38" t="s">
        <v>643</v>
      </c>
      <c r="E571" s="38" t="s">
        <v>661</v>
      </c>
      <c r="F571" s="38" t="s">
        <v>679</v>
      </c>
      <c r="G571" s="38" t="s">
        <v>696</v>
      </c>
      <c r="H571" s="38"/>
      <c r="I571" s="38"/>
      <c r="J571" s="38"/>
      <c r="K571" s="38"/>
    </row>
    <row r="572" spans="1:11">
      <c r="A572" s="38" t="s">
        <v>578</v>
      </c>
      <c r="B572" s="38" t="s">
        <v>670</v>
      </c>
      <c r="C572" s="38" t="s">
        <v>633</v>
      </c>
      <c r="D572" s="38" t="s">
        <v>643</v>
      </c>
      <c r="E572" s="38" t="s">
        <v>661</v>
      </c>
      <c r="F572" s="38" t="s">
        <v>679</v>
      </c>
      <c r="G572" s="38" t="s">
        <v>696</v>
      </c>
      <c r="H572" s="38"/>
      <c r="I572" s="38"/>
      <c r="J572" s="38"/>
      <c r="K572" s="38"/>
    </row>
    <row r="573" spans="1:11">
      <c r="A573" s="38" t="s">
        <v>581</v>
      </c>
      <c r="B573" s="38" t="s">
        <v>670</v>
      </c>
      <c r="C573" s="38" t="s">
        <v>633</v>
      </c>
      <c r="D573" s="38" t="s">
        <v>643</v>
      </c>
      <c r="E573" s="38" t="s">
        <v>661</v>
      </c>
      <c r="F573" s="38" t="s">
        <v>679</v>
      </c>
      <c r="G573" s="38" t="s">
        <v>696</v>
      </c>
      <c r="H573" s="38"/>
      <c r="I573" s="38"/>
      <c r="J573" s="38"/>
      <c r="K573" s="38"/>
    </row>
    <row r="574" spans="1:11">
      <c r="A574" s="38" t="s">
        <v>584</v>
      </c>
      <c r="B574" s="38" t="s">
        <v>670</v>
      </c>
      <c r="C574" s="38" t="s">
        <v>633</v>
      </c>
      <c r="D574" s="38" t="s">
        <v>643</v>
      </c>
      <c r="E574" s="38" t="s">
        <v>661</v>
      </c>
      <c r="F574" s="38" t="s">
        <v>679</v>
      </c>
      <c r="G574" s="38" t="s">
        <v>696</v>
      </c>
      <c r="H574" s="38"/>
      <c r="I574" s="38"/>
      <c r="J574" s="38"/>
      <c r="K574" s="38"/>
    </row>
    <row r="575" spans="1:11">
      <c r="A575" s="38" t="s">
        <v>587</v>
      </c>
      <c r="B575" s="38" t="s">
        <v>670</v>
      </c>
      <c r="C575" s="38" t="s">
        <v>633</v>
      </c>
      <c r="D575" s="38" t="s">
        <v>643</v>
      </c>
      <c r="E575" s="38" t="s">
        <v>661</v>
      </c>
      <c r="F575" s="38" t="s">
        <v>679</v>
      </c>
      <c r="G575" s="38" t="s">
        <v>696</v>
      </c>
      <c r="H575" s="38"/>
      <c r="I575" s="38"/>
      <c r="J575" s="38"/>
      <c r="K575" s="38"/>
    </row>
    <row r="576" spans="1:11">
      <c r="A576" s="38" t="s">
        <v>590</v>
      </c>
      <c r="B576" s="38" t="s">
        <v>670</v>
      </c>
      <c r="C576" s="38" t="s">
        <v>633</v>
      </c>
      <c r="D576" s="38" t="s">
        <v>643</v>
      </c>
      <c r="E576" s="38" t="s">
        <v>661</v>
      </c>
      <c r="F576" s="38" t="s">
        <v>679</v>
      </c>
      <c r="G576" s="38" t="s">
        <v>696</v>
      </c>
      <c r="H576" s="38"/>
      <c r="I576" s="38"/>
      <c r="J576" s="38"/>
      <c r="K576" s="38"/>
    </row>
    <row r="577" spans="1:11">
      <c r="A577" s="38" t="s">
        <v>593</v>
      </c>
      <c r="B577" s="38" t="s">
        <v>670</v>
      </c>
      <c r="C577" s="38" t="s">
        <v>633</v>
      </c>
      <c r="D577" s="38" t="s">
        <v>643</v>
      </c>
      <c r="E577" s="38" t="s">
        <v>661</v>
      </c>
      <c r="F577" s="38" t="s">
        <v>679</v>
      </c>
      <c r="G577" s="38" t="s">
        <v>696</v>
      </c>
      <c r="H577" s="38"/>
      <c r="I577" s="38"/>
      <c r="J577" s="38"/>
      <c r="K577" s="38"/>
    </row>
    <row r="578" spans="1:11">
      <c r="A578" s="38" t="s">
        <v>596</v>
      </c>
      <c r="B578" s="38" t="s">
        <v>670</v>
      </c>
      <c r="C578" s="38" t="s">
        <v>643</v>
      </c>
      <c r="D578" s="38" t="s">
        <v>661</v>
      </c>
      <c r="E578" s="38" t="s">
        <v>679</v>
      </c>
      <c r="F578" s="38" t="s">
        <v>696</v>
      </c>
      <c r="G578" s="38"/>
      <c r="H578" s="38"/>
      <c r="I578" s="38"/>
      <c r="J578" s="38"/>
      <c r="K578" s="38"/>
    </row>
    <row r="579" spans="1:11">
      <c r="A579" s="38" t="s">
        <v>599</v>
      </c>
      <c r="B579" s="38" t="s">
        <v>670</v>
      </c>
      <c r="C579" s="38" t="s">
        <v>643</v>
      </c>
      <c r="D579" s="38" t="s">
        <v>661</v>
      </c>
      <c r="E579" s="38" t="s">
        <v>679</v>
      </c>
      <c r="F579" s="38" t="s">
        <v>696</v>
      </c>
      <c r="G579" s="38"/>
      <c r="H579" s="38"/>
      <c r="I579" s="38"/>
      <c r="J579" s="38"/>
      <c r="K579" s="38"/>
    </row>
    <row r="580" spans="1:11">
      <c r="A580" s="38" t="s">
        <v>602</v>
      </c>
      <c r="B580" s="38" t="s">
        <v>670</v>
      </c>
      <c r="C580" s="38" t="s">
        <v>643</v>
      </c>
      <c r="D580" s="38" t="s">
        <v>661</v>
      </c>
      <c r="E580" s="38" t="s">
        <v>679</v>
      </c>
      <c r="F580" s="38" t="s">
        <v>696</v>
      </c>
      <c r="G580" s="38"/>
      <c r="H580" s="38"/>
      <c r="I580" s="38"/>
      <c r="J580" s="38"/>
      <c r="K580" s="38"/>
    </row>
    <row r="581" spans="1:11">
      <c r="A581" s="38" t="s">
        <v>605</v>
      </c>
      <c r="B581" s="38" t="s">
        <v>670</v>
      </c>
      <c r="C581" s="38" t="s">
        <v>643</v>
      </c>
      <c r="D581" s="38" t="s">
        <v>661</v>
      </c>
      <c r="E581" s="38" t="s">
        <v>679</v>
      </c>
      <c r="F581" s="38" t="s">
        <v>696</v>
      </c>
      <c r="G581" s="38"/>
      <c r="H581" s="38"/>
      <c r="I581" s="38"/>
      <c r="J581" s="38"/>
      <c r="K581" s="38"/>
    </row>
    <row r="582" spans="1:11">
      <c r="A582" s="38" t="s">
        <v>608</v>
      </c>
      <c r="B582" s="38" t="s">
        <v>670</v>
      </c>
      <c r="C582" s="38" t="s">
        <v>643</v>
      </c>
      <c r="D582" s="38" t="s">
        <v>661</v>
      </c>
      <c r="E582" s="38" t="s">
        <v>679</v>
      </c>
      <c r="F582" s="38" t="s">
        <v>696</v>
      </c>
      <c r="G582" s="38"/>
      <c r="H582" s="38"/>
      <c r="I582" s="38"/>
      <c r="J582" s="38"/>
      <c r="K582" s="38"/>
    </row>
    <row r="583" spans="1:11">
      <c r="A583" s="38" t="s">
        <v>611</v>
      </c>
      <c r="B583" s="38" t="s">
        <v>670</v>
      </c>
      <c r="C583" s="38" t="s">
        <v>643</v>
      </c>
      <c r="D583" s="38" t="s">
        <v>661</v>
      </c>
      <c r="E583" s="38" t="s">
        <v>679</v>
      </c>
      <c r="F583" s="38" t="s">
        <v>696</v>
      </c>
      <c r="G583" s="38"/>
      <c r="H583" s="38"/>
      <c r="I583" s="38"/>
      <c r="J583" s="38"/>
      <c r="K583" s="38"/>
    </row>
    <row r="584" spans="1:11">
      <c r="A584" s="38" t="s">
        <v>614</v>
      </c>
      <c r="B584" s="38" t="s">
        <v>670</v>
      </c>
      <c r="C584" s="38" t="s">
        <v>643</v>
      </c>
      <c r="D584" s="38" t="s">
        <v>661</v>
      </c>
      <c r="E584" s="38" t="s">
        <v>679</v>
      </c>
      <c r="F584" s="38" t="s">
        <v>696</v>
      </c>
      <c r="G584" s="38"/>
      <c r="H584" s="38"/>
      <c r="I584" s="38"/>
      <c r="J584" s="38"/>
      <c r="K584" s="38"/>
    </row>
    <row r="585" spans="1:11">
      <c r="A585" s="38" t="s">
        <v>617</v>
      </c>
      <c r="B585" s="38" t="s">
        <v>670</v>
      </c>
      <c r="C585" s="38" t="s">
        <v>643</v>
      </c>
      <c r="D585" s="38" t="s">
        <v>661</v>
      </c>
      <c r="E585" s="38" t="s">
        <v>679</v>
      </c>
      <c r="F585" s="38" t="s">
        <v>696</v>
      </c>
      <c r="G585" s="38"/>
      <c r="H585" s="38"/>
      <c r="I585" s="38"/>
      <c r="J585" s="38"/>
      <c r="K585" s="38"/>
    </row>
    <row r="586" spans="1:11">
      <c r="A586" s="38" t="s">
        <v>620</v>
      </c>
      <c r="B586" s="38" t="s">
        <v>670</v>
      </c>
      <c r="C586" s="38" t="s">
        <v>643</v>
      </c>
      <c r="D586" s="38" t="s">
        <v>661</v>
      </c>
      <c r="E586" s="38" t="s">
        <v>679</v>
      </c>
      <c r="F586" s="38" t="s">
        <v>696</v>
      </c>
      <c r="G586" s="38"/>
      <c r="H586" s="38"/>
      <c r="I586" s="38"/>
      <c r="J586" s="38"/>
      <c r="K586" s="38"/>
    </row>
  </sheetData>
  <mergeCells count="27">
    <mergeCell ref="A1:L1"/>
    <mergeCell ref="B2:D2"/>
    <mergeCell ref="F2:H2"/>
    <mergeCell ref="J2:L2"/>
    <mergeCell ref="A3:L3"/>
    <mergeCell ref="A19:L19"/>
    <mergeCell ref="A21:D21"/>
    <mergeCell ref="A22:D22"/>
    <mergeCell ref="E21:H21"/>
    <mergeCell ref="E22:H22"/>
    <mergeCell ref="I21:L21"/>
    <mergeCell ref="I22:L22"/>
    <mergeCell ref="A23:D23"/>
    <mergeCell ref="A24:D24"/>
    <mergeCell ref="E23:H23"/>
    <mergeCell ref="E24:H24"/>
    <mergeCell ref="I23:L23"/>
    <mergeCell ref="I24:L24"/>
    <mergeCell ref="A27:L27"/>
    <mergeCell ref="A46:L46"/>
    <mergeCell ref="A48:I48"/>
    <mergeCell ref="A25:D25"/>
    <mergeCell ref="A26:D26"/>
    <mergeCell ref="E25:H25"/>
    <mergeCell ref="E26:H26"/>
    <mergeCell ref="I25:L25"/>
    <mergeCell ref="I26:L26"/>
  </mergeCells>
  <conditionalFormatting sqref="A50:I59">
    <cfRule type="expression" dxfId="2" priority="1">
      <formula>MOD(ROW(),2)=0</formula>
    </cfRule>
  </conditionalFormatting>
  <dataValidations count="1">
    <dataValidation type="list" sqref="B2" xr:uid="{00000000-0002-0000-0600-000000000000}">
      <formula1>$AA$2:$AA$258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G600"/>
  <sheetViews>
    <sheetView showGridLines="0" workbookViewId="0">
      <selection sqref="A1:N1"/>
    </sheetView>
  </sheetViews>
  <sheetFormatPr defaultRowHeight="13.8"/>
  <cols>
    <col min="1" max="1" width="25" customWidth="1"/>
    <col min="2" max="14" width="15" customWidth="1"/>
    <col min="24" max="25" width="2" customWidth="1"/>
    <col min="26" max="26" width="27" bestFit="1" customWidth="1"/>
    <col min="27" max="27" width="9.8984375" style="94" bestFit="1" customWidth="1"/>
    <col min="28" max="198" width="2" customWidth="1"/>
    <col min="199" max="202" width="8.8984375" bestFit="1" customWidth="1"/>
    <col min="203" max="204" width="9.8984375" bestFit="1" customWidth="1"/>
    <col min="205" max="211" width="8.8984375" bestFit="1" customWidth="1"/>
    <col min="212" max="212" width="9.8984375" bestFit="1" customWidth="1"/>
    <col min="213" max="218" width="8.8984375" bestFit="1" customWidth="1"/>
    <col min="219" max="220" width="9.8984375" bestFit="1" customWidth="1"/>
    <col min="221" max="227" width="8.8984375" bestFit="1" customWidth="1"/>
    <col min="228" max="228" width="9.8984375" bestFit="1" customWidth="1"/>
    <col min="229" max="233" width="8.8984375" bestFit="1" customWidth="1"/>
  </cols>
  <sheetData>
    <row r="1" spans="1:241" ht="30" customHeight="1">
      <c r="A1" s="135" t="s">
        <v>904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X1" s="50" t="s">
        <v>905</v>
      </c>
      <c r="Y1" s="50" t="s">
        <v>862</v>
      </c>
      <c r="Z1" s="50" t="s">
        <v>906</v>
      </c>
      <c r="AA1" s="93" t="s">
        <v>907</v>
      </c>
      <c r="AB1" s="50"/>
      <c r="AC1" s="50"/>
      <c r="AD1" s="50" t="s">
        <v>623</v>
      </c>
      <c r="AE1" s="50" t="s">
        <v>908</v>
      </c>
      <c r="AF1" s="50" t="s">
        <v>909</v>
      </c>
      <c r="AG1" s="50" t="s">
        <v>910</v>
      </c>
      <c r="AH1" s="50" t="s">
        <v>911</v>
      </c>
      <c r="AI1" s="50" t="s">
        <v>912</v>
      </c>
      <c r="AJ1" s="50" t="s">
        <v>913</v>
      </c>
      <c r="AK1" s="50" t="s">
        <v>914</v>
      </c>
      <c r="AL1" s="50" t="s">
        <v>915</v>
      </c>
      <c r="AM1" s="50" t="s">
        <v>916</v>
      </c>
      <c r="AN1" s="50" t="s">
        <v>917</v>
      </c>
      <c r="AO1" s="50" t="s">
        <v>918</v>
      </c>
      <c r="AP1" s="50" t="s">
        <v>919</v>
      </c>
      <c r="AQ1" s="50" t="s">
        <v>920</v>
      </c>
      <c r="AR1" s="50" t="s">
        <v>921</v>
      </c>
      <c r="AS1" s="50" t="s">
        <v>922</v>
      </c>
      <c r="AT1" s="50" t="s">
        <v>923</v>
      </c>
      <c r="AU1" s="50" t="s">
        <v>924</v>
      </c>
      <c r="AV1" s="50" t="s">
        <v>925</v>
      </c>
      <c r="AW1" s="50" t="s">
        <v>926</v>
      </c>
      <c r="AX1" s="50" t="s">
        <v>927</v>
      </c>
      <c r="AY1" s="50" t="s">
        <v>928</v>
      </c>
      <c r="AZ1" s="50" t="s">
        <v>929</v>
      </c>
      <c r="BA1" s="50" t="s">
        <v>930</v>
      </c>
      <c r="BB1" s="50" t="s">
        <v>931</v>
      </c>
      <c r="BC1" s="50" t="s">
        <v>932</v>
      </c>
      <c r="BD1" s="50" t="s">
        <v>933</v>
      </c>
      <c r="BE1" s="50" t="s">
        <v>934</v>
      </c>
      <c r="BF1" s="50" t="s">
        <v>935</v>
      </c>
      <c r="BG1" s="50" t="s">
        <v>936</v>
      </c>
      <c r="BH1" s="50" t="s">
        <v>937</v>
      </c>
      <c r="BI1" s="50" t="s">
        <v>938</v>
      </c>
      <c r="BJ1" s="50" t="s">
        <v>939</v>
      </c>
      <c r="BK1" s="50" t="s">
        <v>940</v>
      </c>
      <c r="BL1" s="50" t="s">
        <v>941</v>
      </c>
      <c r="BM1" s="50" t="s">
        <v>942</v>
      </c>
      <c r="BN1" s="50" t="s">
        <v>943</v>
      </c>
      <c r="BO1" s="50" t="s">
        <v>944</v>
      </c>
      <c r="BP1" s="50" t="s">
        <v>945</v>
      </c>
      <c r="BQ1" s="50" t="s">
        <v>946</v>
      </c>
      <c r="BR1" s="50" t="s">
        <v>947</v>
      </c>
      <c r="BS1" s="50" t="s">
        <v>948</v>
      </c>
      <c r="BT1" s="50" t="s">
        <v>949</v>
      </c>
      <c r="BU1" s="50" t="s">
        <v>950</v>
      </c>
      <c r="BV1" s="50" t="s">
        <v>951</v>
      </c>
      <c r="BW1" s="50" t="s">
        <v>952</v>
      </c>
      <c r="BX1" s="50" t="s">
        <v>953</v>
      </c>
      <c r="BY1" s="50" t="s">
        <v>954</v>
      </c>
      <c r="BZ1" s="50" t="s">
        <v>955</v>
      </c>
      <c r="CA1" s="50" t="s">
        <v>956</v>
      </c>
      <c r="CB1" s="50" t="s">
        <v>957</v>
      </c>
      <c r="CC1" s="50" t="s">
        <v>958</v>
      </c>
      <c r="CD1" s="50" t="s">
        <v>959</v>
      </c>
      <c r="CE1" s="50" t="s">
        <v>960</v>
      </c>
      <c r="CF1" s="50" t="s">
        <v>961</v>
      </c>
      <c r="CG1" s="50" t="s">
        <v>962</v>
      </c>
      <c r="CH1" s="50" t="s">
        <v>963</v>
      </c>
      <c r="CI1" s="50" t="s">
        <v>964</v>
      </c>
      <c r="CJ1" s="50" t="s">
        <v>965</v>
      </c>
      <c r="CK1" s="50" t="s">
        <v>966</v>
      </c>
      <c r="CL1" s="50" t="s">
        <v>967</v>
      </c>
      <c r="CM1" s="50" t="s">
        <v>968</v>
      </c>
      <c r="CN1" s="50" t="s">
        <v>969</v>
      </c>
      <c r="CO1" s="50" t="s">
        <v>970</v>
      </c>
      <c r="CP1" s="50" t="s">
        <v>971</v>
      </c>
      <c r="CQ1" s="50" t="s">
        <v>972</v>
      </c>
      <c r="CR1" s="50" t="s">
        <v>973</v>
      </c>
      <c r="CS1" s="50" t="s">
        <v>974</v>
      </c>
      <c r="CT1" s="50" t="s">
        <v>975</v>
      </c>
      <c r="CU1" s="50" t="s">
        <v>976</v>
      </c>
      <c r="CV1" s="50" t="s">
        <v>977</v>
      </c>
      <c r="CW1" s="50" t="s">
        <v>623</v>
      </c>
      <c r="CX1" s="50" t="s">
        <v>978</v>
      </c>
      <c r="CY1" s="50" t="s">
        <v>979</v>
      </c>
      <c r="CZ1" s="50" t="s">
        <v>980</v>
      </c>
      <c r="DA1" s="50" t="s">
        <v>981</v>
      </c>
      <c r="DB1" s="50" t="s">
        <v>982</v>
      </c>
      <c r="DC1" s="50" t="s">
        <v>983</v>
      </c>
      <c r="DD1" s="50" t="s">
        <v>984</v>
      </c>
      <c r="DE1" s="50" t="s">
        <v>985</v>
      </c>
      <c r="DF1" s="50" t="s">
        <v>986</v>
      </c>
      <c r="DG1" s="50" t="s">
        <v>987</v>
      </c>
      <c r="DH1" s="50" t="s">
        <v>988</v>
      </c>
      <c r="DI1" s="50" t="s">
        <v>989</v>
      </c>
      <c r="DJ1" s="50" t="s">
        <v>990</v>
      </c>
      <c r="DK1" s="50" t="s">
        <v>991</v>
      </c>
      <c r="DL1" s="50" t="s">
        <v>992</v>
      </c>
      <c r="DM1" s="50" t="s">
        <v>993</v>
      </c>
      <c r="DN1" s="50" t="s">
        <v>994</v>
      </c>
      <c r="DO1" s="50" t="s">
        <v>995</v>
      </c>
      <c r="DP1" s="50" t="s">
        <v>996</v>
      </c>
      <c r="DQ1" s="50" t="s">
        <v>997</v>
      </c>
      <c r="DR1" s="50" t="s">
        <v>998</v>
      </c>
      <c r="DS1" s="50" t="s">
        <v>999</v>
      </c>
      <c r="DT1" s="50" t="s">
        <v>1000</v>
      </c>
      <c r="DU1" s="50" t="s">
        <v>1001</v>
      </c>
      <c r="DV1" s="50" t="s">
        <v>1002</v>
      </c>
      <c r="DW1" s="50" t="s">
        <v>1003</v>
      </c>
      <c r="DX1" s="50" t="s">
        <v>1004</v>
      </c>
      <c r="DY1" s="50" t="s">
        <v>1005</v>
      </c>
      <c r="DZ1" s="50" t="s">
        <v>1006</v>
      </c>
      <c r="EA1" s="50" t="s">
        <v>1007</v>
      </c>
      <c r="EB1" s="50" t="s">
        <v>1008</v>
      </c>
      <c r="EC1" s="50" t="s">
        <v>1009</v>
      </c>
      <c r="ED1" s="50" t="s">
        <v>1010</v>
      </c>
      <c r="EE1" s="50" t="s">
        <v>1011</v>
      </c>
      <c r="EF1" s="50" t="s">
        <v>1012</v>
      </c>
      <c r="EG1" s="50" t="s">
        <v>1013</v>
      </c>
      <c r="EH1" s="50" t="s">
        <v>1014</v>
      </c>
      <c r="EI1" s="50" t="s">
        <v>1015</v>
      </c>
      <c r="EJ1" s="50" t="s">
        <v>1016</v>
      </c>
      <c r="EK1" s="50" t="s">
        <v>1017</v>
      </c>
      <c r="EL1" s="50" t="s">
        <v>1018</v>
      </c>
      <c r="EM1" s="50" t="s">
        <v>1019</v>
      </c>
      <c r="EN1" s="50" t="s">
        <v>1020</v>
      </c>
      <c r="EO1" s="50" t="s">
        <v>1021</v>
      </c>
      <c r="EP1" s="50" t="s">
        <v>1022</v>
      </c>
      <c r="EQ1" s="50" t="s">
        <v>1023</v>
      </c>
      <c r="ER1" s="50" t="s">
        <v>1024</v>
      </c>
      <c r="ES1" s="50" t="s">
        <v>1025</v>
      </c>
      <c r="ET1" s="50" t="s">
        <v>1026</v>
      </c>
      <c r="EU1" s="50" t="s">
        <v>1027</v>
      </c>
      <c r="EV1" s="50" t="s">
        <v>1028</v>
      </c>
      <c r="EW1" s="50" t="s">
        <v>1029</v>
      </c>
      <c r="EX1" s="50" t="s">
        <v>1030</v>
      </c>
      <c r="EY1" s="50" t="s">
        <v>1031</v>
      </c>
      <c r="EZ1" s="50" t="s">
        <v>1032</v>
      </c>
      <c r="FA1" s="50" t="s">
        <v>1033</v>
      </c>
      <c r="FB1" s="50" t="s">
        <v>1034</v>
      </c>
      <c r="FC1" s="50" t="s">
        <v>1035</v>
      </c>
      <c r="FD1" s="50" t="s">
        <v>1036</v>
      </c>
      <c r="FE1" s="50" t="s">
        <v>1037</v>
      </c>
      <c r="FF1" s="50" t="s">
        <v>1038</v>
      </c>
      <c r="FG1" s="50" t="s">
        <v>1039</v>
      </c>
      <c r="FH1" s="50" t="s">
        <v>1040</v>
      </c>
      <c r="FI1" s="50" t="s">
        <v>1041</v>
      </c>
      <c r="FJ1" s="50" t="s">
        <v>1042</v>
      </c>
      <c r="FK1" s="50" t="s">
        <v>1043</v>
      </c>
      <c r="FL1" s="50" t="s">
        <v>1044</v>
      </c>
      <c r="FM1" s="50" t="s">
        <v>1045</v>
      </c>
      <c r="FN1" s="50" t="s">
        <v>1046</v>
      </c>
      <c r="FO1" s="50" t="s">
        <v>1047</v>
      </c>
      <c r="FP1" s="50" t="s">
        <v>1048</v>
      </c>
      <c r="FQ1" s="50" t="s">
        <v>1049</v>
      </c>
      <c r="FR1" s="50" t="s">
        <v>1050</v>
      </c>
      <c r="FS1" s="50" t="s">
        <v>1051</v>
      </c>
      <c r="FT1" s="50" t="s">
        <v>1052</v>
      </c>
      <c r="FU1" s="50" t="s">
        <v>1053</v>
      </c>
      <c r="FV1" s="50" t="s">
        <v>1054</v>
      </c>
      <c r="FW1" s="50" t="s">
        <v>1055</v>
      </c>
      <c r="FX1" s="50" t="s">
        <v>1056</v>
      </c>
      <c r="FY1" s="50" t="s">
        <v>1057</v>
      </c>
      <c r="FZ1" s="50" t="s">
        <v>1058</v>
      </c>
      <c r="GA1" s="50" t="s">
        <v>1059</v>
      </c>
      <c r="GB1" s="50" t="s">
        <v>1060</v>
      </c>
      <c r="GC1" s="50" t="s">
        <v>1061</v>
      </c>
      <c r="GD1" s="50" t="s">
        <v>1062</v>
      </c>
      <c r="GE1" s="50" t="s">
        <v>1063</v>
      </c>
      <c r="GF1" s="50" t="s">
        <v>1064</v>
      </c>
      <c r="GG1" s="50" t="s">
        <v>1065</v>
      </c>
      <c r="GH1" s="50" t="s">
        <v>1066</v>
      </c>
      <c r="GI1" s="50" t="s">
        <v>1067</v>
      </c>
      <c r="GJ1" s="50" t="s">
        <v>1068</v>
      </c>
      <c r="GK1" s="50" t="s">
        <v>1069</v>
      </c>
      <c r="GL1" s="50" t="s">
        <v>1070</v>
      </c>
      <c r="GM1" s="50" t="s">
        <v>1071</v>
      </c>
      <c r="GN1" s="50" t="s">
        <v>623</v>
      </c>
      <c r="GO1" s="50" t="s">
        <v>1072</v>
      </c>
      <c r="GP1" s="50" t="s">
        <v>1073</v>
      </c>
      <c r="GQ1" t="s">
        <v>1074</v>
      </c>
      <c r="GR1" t="s">
        <v>1075</v>
      </c>
      <c r="GS1" t="s">
        <v>1076</v>
      </c>
      <c r="GT1" t="s">
        <v>1077</v>
      </c>
      <c r="GU1" t="s">
        <v>1078</v>
      </c>
      <c r="GV1" t="s">
        <v>1079</v>
      </c>
      <c r="GW1" t="s">
        <v>1080</v>
      </c>
      <c r="GX1" t="s">
        <v>1081</v>
      </c>
      <c r="GY1" t="s">
        <v>1082</v>
      </c>
      <c r="GZ1" t="s">
        <v>1083</v>
      </c>
      <c r="HA1" t="s">
        <v>1084</v>
      </c>
      <c r="HB1" t="s">
        <v>1085</v>
      </c>
      <c r="HC1" t="s">
        <v>1086</v>
      </c>
      <c r="HD1" t="s">
        <v>1087</v>
      </c>
      <c r="HE1" t="s">
        <v>1088</v>
      </c>
      <c r="HF1" t="s">
        <v>1089</v>
      </c>
      <c r="HG1" t="s">
        <v>1090</v>
      </c>
      <c r="HH1" t="s">
        <v>1091</v>
      </c>
      <c r="HI1" t="s">
        <v>1092</v>
      </c>
      <c r="HJ1" t="s">
        <v>1093</v>
      </c>
      <c r="HK1" t="s">
        <v>1094</v>
      </c>
      <c r="HL1" t="s">
        <v>1095</v>
      </c>
      <c r="HM1" t="s">
        <v>1096</v>
      </c>
      <c r="HN1" t="s">
        <v>1097</v>
      </c>
      <c r="HO1" t="s">
        <v>1098</v>
      </c>
      <c r="HP1" t="s">
        <v>1099</v>
      </c>
      <c r="HQ1" t="s">
        <v>1100</v>
      </c>
      <c r="HR1" t="s">
        <v>1101</v>
      </c>
      <c r="HS1" t="s">
        <v>1102</v>
      </c>
      <c r="HT1" t="s">
        <v>1103</v>
      </c>
      <c r="HU1" t="s">
        <v>1104</v>
      </c>
      <c r="HV1" t="s">
        <v>1105</v>
      </c>
      <c r="HW1" t="s">
        <v>1106</v>
      </c>
      <c r="HX1" t="s">
        <v>1107</v>
      </c>
      <c r="HY1" t="s">
        <v>1108</v>
      </c>
      <c r="HZ1" t="s">
        <v>1109</v>
      </c>
      <c r="IA1" t="s">
        <v>1110</v>
      </c>
      <c r="IB1" t="s">
        <v>1111</v>
      </c>
      <c r="IC1" t="s">
        <v>1112</v>
      </c>
      <c r="ID1" t="s">
        <v>1113</v>
      </c>
      <c r="IE1" t="s">
        <v>1114</v>
      </c>
      <c r="IF1" t="s">
        <v>1115</v>
      </c>
      <c r="IG1" t="s">
        <v>1116</v>
      </c>
    </row>
    <row r="2" spans="1:241">
      <c r="A2" s="64" t="s">
        <v>882</v>
      </c>
      <c r="B2" s="122" t="s">
        <v>816</v>
      </c>
      <c r="C2" s="123"/>
      <c r="D2" s="124"/>
      <c r="E2" s="118" t="s">
        <v>1117</v>
      </c>
      <c r="F2" s="119" t="s">
        <v>1118</v>
      </c>
      <c r="G2" s="125" t="s">
        <v>1118</v>
      </c>
      <c r="H2" s="126"/>
      <c r="I2" s="127" t="s">
        <v>1119</v>
      </c>
      <c r="J2" s="119"/>
      <c r="K2" s="120" t="s">
        <v>1120</v>
      </c>
      <c r="L2" s="120"/>
      <c r="M2" s="120"/>
      <c r="N2" s="120"/>
      <c r="X2" t="str">
        <f>INDEX(Personas!$A$2:$A$30,MATCH($B$2,Personas!$B$2:$B$30,0))</f>
        <v>P017</v>
      </c>
      <c r="Y2" t="str">
        <f>INDEX(Decisiones!$A$2:$A$259,MATCH($G$3,Decisiones!$B$2:$B$259,0))</f>
        <v>D20260924</v>
      </c>
      <c r="Z2" t="str">
        <f>Personas!B2</f>
        <v>Miguel Mancera Aguayo</v>
      </c>
      <c r="AA2" s="94">
        <f>Decisiones!B2</f>
        <v>36543</v>
      </c>
      <c r="AD2" t="s">
        <v>790</v>
      </c>
      <c r="CW2" t="s">
        <v>790</v>
      </c>
      <c r="GN2" t="s">
        <v>790</v>
      </c>
    </row>
    <row r="3" spans="1:241">
      <c r="A3" s="65"/>
      <c r="B3" s="65"/>
      <c r="C3" s="65"/>
      <c r="D3" s="65"/>
      <c r="E3" s="170" t="str">
        <f>IFERROR(IF(INDEX($FP$2:$IG$30,MATCH($X$2,$CW$2:$CW$30,0),COUNTIFS(Votaciones!$B$2:$B$346,$X$2,Votaciones!$A$2:$A$346,"&lt;"&amp;$Y$2,Votaciones!$E$2:$E$346,"Público")+1-1)=0,"— inicio —",TEXT(INDEX($FP$2:$IG$30,MATCH($X$2,$CW$2:$CW$30,0),COUNTIFS(Votaciones!$B$2:$B$346,$X$2,Votaciones!$A$2:$A$346,"&lt;"&amp;$Y$2,Votaciones!$E$2:$E$346,"Público")+1-1),"dd-mmm-yyyy")),"— inicio —")</f>
        <v>06-Aug-2026</v>
      </c>
      <c r="F3" s="128"/>
      <c r="G3" s="129">
        <v>46289</v>
      </c>
      <c r="H3" s="130"/>
      <c r="I3" s="170" t="str">
        <f>IFERROR(IF(INDEX($FP$2:$IG$30,MATCH($X$2,$CW$2:$CW$30,0),COUNTIFS(Votaciones!$B$2:$B$346,$X$2,Votaciones!$A$2:$A$346,"&lt;"&amp;$Y$2,Votaciones!$E$2:$E$346,"Público")+1+1)=0,"— final —",TEXT(INDEX($FP$2:$IG$30,MATCH($X$2,$CW$2:$CW$30,0),COUNTIFS(Votaciones!$B$2:$B$346,$X$2,Votaciones!$A$2:$A$346,"&lt;"&amp;$Y$2,Votaciones!$E$2:$E$346,"Público")+1+1),"dd-mmm-yyyy")),"— final —")</f>
        <v>— final —</v>
      </c>
      <c r="J3" s="128"/>
      <c r="K3" s="131" t="s">
        <v>1121</v>
      </c>
      <c r="L3" s="131"/>
      <c r="M3" s="131"/>
      <c r="N3" s="131"/>
      <c r="Y3">
        <f>$G$3</f>
        <v>46289</v>
      </c>
      <c r="Z3" t="str">
        <f>Personas!B3</f>
        <v>Ariel Buira Seira</v>
      </c>
      <c r="AA3" s="94">
        <f>Decisiones!B3</f>
        <v>36662</v>
      </c>
      <c r="AD3" t="s">
        <v>792</v>
      </c>
      <c r="CW3" t="s">
        <v>792</v>
      </c>
      <c r="GN3" t="s">
        <v>792</v>
      </c>
    </row>
    <row r="4" spans="1:241">
      <c r="A4" s="121" t="s">
        <v>1122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Z4" t="str">
        <f>Personas!B4</f>
        <v>Francisco Gil Díaz</v>
      </c>
      <c r="AA4" s="94">
        <f>Decisiones!B4</f>
        <v>36703</v>
      </c>
      <c r="AD4" t="s">
        <v>794</v>
      </c>
      <c r="CW4" t="s">
        <v>794</v>
      </c>
      <c r="GN4" t="s">
        <v>794</v>
      </c>
    </row>
    <row r="5" spans="1:241">
      <c r="S5">
        <v>36662</v>
      </c>
      <c r="Z5" t="str">
        <f>Personas!B5</f>
        <v>Guillermo Güémez García</v>
      </c>
      <c r="AA5" s="94">
        <f>Decisiones!B5</f>
        <v>36738</v>
      </c>
      <c r="AD5" t="s">
        <v>796</v>
      </c>
      <c r="CW5" t="s">
        <v>796</v>
      </c>
      <c r="GN5" t="s">
        <v>796</v>
      </c>
    </row>
    <row r="6" spans="1:241">
      <c r="Z6" t="str">
        <f>Personas!B6</f>
        <v>Jesús Marcos Yacamán</v>
      </c>
      <c r="AA6" s="94">
        <f>Decisiones!B6</f>
        <v>36816</v>
      </c>
      <c r="AD6" t="s">
        <v>798</v>
      </c>
      <c r="CW6" t="s">
        <v>798</v>
      </c>
      <c r="GN6" t="s">
        <v>798</v>
      </c>
    </row>
    <row r="7" spans="1:241">
      <c r="Z7" t="str">
        <f>Personas!B7</f>
        <v>José Julián Sidaoui Dib</v>
      </c>
      <c r="AA7" s="94">
        <f>Decisiones!B7</f>
        <v>36840</v>
      </c>
      <c r="AD7" t="s">
        <v>800</v>
      </c>
      <c r="CW7" t="s">
        <v>800</v>
      </c>
      <c r="GN7" t="s">
        <v>800</v>
      </c>
    </row>
    <row r="8" spans="1:241">
      <c r="Z8" t="str">
        <f>Personas!B8</f>
        <v>Everardo Elizondo Almaguer</v>
      </c>
      <c r="AA8" s="94">
        <f>Decisiones!B8</f>
        <v>36903</v>
      </c>
      <c r="AD8" t="s">
        <v>802</v>
      </c>
      <c r="CW8" t="s">
        <v>802</v>
      </c>
      <c r="GN8" t="s">
        <v>802</v>
      </c>
    </row>
    <row r="9" spans="1:241">
      <c r="Z9" t="str">
        <f>Personas!B9</f>
        <v>Guillermo Ortiz Martínez</v>
      </c>
      <c r="AA9" s="94">
        <f>Decisiones!B9</f>
        <v>37029</v>
      </c>
      <c r="AD9" t="s">
        <v>804</v>
      </c>
      <c r="CW9" t="s">
        <v>804</v>
      </c>
      <c r="GN9" t="s">
        <v>804</v>
      </c>
    </row>
    <row r="10" spans="1:241">
      <c r="Z10" t="str">
        <f>Personas!B10</f>
        <v>Roberto del Cueto Legaspi</v>
      </c>
      <c r="AA10" s="94">
        <f>Decisiones!B10</f>
        <v>37103</v>
      </c>
      <c r="AD10" t="s">
        <v>626</v>
      </c>
      <c r="CW10" t="s">
        <v>626</v>
      </c>
      <c r="CX10" t="s">
        <v>422</v>
      </c>
      <c r="CY10" t="s">
        <v>425</v>
      </c>
      <c r="CZ10" t="s">
        <v>428</v>
      </c>
      <c r="DA10" t="s">
        <v>431</v>
      </c>
      <c r="DB10" t="s">
        <v>434</v>
      </c>
      <c r="FP10">
        <v>43237</v>
      </c>
      <c r="FQ10">
        <v>43272</v>
      </c>
      <c r="FR10">
        <v>43314</v>
      </c>
      <c r="FS10">
        <v>43377</v>
      </c>
      <c r="FT10">
        <v>43419</v>
      </c>
      <c r="GN10" t="s">
        <v>626</v>
      </c>
      <c r="GO10">
        <v>43237</v>
      </c>
      <c r="GP10">
        <v>43419</v>
      </c>
    </row>
    <row r="11" spans="1:241">
      <c r="Z11" t="str">
        <f>Personas!B11</f>
        <v>Manuel Sánchez González</v>
      </c>
      <c r="AA11" s="94">
        <f>Decisiones!B11</f>
        <v>37295</v>
      </c>
      <c r="AD11" t="s">
        <v>807</v>
      </c>
      <c r="CW11" t="s">
        <v>807</v>
      </c>
      <c r="GN11" t="s">
        <v>807</v>
      </c>
    </row>
    <row r="12" spans="1:241">
      <c r="Z12" t="str">
        <f>Personas!B12</f>
        <v>Agustín Carstens Carstens</v>
      </c>
      <c r="AA12" s="94">
        <f>Decisiones!B12</f>
        <v>37358</v>
      </c>
      <c r="AD12" t="s">
        <v>809</v>
      </c>
      <c r="CW12" t="s">
        <v>809</v>
      </c>
      <c r="GN12" t="s">
        <v>809</v>
      </c>
    </row>
    <row r="13" spans="1:241">
      <c r="Z13" t="str">
        <f>Personas!B13</f>
        <v>Manuel Ramos Francia</v>
      </c>
      <c r="AA13" s="94">
        <f>Decisiones!B13</f>
        <v>37522</v>
      </c>
      <c r="AD13" t="s">
        <v>630</v>
      </c>
      <c r="AE13">
        <v>43377</v>
      </c>
      <c r="AS13">
        <v>7.75</v>
      </c>
      <c r="BG13">
        <v>0</v>
      </c>
      <c r="BU13" t="s">
        <v>15</v>
      </c>
      <c r="CI13" t="s">
        <v>722</v>
      </c>
      <c r="CW13" t="s">
        <v>630</v>
      </c>
      <c r="CX13" t="s">
        <v>422</v>
      </c>
      <c r="CY13" t="s">
        <v>425</v>
      </c>
      <c r="CZ13" t="s">
        <v>428</v>
      </c>
      <c r="DA13" t="s">
        <v>431</v>
      </c>
      <c r="DB13" t="s">
        <v>434</v>
      </c>
      <c r="DC13" t="s">
        <v>437</v>
      </c>
      <c r="FP13">
        <v>43237</v>
      </c>
      <c r="FQ13">
        <v>43272</v>
      </c>
      <c r="FR13">
        <v>43314</v>
      </c>
      <c r="FS13">
        <v>43377</v>
      </c>
      <c r="FT13">
        <v>43419</v>
      </c>
      <c r="FU13">
        <v>43454</v>
      </c>
      <c r="GN13" t="s">
        <v>630</v>
      </c>
      <c r="GO13">
        <v>43237</v>
      </c>
      <c r="GP13">
        <v>43454</v>
      </c>
    </row>
    <row r="14" spans="1:241">
      <c r="Z14" t="str">
        <f>Personas!B14</f>
        <v>Javier Eduardo Guzmán Calafell</v>
      </c>
      <c r="AA14" s="94">
        <f>Decisiones!B14</f>
        <v>37596</v>
      </c>
      <c r="AD14" t="s">
        <v>631</v>
      </c>
      <c r="AE14">
        <v>43692</v>
      </c>
      <c r="AF14">
        <v>43910</v>
      </c>
      <c r="AS14">
        <v>8</v>
      </c>
      <c r="AT14">
        <v>6.5</v>
      </c>
      <c r="BG14">
        <v>-25</v>
      </c>
      <c r="BH14">
        <v>-50</v>
      </c>
      <c r="BU14" t="s">
        <v>15</v>
      </c>
      <c r="BV14" t="s">
        <v>369</v>
      </c>
      <c r="CI14" t="s">
        <v>722</v>
      </c>
      <c r="CJ14" t="s">
        <v>722</v>
      </c>
      <c r="CW14" t="s">
        <v>631</v>
      </c>
      <c r="CX14" t="s">
        <v>422</v>
      </c>
      <c r="CY14" t="s">
        <v>425</v>
      </c>
      <c r="CZ14" t="s">
        <v>428</v>
      </c>
      <c r="DA14" t="s">
        <v>431</v>
      </c>
      <c r="DB14" t="s">
        <v>434</v>
      </c>
      <c r="DC14" t="s">
        <v>437</v>
      </c>
      <c r="DD14" t="s">
        <v>440</v>
      </c>
      <c r="DE14" t="s">
        <v>443</v>
      </c>
      <c r="DF14" t="s">
        <v>446</v>
      </c>
      <c r="DG14" t="s">
        <v>449</v>
      </c>
      <c r="DH14" t="s">
        <v>452</v>
      </c>
      <c r="DI14" t="s">
        <v>455</v>
      </c>
      <c r="DJ14" t="s">
        <v>458</v>
      </c>
      <c r="DK14" t="s">
        <v>461</v>
      </c>
      <c r="DL14" t="s">
        <v>464</v>
      </c>
      <c r="DM14" t="s">
        <v>467</v>
      </c>
      <c r="DN14" t="s">
        <v>470</v>
      </c>
      <c r="DO14" t="s">
        <v>473</v>
      </c>
      <c r="DP14" t="s">
        <v>476</v>
      </c>
      <c r="DQ14" t="s">
        <v>479</v>
      </c>
      <c r="DR14" t="s">
        <v>482</v>
      </c>
      <c r="DS14" t="s">
        <v>485</v>
      </c>
      <c r="DT14" t="s">
        <v>488</v>
      </c>
      <c r="FP14">
        <v>43237</v>
      </c>
      <c r="FQ14">
        <v>43272</v>
      </c>
      <c r="FR14">
        <v>43314</v>
      </c>
      <c r="FS14">
        <v>43377</v>
      </c>
      <c r="FT14">
        <v>43419</v>
      </c>
      <c r="FU14">
        <v>43454</v>
      </c>
      <c r="FV14">
        <v>43503</v>
      </c>
      <c r="FW14">
        <v>43552</v>
      </c>
      <c r="FX14">
        <v>43601</v>
      </c>
      <c r="FY14">
        <v>43643</v>
      </c>
      <c r="FZ14">
        <v>43692</v>
      </c>
      <c r="GA14">
        <v>43734</v>
      </c>
      <c r="GB14">
        <v>43783</v>
      </c>
      <c r="GC14">
        <v>43818</v>
      </c>
      <c r="GD14">
        <v>43874</v>
      </c>
      <c r="GE14">
        <v>43910</v>
      </c>
      <c r="GF14">
        <v>43942</v>
      </c>
      <c r="GG14">
        <v>43965</v>
      </c>
      <c r="GH14">
        <v>44007</v>
      </c>
      <c r="GI14">
        <v>44056</v>
      </c>
      <c r="GJ14">
        <v>44098</v>
      </c>
      <c r="GK14">
        <v>44147</v>
      </c>
      <c r="GL14">
        <v>44182</v>
      </c>
      <c r="GN14" t="s">
        <v>631</v>
      </c>
      <c r="GO14">
        <v>43237</v>
      </c>
      <c r="GP14">
        <v>44182</v>
      </c>
    </row>
    <row r="15" spans="1:241">
      <c r="Z15" t="str">
        <f>Personas!B15</f>
        <v>Alejandro Díaz de León Carrillo</v>
      </c>
      <c r="AA15" s="94">
        <f>Decisiones!B15</f>
        <v>37631</v>
      </c>
      <c r="AD15" t="s">
        <v>632</v>
      </c>
      <c r="CW15" t="s">
        <v>632</v>
      </c>
      <c r="CX15" t="s">
        <v>422</v>
      </c>
      <c r="CY15" t="s">
        <v>425</v>
      </c>
      <c r="CZ15" t="s">
        <v>428</v>
      </c>
      <c r="DA15" t="s">
        <v>431</v>
      </c>
      <c r="DB15" t="s">
        <v>434</v>
      </c>
      <c r="DC15" t="s">
        <v>437</v>
      </c>
      <c r="DD15" t="s">
        <v>440</v>
      </c>
      <c r="DE15" t="s">
        <v>443</v>
      </c>
      <c r="DF15" t="s">
        <v>446</v>
      </c>
      <c r="DG15" t="s">
        <v>449</v>
      </c>
      <c r="DH15" t="s">
        <v>452</v>
      </c>
      <c r="DI15" t="s">
        <v>455</v>
      </c>
      <c r="DJ15" t="s">
        <v>458</v>
      </c>
      <c r="DK15" t="s">
        <v>461</v>
      </c>
      <c r="DL15" t="s">
        <v>464</v>
      </c>
      <c r="DM15" t="s">
        <v>467</v>
      </c>
      <c r="DN15" t="s">
        <v>470</v>
      </c>
      <c r="DO15" t="s">
        <v>473</v>
      </c>
      <c r="DP15" t="s">
        <v>476</v>
      </c>
      <c r="DQ15" t="s">
        <v>479</v>
      </c>
      <c r="DR15" t="s">
        <v>482</v>
      </c>
      <c r="DS15" t="s">
        <v>485</v>
      </c>
      <c r="DT15" t="s">
        <v>488</v>
      </c>
      <c r="DU15" t="s">
        <v>491</v>
      </c>
      <c r="DV15" t="s">
        <v>494</v>
      </c>
      <c r="DW15" t="s">
        <v>497</v>
      </c>
      <c r="DX15" t="s">
        <v>500</v>
      </c>
      <c r="DY15" t="s">
        <v>503</v>
      </c>
      <c r="DZ15" t="s">
        <v>506</v>
      </c>
      <c r="EA15" t="s">
        <v>509</v>
      </c>
      <c r="EB15" t="s">
        <v>512</v>
      </c>
      <c r="FP15">
        <v>43237</v>
      </c>
      <c r="FQ15">
        <v>43272</v>
      </c>
      <c r="FR15">
        <v>43314</v>
      </c>
      <c r="FS15">
        <v>43377</v>
      </c>
      <c r="FT15">
        <v>43419</v>
      </c>
      <c r="FU15">
        <v>43454</v>
      </c>
      <c r="FV15">
        <v>43503</v>
      </c>
      <c r="FW15">
        <v>43552</v>
      </c>
      <c r="FX15">
        <v>43601</v>
      </c>
      <c r="FY15">
        <v>43643</v>
      </c>
      <c r="FZ15">
        <v>43692</v>
      </c>
      <c r="GA15">
        <v>43734</v>
      </c>
      <c r="GB15">
        <v>43783</v>
      </c>
      <c r="GC15">
        <v>43818</v>
      </c>
      <c r="GD15">
        <v>43874</v>
      </c>
      <c r="GE15">
        <v>43910</v>
      </c>
      <c r="GF15">
        <v>43942</v>
      </c>
      <c r="GG15">
        <v>43965</v>
      </c>
      <c r="GH15">
        <v>44007</v>
      </c>
      <c r="GI15">
        <v>44056</v>
      </c>
      <c r="GJ15">
        <v>44098</v>
      </c>
      <c r="GK15">
        <v>44147</v>
      </c>
      <c r="GL15">
        <v>44182</v>
      </c>
      <c r="GM15">
        <v>44238</v>
      </c>
      <c r="GN15" t="s">
        <v>632</v>
      </c>
      <c r="GO15">
        <v>43237</v>
      </c>
      <c r="GP15">
        <v>44546</v>
      </c>
      <c r="GQ15">
        <v>44420</v>
      </c>
      <c r="GR15">
        <v>44469</v>
      </c>
      <c r="GS15">
        <v>44511</v>
      </c>
      <c r="GT15">
        <v>44546</v>
      </c>
    </row>
    <row r="16" spans="1:241">
      <c r="Z16" t="str">
        <f>Personas!B16</f>
        <v>Irene Espinosa Cantellano</v>
      </c>
      <c r="AA16" s="94">
        <f>Decisiones!B16</f>
        <v>37645</v>
      </c>
      <c r="AD16" t="s">
        <v>633</v>
      </c>
      <c r="AE16">
        <v>43419</v>
      </c>
      <c r="AF16">
        <v>44056</v>
      </c>
      <c r="AG16">
        <v>44693</v>
      </c>
      <c r="AH16">
        <v>45372</v>
      </c>
      <c r="AI16">
        <v>45512</v>
      </c>
      <c r="AS16">
        <v>8</v>
      </c>
      <c r="AT16">
        <v>4.5</v>
      </c>
      <c r="AU16">
        <v>7</v>
      </c>
      <c r="AV16">
        <v>11</v>
      </c>
      <c r="AW16">
        <v>10.75</v>
      </c>
      <c r="BG16">
        <v>25</v>
      </c>
      <c r="BH16">
        <v>-50</v>
      </c>
      <c r="BI16">
        <v>50</v>
      </c>
      <c r="BJ16">
        <v>-25</v>
      </c>
      <c r="BK16">
        <v>-25</v>
      </c>
      <c r="BU16" t="s">
        <v>15</v>
      </c>
      <c r="BV16" t="s">
        <v>15</v>
      </c>
      <c r="BW16" t="s">
        <v>15</v>
      </c>
      <c r="BX16" t="s">
        <v>15</v>
      </c>
      <c r="BY16" t="s">
        <v>15</v>
      </c>
      <c r="CI16" t="s">
        <v>722</v>
      </c>
      <c r="CJ16" t="s">
        <v>722</v>
      </c>
      <c r="CK16" t="s">
        <v>722</v>
      </c>
      <c r="CL16" t="s">
        <v>722</v>
      </c>
      <c r="CM16" t="s">
        <v>722</v>
      </c>
      <c r="CW16" t="s">
        <v>633</v>
      </c>
      <c r="CX16" t="s">
        <v>422</v>
      </c>
      <c r="CY16" t="s">
        <v>425</v>
      </c>
      <c r="CZ16" t="s">
        <v>428</v>
      </c>
      <c r="DA16" t="s">
        <v>431</v>
      </c>
      <c r="DB16" t="s">
        <v>434</v>
      </c>
      <c r="DC16" t="s">
        <v>437</v>
      </c>
      <c r="DD16" t="s">
        <v>440</v>
      </c>
      <c r="DE16" t="s">
        <v>443</v>
      </c>
      <c r="DF16" t="s">
        <v>446</v>
      </c>
      <c r="DG16" t="s">
        <v>449</v>
      </c>
      <c r="DH16" t="s">
        <v>452</v>
      </c>
      <c r="DI16" t="s">
        <v>455</v>
      </c>
      <c r="DJ16" t="s">
        <v>458</v>
      </c>
      <c r="DK16" t="s">
        <v>461</v>
      </c>
      <c r="DL16" t="s">
        <v>464</v>
      </c>
      <c r="DM16" t="s">
        <v>467</v>
      </c>
      <c r="DN16" t="s">
        <v>470</v>
      </c>
      <c r="DO16" t="s">
        <v>473</v>
      </c>
      <c r="DP16" t="s">
        <v>476</v>
      </c>
      <c r="DQ16" t="s">
        <v>479</v>
      </c>
      <c r="DR16" t="s">
        <v>482</v>
      </c>
      <c r="DS16" t="s">
        <v>485</v>
      </c>
      <c r="DT16" t="s">
        <v>488</v>
      </c>
      <c r="DU16" t="s">
        <v>491</v>
      </c>
      <c r="DV16" t="s">
        <v>494</v>
      </c>
      <c r="DW16" t="s">
        <v>497</v>
      </c>
      <c r="DX16" t="s">
        <v>500</v>
      </c>
      <c r="DY16" t="s">
        <v>503</v>
      </c>
      <c r="DZ16" t="s">
        <v>506</v>
      </c>
      <c r="EA16" t="s">
        <v>509</v>
      </c>
      <c r="EB16" t="s">
        <v>512</v>
      </c>
      <c r="EC16" t="s">
        <v>515</v>
      </c>
      <c r="ED16" t="s">
        <v>518</v>
      </c>
      <c r="EE16" t="s">
        <v>521</v>
      </c>
      <c r="EF16" t="s">
        <v>524</v>
      </c>
      <c r="EG16" t="s">
        <v>527</v>
      </c>
      <c r="EH16" t="s">
        <v>530</v>
      </c>
      <c r="EI16" t="s">
        <v>533</v>
      </c>
      <c r="EJ16" t="s">
        <v>536</v>
      </c>
      <c r="EK16" t="s">
        <v>539</v>
      </c>
      <c r="EL16" t="s">
        <v>542</v>
      </c>
      <c r="EM16" t="s">
        <v>545</v>
      </c>
      <c r="EN16" t="s">
        <v>548</v>
      </c>
      <c r="EO16" t="s">
        <v>551</v>
      </c>
      <c r="EP16" t="s">
        <v>554</v>
      </c>
      <c r="EQ16" t="s">
        <v>557</v>
      </c>
      <c r="ER16" t="s">
        <v>560</v>
      </c>
      <c r="ES16" t="s">
        <v>563</v>
      </c>
      <c r="ET16" t="s">
        <v>566</v>
      </c>
      <c r="EU16" t="s">
        <v>569</v>
      </c>
      <c r="EV16" t="s">
        <v>572</v>
      </c>
      <c r="EW16" t="s">
        <v>575</v>
      </c>
      <c r="EX16" t="s">
        <v>578</v>
      </c>
      <c r="EY16" t="s">
        <v>581</v>
      </c>
      <c r="EZ16" t="s">
        <v>584</v>
      </c>
      <c r="FP16">
        <v>43237</v>
      </c>
      <c r="FQ16">
        <v>43272</v>
      </c>
      <c r="FR16">
        <v>43314</v>
      </c>
      <c r="FS16">
        <v>43377</v>
      </c>
      <c r="FT16">
        <v>43419</v>
      </c>
      <c r="FU16">
        <v>43454</v>
      </c>
      <c r="FV16">
        <v>43503</v>
      </c>
      <c r="FW16">
        <v>43552</v>
      </c>
      <c r="FX16">
        <v>43601</v>
      </c>
      <c r="FY16">
        <v>43643</v>
      </c>
      <c r="FZ16">
        <v>43692</v>
      </c>
      <c r="GA16">
        <v>43734</v>
      </c>
      <c r="GB16">
        <v>43783</v>
      </c>
      <c r="GC16">
        <v>43818</v>
      </c>
      <c r="GD16">
        <v>43874</v>
      </c>
      <c r="GE16">
        <v>43910</v>
      </c>
      <c r="GF16">
        <v>43942</v>
      </c>
      <c r="GG16">
        <v>43965</v>
      </c>
      <c r="GH16">
        <v>44007</v>
      </c>
      <c r="GI16">
        <v>44056</v>
      </c>
      <c r="GJ16">
        <v>44098</v>
      </c>
      <c r="GK16">
        <v>44147</v>
      </c>
      <c r="GL16">
        <v>44182</v>
      </c>
      <c r="GM16">
        <v>44238</v>
      </c>
      <c r="GN16" t="s">
        <v>633</v>
      </c>
      <c r="GO16">
        <v>43237</v>
      </c>
      <c r="GP16">
        <v>45645</v>
      </c>
      <c r="GQ16">
        <v>44420</v>
      </c>
      <c r="GR16">
        <v>44469</v>
      </c>
      <c r="GS16">
        <v>44511</v>
      </c>
      <c r="GT16">
        <v>44546</v>
      </c>
      <c r="GU16">
        <v>44602</v>
      </c>
      <c r="GV16">
        <v>44644</v>
      </c>
      <c r="GW16">
        <v>44693</v>
      </c>
      <c r="GX16">
        <v>44735</v>
      </c>
      <c r="GY16">
        <v>44784</v>
      </c>
      <c r="GZ16">
        <v>44833</v>
      </c>
      <c r="HA16">
        <v>44875</v>
      </c>
      <c r="HB16">
        <v>44910</v>
      </c>
      <c r="HC16">
        <v>44966</v>
      </c>
      <c r="HD16">
        <v>45015</v>
      </c>
      <c r="HE16">
        <v>45064</v>
      </c>
      <c r="HF16">
        <v>45099</v>
      </c>
      <c r="HG16">
        <v>45148</v>
      </c>
      <c r="HH16">
        <v>45197</v>
      </c>
      <c r="HI16">
        <v>45239</v>
      </c>
      <c r="HJ16">
        <v>45274</v>
      </c>
      <c r="HK16">
        <v>45330</v>
      </c>
      <c r="HL16">
        <v>45372</v>
      </c>
      <c r="HM16">
        <v>45421</v>
      </c>
      <c r="HN16">
        <v>45470</v>
      </c>
      <c r="HO16">
        <v>45512</v>
      </c>
      <c r="HP16">
        <v>45561</v>
      </c>
      <c r="HQ16">
        <v>45610</v>
      </c>
      <c r="HR16">
        <v>45645</v>
      </c>
    </row>
    <row r="17" spans="1:234">
      <c r="Z17" t="str">
        <f>Personas!B17</f>
        <v>Gerardo Esquivel Hernández</v>
      </c>
      <c r="AA17" s="94">
        <f>Decisiones!B17</f>
        <v>37659</v>
      </c>
      <c r="AD17" t="s">
        <v>642</v>
      </c>
      <c r="AE17">
        <v>43643</v>
      </c>
      <c r="AF17">
        <v>43734</v>
      </c>
      <c r="AG17">
        <v>43783</v>
      </c>
      <c r="AH17">
        <v>43818</v>
      </c>
      <c r="AI17">
        <v>44182</v>
      </c>
      <c r="AJ17">
        <v>44371</v>
      </c>
      <c r="AK17">
        <v>44420</v>
      </c>
      <c r="AL17">
        <v>44469</v>
      </c>
      <c r="AM17">
        <v>44511</v>
      </c>
      <c r="AN17">
        <v>44546</v>
      </c>
      <c r="AO17">
        <v>44602</v>
      </c>
      <c r="AP17">
        <v>44875</v>
      </c>
      <c r="AQ17">
        <v>44910</v>
      </c>
      <c r="AS17">
        <v>8.25</v>
      </c>
      <c r="AT17">
        <v>7.75</v>
      </c>
      <c r="AU17">
        <v>7.5</v>
      </c>
      <c r="AV17">
        <v>7.25</v>
      </c>
      <c r="AW17">
        <v>4.25</v>
      </c>
      <c r="AX17">
        <v>4.25</v>
      </c>
      <c r="AY17">
        <v>4.5</v>
      </c>
      <c r="AZ17">
        <v>4.75</v>
      </c>
      <c r="BA17">
        <v>5</v>
      </c>
      <c r="BB17">
        <v>5.5</v>
      </c>
      <c r="BC17">
        <v>6</v>
      </c>
      <c r="BD17">
        <v>10</v>
      </c>
      <c r="BE17">
        <v>10.5</v>
      </c>
      <c r="BG17">
        <v>0</v>
      </c>
      <c r="BH17">
        <v>-25</v>
      </c>
      <c r="BI17">
        <v>-25</v>
      </c>
      <c r="BJ17">
        <v>-25</v>
      </c>
      <c r="BK17">
        <v>0</v>
      </c>
      <c r="BL17">
        <v>25</v>
      </c>
      <c r="BM17">
        <v>25</v>
      </c>
      <c r="BN17">
        <v>25</v>
      </c>
      <c r="BO17">
        <v>25</v>
      </c>
      <c r="BP17">
        <v>50</v>
      </c>
      <c r="BQ17">
        <v>50</v>
      </c>
      <c r="BR17">
        <v>75</v>
      </c>
      <c r="BS17">
        <v>50</v>
      </c>
      <c r="BU17" t="s">
        <v>15</v>
      </c>
      <c r="BV17" t="s">
        <v>15</v>
      </c>
      <c r="BW17" t="s">
        <v>15</v>
      </c>
      <c r="BX17" t="s">
        <v>15</v>
      </c>
      <c r="BY17" t="s">
        <v>15</v>
      </c>
      <c r="BZ17" t="s">
        <v>15</v>
      </c>
      <c r="CA17" t="s">
        <v>15</v>
      </c>
      <c r="CB17" t="s">
        <v>15</v>
      </c>
      <c r="CC17" t="s">
        <v>15</v>
      </c>
      <c r="CD17" t="s">
        <v>15</v>
      </c>
      <c r="CE17" t="s">
        <v>15</v>
      </c>
      <c r="CF17" t="s">
        <v>15</v>
      </c>
      <c r="CG17" t="s">
        <v>15</v>
      </c>
      <c r="CI17" t="s">
        <v>730</v>
      </c>
      <c r="CJ17" t="s">
        <v>730</v>
      </c>
      <c r="CK17" t="s">
        <v>730</v>
      </c>
      <c r="CL17" t="s">
        <v>730</v>
      </c>
      <c r="CM17" t="s">
        <v>730</v>
      </c>
      <c r="CN17" t="s">
        <v>730</v>
      </c>
      <c r="CO17" t="s">
        <v>730</v>
      </c>
      <c r="CP17" t="s">
        <v>730</v>
      </c>
      <c r="CQ17" t="s">
        <v>730</v>
      </c>
      <c r="CR17" t="s">
        <v>730</v>
      </c>
      <c r="CS17" t="s">
        <v>730</v>
      </c>
      <c r="CT17" t="s">
        <v>730</v>
      </c>
      <c r="CU17" t="s">
        <v>730</v>
      </c>
      <c r="CW17" t="s">
        <v>642</v>
      </c>
      <c r="CX17" t="s">
        <v>440</v>
      </c>
      <c r="CY17" t="s">
        <v>443</v>
      </c>
      <c r="CZ17" t="s">
        <v>446</v>
      </c>
      <c r="DA17" t="s">
        <v>449</v>
      </c>
      <c r="DB17" t="s">
        <v>452</v>
      </c>
      <c r="DC17" t="s">
        <v>455</v>
      </c>
      <c r="DD17" t="s">
        <v>458</v>
      </c>
      <c r="DE17" t="s">
        <v>461</v>
      </c>
      <c r="DF17" t="s">
        <v>464</v>
      </c>
      <c r="DG17" t="s">
        <v>467</v>
      </c>
      <c r="DH17" t="s">
        <v>470</v>
      </c>
      <c r="DI17" t="s">
        <v>473</v>
      </c>
      <c r="DJ17" t="s">
        <v>476</v>
      </c>
      <c r="DK17" t="s">
        <v>479</v>
      </c>
      <c r="DL17" t="s">
        <v>482</v>
      </c>
      <c r="DM17" t="s">
        <v>485</v>
      </c>
      <c r="DN17" t="s">
        <v>488</v>
      </c>
      <c r="DO17" t="s">
        <v>491</v>
      </c>
      <c r="DP17" t="s">
        <v>494</v>
      </c>
      <c r="DQ17" t="s">
        <v>497</v>
      </c>
      <c r="DR17" t="s">
        <v>500</v>
      </c>
      <c r="DS17" t="s">
        <v>503</v>
      </c>
      <c r="DT17" t="s">
        <v>506</v>
      </c>
      <c r="DU17" t="s">
        <v>509</v>
      </c>
      <c r="DV17" t="s">
        <v>512</v>
      </c>
      <c r="DW17" t="s">
        <v>515</v>
      </c>
      <c r="DX17" t="s">
        <v>518</v>
      </c>
      <c r="DY17" t="s">
        <v>521</v>
      </c>
      <c r="DZ17" t="s">
        <v>524</v>
      </c>
      <c r="EA17" t="s">
        <v>527</v>
      </c>
      <c r="EB17" t="s">
        <v>530</v>
      </c>
      <c r="EC17" t="s">
        <v>533</v>
      </c>
      <c r="ED17" t="s">
        <v>536</v>
      </c>
      <c r="FP17">
        <v>43503</v>
      </c>
      <c r="FQ17">
        <v>43552</v>
      </c>
      <c r="FR17">
        <v>43601</v>
      </c>
      <c r="FS17">
        <v>43643</v>
      </c>
      <c r="FT17">
        <v>43692</v>
      </c>
      <c r="FU17">
        <v>43734</v>
      </c>
      <c r="FV17">
        <v>43783</v>
      </c>
      <c r="FW17">
        <v>43818</v>
      </c>
      <c r="FX17">
        <v>43874</v>
      </c>
      <c r="FY17">
        <v>43910</v>
      </c>
      <c r="FZ17">
        <v>43942</v>
      </c>
      <c r="GA17">
        <v>43965</v>
      </c>
      <c r="GB17">
        <v>44007</v>
      </c>
      <c r="GC17">
        <v>44056</v>
      </c>
      <c r="GD17">
        <v>44098</v>
      </c>
      <c r="GE17">
        <v>44147</v>
      </c>
      <c r="GF17">
        <v>44182</v>
      </c>
      <c r="GG17">
        <v>44238</v>
      </c>
      <c r="GH17">
        <v>44280</v>
      </c>
      <c r="GI17">
        <v>44329</v>
      </c>
      <c r="GJ17">
        <v>44371</v>
      </c>
      <c r="GK17">
        <v>44420</v>
      </c>
      <c r="GL17">
        <v>44469</v>
      </c>
      <c r="GM17">
        <v>44511</v>
      </c>
      <c r="GN17" t="s">
        <v>642</v>
      </c>
      <c r="GO17">
        <v>43503</v>
      </c>
      <c r="GP17">
        <v>44910</v>
      </c>
      <c r="GQ17">
        <v>44693</v>
      </c>
      <c r="GR17">
        <v>44735</v>
      </c>
      <c r="GS17">
        <v>44784</v>
      </c>
      <c r="GT17">
        <v>44833</v>
      </c>
      <c r="GU17">
        <v>44875</v>
      </c>
      <c r="GV17">
        <v>44910</v>
      </c>
    </row>
    <row r="18" spans="1:234" ht="16.05" customHeight="1">
      <c r="A18" s="67" t="s">
        <v>1123</v>
      </c>
      <c r="B18" s="68">
        <v>2008</v>
      </c>
      <c r="C18" s="68">
        <v>2010</v>
      </c>
      <c r="D18" s="68">
        <v>2012</v>
      </c>
      <c r="E18" s="68">
        <v>2014</v>
      </c>
      <c r="F18" s="68">
        <v>2016</v>
      </c>
      <c r="G18" s="68">
        <v>2018</v>
      </c>
      <c r="H18" s="68">
        <v>2020</v>
      </c>
      <c r="I18" s="68">
        <v>2022</v>
      </c>
      <c r="J18" s="68">
        <v>2024</v>
      </c>
      <c r="K18" s="68">
        <v>2026</v>
      </c>
      <c r="L18" s="68"/>
      <c r="M18" s="68"/>
      <c r="Z18" t="str">
        <f>Personas!B18</f>
        <v>Jonathan Heath Constable</v>
      </c>
      <c r="AA18" s="94">
        <f>Decisiones!B18</f>
        <v>37673</v>
      </c>
      <c r="AD18" t="s">
        <v>643</v>
      </c>
      <c r="AE18">
        <v>43734</v>
      </c>
      <c r="AF18">
        <v>43783</v>
      </c>
      <c r="AG18">
        <v>44147</v>
      </c>
      <c r="AH18">
        <v>44182</v>
      </c>
      <c r="AI18">
        <v>45512</v>
      </c>
      <c r="AJ18">
        <v>45561</v>
      </c>
      <c r="AK18">
        <v>45694</v>
      </c>
      <c r="AL18">
        <v>45834</v>
      </c>
      <c r="AM18">
        <v>45876</v>
      </c>
      <c r="AN18">
        <v>45925</v>
      </c>
      <c r="AO18">
        <v>45967</v>
      </c>
      <c r="AP18">
        <v>46009</v>
      </c>
      <c r="AQ18">
        <v>46107</v>
      </c>
      <c r="AR18">
        <v>46149</v>
      </c>
      <c r="AS18">
        <v>7.75</v>
      </c>
      <c r="AT18">
        <v>7.5</v>
      </c>
      <c r="AU18">
        <v>4.25</v>
      </c>
      <c r="AV18">
        <v>4.25</v>
      </c>
      <c r="AW18">
        <v>10.75</v>
      </c>
      <c r="AX18">
        <v>10.5</v>
      </c>
      <c r="AY18">
        <v>9.5</v>
      </c>
      <c r="AZ18">
        <v>8</v>
      </c>
      <c r="BA18">
        <v>7.75</v>
      </c>
      <c r="BB18">
        <v>7.5</v>
      </c>
      <c r="BC18">
        <v>7.25</v>
      </c>
      <c r="BD18">
        <v>7</v>
      </c>
      <c r="BE18">
        <v>6.75</v>
      </c>
      <c r="BF18">
        <v>6.5</v>
      </c>
      <c r="BG18">
        <v>-25</v>
      </c>
      <c r="BH18">
        <v>-25</v>
      </c>
      <c r="BI18">
        <v>0</v>
      </c>
      <c r="BJ18">
        <v>0</v>
      </c>
      <c r="BK18">
        <v>-25</v>
      </c>
      <c r="BL18">
        <v>-25</v>
      </c>
      <c r="BM18">
        <v>-50</v>
      </c>
      <c r="BN18">
        <v>-50</v>
      </c>
      <c r="BO18">
        <v>-25</v>
      </c>
      <c r="BP18">
        <v>-25</v>
      </c>
      <c r="BQ18">
        <v>-25</v>
      </c>
      <c r="BR18">
        <v>-25</v>
      </c>
      <c r="BS18">
        <v>-25</v>
      </c>
      <c r="BT18">
        <v>-25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730</v>
      </c>
      <c r="CJ18" t="s">
        <v>730</v>
      </c>
      <c r="CK18" t="s">
        <v>730</v>
      </c>
      <c r="CL18" t="s">
        <v>730</v>
      </c>
      <c r="CM18" t="s">
        <v>722</v>
      </c>
      <c r="CN18" t="s">
        <v>722</v>
      </c>
      <c r="CO18" t="s">
        <v>722</v>
      </c>
      <c r="CP18" t="s">
        <v>722</v>
      </c>
      <c r="CQ18" t="s">
        <v>722</v>
      </c>
      <c r="CR18" t="s">
        <v>722</v>
      </c>
      <c r="CS18" t="s">
        <v>722</v>
      </c>
      <c r="CT18" t="s">
        <v>722</v>
      </c>
      <c r="CU18" t="s">
        <v>722</v>
      </c>
      <c r="CV18" t="s">
        <v>722</v>
      </c>
      <c r="CW18" t="s">
        <v>643</v>
      </c>
      <c r="CX18" t="s">
        <v>440</v>
      </c>
      <c r="CY18" t="s">
        <v>443</v>
      </c>
      <c r="CZ18" t="s">
        <v>446</v>
      </c>
      <c r="DA18" t="s">
        <v>449</v>
      </c>
      <c r="DB18" t="s">
        <v>452</v>
      </c>
      <c r="DC18" t="s">
        <v>455</v>
      </c>
      <c r="DD18" t="s">
        <v>458</v>
      </c>
      <c r="DE18" t="s">
        <v>461</v>
      </c>
      <c r="DF18" t="s">
        <v>464</v>
      </c>
      <c r="DG18" t="s">
        <v>467</v>
      </c>
      <c r="DH18" t="s">
        <v>470</v>
      </c>
      <c r="DI18" t="s">
        <v>473</v>
      </c>
      <c r="DJ18" t="s">
        <v>476</v>
      </c>
      <c r="DK18" t="s">
        <v>479</v>
      </c>
      <c r="DL18" t="s">
        <v>482</v>
      </c>
      <c r="DM18" t="s">
        <v>485</v>
      </c>
      <c r="DN18" t="s">
        <v>488</v>
      </c>
      <c r="DO18" t="s">
        <v>491</v>
      </c>
      <c r="DP18" t="s">
        <v>494</v>
      </c>
      <c r="DQ18" t="s">
        <v>497</v>
      </c>
      <c r="DR18" t="s">
        <v>500</v>
      </c>
      <c r="DS18" t="s">
        <v>503</v>
      </c>
      <c r="DT18" t="s">
        <v>506</v>
      </c>
      <c r="DU18" t="s">
        <v>509</v>
      </c>
      <c r="DV18" t="s">
        <v>512</v>
      </c>
      <c r="DW18" t="s">
        <v>515</v>
      </c>
      <c r="DX18" t="s">
        <v>518</v>
      </c>
      <c r="DY18" t="s">
        <v>521</v>
      </c>
      <c r="DZ18" t="s">
        <v>524</v>
      </c>
      <c r="EA18" t="s">
        <v>527</v>
      </c>
      <c r="EB18" t="s">
        <v>530</v>
      </c>
      <c r="EC18" t="s">
        <v>533</v>
      </c>
      <c r="ED18" t="s">
        <v>536</v>
      </c>
      <c r="EE18" t="s">
        <v>539</v>
      </c>
      <c r="EF18" t="s">
        <v>542</v>
      </c>
      <c r="EG18" t="s">
        <v>545</v>
      </c>
      <c r="EH18" t="s">
        <v>548</v>
      </c>
      <c r="EI18" t="s">
        <v>551</v>
      </c>
      <c r="EJ18" t="s">
        <v>554</v>
      </c>
      <c r="EK18" t="s">
        <v>557</v>
      </c>
      <c r="EL18" t="s">
        <v>560</v>
      </c>
      <c r="EM18" t="s">
        <v>563</v>
      </c>
      <c r="EN18" t="s">
        <v>566</v>
      </c>
      <c r="EO18" t="s">
        <v>569</v>
      </c>
      <c r="EP18" t="s">
        <v>572</v>
      </c>
      <c r="EQ18" t="s">
        <v>575</v>
      </c>
      <c r="ER18" t="s">
        <v>578</v>
      </c>
      <c r="ES18" t="s">
        <v>581</v>
      </c>
      <c r="ET18" t="s">
        <v>584</v>
      </c>
      <c r="EU18" t="s">
        <v>587</v>
      </c>
      <c r="EV18" t="s">
        <v>590</v>
      </c>
      <c r="EW18" t="s">
        <v>593</v>
      </c>
      <c r="EX18" t="s">
        <v>596</v>
      </c>
      <c r="EY18" t="s">
        <v>599</v>
      </c>
      <c r="EZ18" t="s">
        <v>602</v>
      </c>
      <c r="FA18" t="s">
        <v>605</v>
      </c>
      <c r="FB18" t="s">
        <v>608</v>
      </c>
      <c r="FC18" t="s">
        <v>611</v>
      </c>
      <c r="FD18" t="s">
        <v>614</v>
      </c>
      <c r="FE18" t="s">
        <v>617</v>
      </c>
      <c r="FF18" t="s">
        <v>620</v>
      </c>
      <c r="FP18" s="94">
        <v>43503</v>
      </c>
      <c r="FQ18" s="94">
        <v>43552</v>
      </c>
      <c r="FR18" s="94">
        <v>43601</v>
      </c>
      <c r="FS18" s="94">
        <v>43643</v>
      </c>
      <c r="FT18" s="94">
        <v>43692</v>
      </c>
      <c r="FU18" s="94">
        <v>43734</v>
      </c>
      <c r="FV18" s="94">
        <v>43783</v>
      </c>
      <c r="FW18" s="94">
        <v>43818</v>
      </c>
      <c r="FX18" s="94">
        <v>43874</v>
      </c>
      <c r="FY18" s="94">
        <v>43910</v>
      </c>
      <c r="FZ18" s="94">
        <v>43942</v>
      </c>
      <c r="GA18" s="94">
        <v>43965</v>
      </c>
      <c r="GB18" s="94">
        <v>44007</v>
      </c>
      <c r="GC18" s="94">
        <v>44056</v>
      </c>
      <c r="GD18" s="94">
        <v>44098</v>
      </c>
      <c r="GE18" s="94">
        <v>44147</v>
      </c>
      <c r="GF18" s="94">
        <v>44182</v>
      </c>
      <c r="GG18" s="94">
        <v>44238</v>
      </c>
      <c r="GH18" s="94">
        <v>44280</v>
      </c>
      <c r="GI18" s="94">
        <v>44329</v>
      </c>
      <c r="GJ18" s="94">
        <v>44371</v>
      </c>
      <c r="GK18" s="94">
        <v>44420</v>
      </c>
      <c r="GL18" s="94">
        <v>44469</v>
      </c>
      <c r="GM18" s="94">
        <v>44511</v>
      </c>
      <c r="GN18" s="94" t="s">
        <v>643</v>
      </c>
      <c r="GO18" s="94">
        <v>43503</v>
      </c>
      <c r="GP18" s="94">
        <v>46198</v>
      </c>
      <c r="GQ18" s="94">
        <v>44693</v>
      </c>
      <c r="GR18" s="94">
        <v>44735</v>
      </c>
      <c r="GS18" s="94">
        <v>44784</v>
      </c>
      <c r="GT18" s="94">
        <v>44833</v>
      </c>
      <c r="GU18" s="94">
        <v>44875</v>
      </c>
      <c r="GV18" s="94">
        <v>44910</v>
      </c>
      <c r="GW18" s="94">
        <v>44966</v>
      </c>
      <c r="GX18" s="94">
        <v>45015</v>
      </c>
      <c r="GY18" s="94">
        <v>45064</v>
      </c>
      <c r="GZ18" s="94">
        <v>45099</v>
      </c>
      <c r="HA18" s="94">
        <v>45148</v>
      </c>
      <c r="HB18" s="94">
        <v>45197</v>
      </c>
      <c r="HC18" s="94">
        <v>45239</v>
      </c>
      <c r="HD18" s="94">
        <v>45274</v>
      </c>
      <c r="HE18" s="94">
        <v>45330</v>
      </c>
      <c r="HF18" s="94">
        <v>45372</v>
      </c>
      <c r="HG18" s="94">
        <v>45421</v>
      </c>
      <c r="HH18" s="94">
        <v>45470</v>
      </c>
      <c r="HI18" s="94">
        <v>45512</v>
      </c>
      <c r="HJ18" s="94">
        <v>45561</v>
      </c>
      <c r="HK18" s="94">
        <v>45610</v>
      </c>
      <c r="HL18" s="94">
        <v>45645</v>
      </c>
      <c r="HM18" s="94">
        <v>45694</v>
      </c>
      <c r="HN18" s="94">
        <v>45743</v>
      </c>
      <c r="HO18" s="94">
        <v>45792</v>
      </c>
      <c r="HP18" s="94">
        <v>45834</v>
      </c>
      <c r="HQ18" s="94">
        <v>45876</v>
      </c>
      <c r="HR18" s="94">
        <v>45925</v>
      </c>
      <c r="HS18" s="94">
        <v>45967</v>
      </c>
      <c r="HT18" s="94">
        <v>46009</v>
      </c>
      <c r="HU18" s="94">
        <v>46058</v>
      </c>
      <c r="HV18" s="94">
        <v>46107</v>
      </c>
      <c r="HW18" s="94">
        <v>46149</v>
      </c>
      <c r="HX18" s="94">
        <v>46198</v>
      </c>
      <c r="HY18" s="94">
        <v>46240</v>
      </c>
      <c r="HZ18" s="94">
        <v>46289</v>
      </c>
    </row>
    <row r="19" spans="1:234" ht="16.05" customHeight="1">
      <c r="B19" s="70" t="str">
        <f>IF(AND(2008&lt;=YEAR(INDEX($GP$2:$GP$30,MATCH($X$2,$GN$2:$GN$30,0))),2009&gt;=YEAR(INDEX($GO$2:$GO$30,MATCH($X$2,$GN$2:$GN$30,0)))),"●","")</f>
        <v/>
      </c>
      <c r="C19" s="70" t="str">
        <f>IF(AND(2010&lt;=YEAR(INDEX($GP$2:$GP$30,MATCH($X$2,$GN$2:$GN$30,0))),2011&gt;=YEAR(INDEX($GO$2:$GO$30,MATCH($X$2,$GN$2:$GN$30,0)))),"●","")</f>
        <v/>
      </c>
      <c r="D19" s="70" t="str">
        <f>IF(AND(2012&lt;=YEAR(INDEX($GP$2:$GP$30,MATCH($X$2,$GN$2:$GN$30,0))),2013&gt;=YEAR(INDEX($GO$2:$GO$30,MATCH($X$2,$GN$2:$GN$30,0)))),"●","")</f>
        <v/>
      </c>
      <c r="E19" s="70" t="str">
        <f>IF(AND(2014&lt;=YEAR(INDEX($GP$2:$GP$30,MATCH($X$2,$GN$2:$GN$30,0))),2015&gt;=YEAR(INDEX($GO$2:$GO$30,MATCH($X$2,$GN$2:$GN$30,0)))),"●","")</f>
        <v/>
      </c>
      <c r="F19" s="70" t="str">
        <f>IF(AND(2016&lt;=YEAR(INDEX($GP$2:$GP$30,MATCH($X$2,$GN$2:$GN$30,0))),2017&gt;=YEAR(INDEX($GO$2:$GO$30,MATCH($X$2,$GN$2:$GN$30,0)))),"●","")</f>
        <v/>
      </c>
      <c r="G19" s="70" t="str">
        <f>IF(AND(2018&lt;=YEAR(INDEX($GP$2:$GP$30,MATCH($X$2,$GN$2:$GN$30,0))),2019&gt;=YEAR(INDEX($GO$2:$GO$30,MATCH($X$2,$GN$2:$GN$30,0)))),"●","")</f>
        <v>●</v>
      </c>
      <c r="H19" s="70" t="str">
        <f>IF(AND(2020&lt;=YEAR(INDEX($GP$2:$GP$30,MATCH($X$2,$GN$2:$GN$30,0))),2021&gt;=YEAR(INDEX($GO$2:$GO$30,MATCH($X$2,$GN$2:$GN$30,0)))),"●","")</f>
        <v>●</v>
      </c>
      <c r="I19" s="70" t="str">
        <f>IF(AND(2022&lt;=YEAR(INDEX($GP$2:$GP$30,MATCH($X$2,$GN$2:$GN$30,0))),2023&gt;=YEAR(INDEX($GO$2:$GO$30,MATCH($X$2,$GN$2:$GN$30,0)))),"●","")</f>
        <v>●</v>
      </c>
      <c r="J19" s="70" t="str">
        <f>IF(AND(2024&lt;=YEAR(INDEX($GP$2:$GP$30,MATCH($X$2,$GN$2:$GN$30,0))),2025&gt;=YEAR(INDEX($GO$2:$GO$30,MATCH($X$2,$GN$2:$GN$30,0)))),"●","")</f>
        <v>●</v>
      </c>
      <c r="K19" s="70" t="str">
        <f>IF(AND(2026&lt;=YEAR(INDEX($GP$2:$GP$30,MATCH($X$2,$GN$2:$GN$30,0))),2027&gt;=YEAR(INDEX($GO$2:$GO$30,MATCH($X$2,$GN$2:$GN$30,0)))),"●","")</f>
        <v>●</v>
      </c>
      <c r="L19" s="70"/>
      <c r="M19" s="70"/>
      <c r="Z19" t="str">
        <f>Personas!B19</f>
        <v>Galia Borja Gómez</v>
      </c>
      <c r="AA19" s="94">
        <f>Decisiones!B19</f>
        <v>37708</v>
      </c>
      <c r="AD19" t="s">
        <v>661</v>
      </c>
      <c r="AE19">
        <v>44371</v>
      </c>
      <c r="AF19">
        <v>44420</v>
      </c>
      <c r="AG19">
        <v>46107</v>
      </c>
      <c r="AH19">
        <v>46149</v>
      </c>
      <c r="AS19">
        <v>4.25</v>
      </c>
      <c r="AT19">
        <v>4.5</v>
      </c>
      <c r="AU19">
        <v>6.75</v>
      </c>
      <c r="AV19">
        <v>6.5</v>
      </c>
      <c r="BG19">
        <v>25</v>
      </c>
      <c r="BH19">
        <v>25</v>
      </c>
      <c r="BI19">
        <v>-25</v>
      </c>
      <c r="BJ19">
        <v>-25</v>
      </c>
      <c r="BU19" t="s">
        <v>15</v>
      </c>
      <c r="BV19" t="s">
        <v>15</v>
      </c>
      <c r="BW19" t="s">
        <v>15</v>
      </c>
      <c r="BX19" t="s">
        <v>15</v>
      </c>
      <c r="CI19" t="s">
        <v>730</v>
      </c>
      <c r="CJ19" t="s">
        <v>730</v>
      </c>
      <c r="CK19" t="s">
        <v>722</v>
      </c>
      <c r="CL19" t="s">
        <v>722</v>
      </c>
      <c r="CW19" t="s">
        <v>661</v>
      </c>
      <c r="CX19" t="s">
        <v>491</v>
      </c>
      <c r="CY19" t="s">
        <v>494</v>
      </c>
      <c r="CZ19" t="s">
        <v>497</v>
      </c>
      <c r="DA19" t="s">
        <v>500</v>
      </c>
      <c r="DB19" t="s">
        <v>503</v>
      </c>
      <c r="DC19" t="s">
        <v>506</v>
      </c>
      <c r="DD19" t="s">
        <v>509</v>
      </c>
      <c r="DE19" t="s">
        <v>512</v>
      </c>
      <c r="DF19" t="s">
        <v>515</v>
      </c>
      <c r="DG19" t="s">
        <v>518</v>
      </c>
      <c r="DH19" t="s">
        <v>521</v>
      </c>
      <c r="DI19" t="s">
        <v>524</v>
      </c>
      <c r="DJ19" t="s">
        <v>527</v>
      </c>
      <c r="DK19" t="s">
        <v>530</v>
      </c>
      <c r="DL19" t="s">
        <v>533</v>
      </c>
      <c r="DM19" t="s">
        <v>536</v>
      </c>
      <c r="DN19" t="s">
        <v>539</v>
      </c>
      <c r="DO19" t="s">
        <v>542</v>
      </c>
      <c r="DP19" t="s">
        <v>545</v>
      </c>
      <c r="DQ19" t="s">
        <v>548</v>
      </c>
      <c r="DR19" t="s">
        <v>551</v>
      </c>
      <c r="DS19" t="s">
        <v>554</v>
      </c>
      <c r="DT19" t="s">
        <v>557</v>
      </c>
      <c r="DU19" t="s">
        <v>560</v>
      </c>
      <c r="DV19" t="s">
        <v>563</v>
      </c>
      <c r="DW19" t="s">
        <v>566</v>
      </c>
      <c r="DX19" t="s">
        <v>569</v>
      </c>
      <c r="DY19" t="s">
        <v>572</v>
      </c>
      <c r="DZ19" t="s">
        <v>575</v>
      </c>
      <c r="EA19" t="s">
        <v>578</v>
      </c>
      <c r="EB19" t="s">
        <v>581</v>
      </c>
      <c r="EC19" t="s">
        <v>584</v>
      </c>
      <c r="ED19" t="s">
        <v>587</v>
      </c>
      <c r="EE19" t="s">
        <v>590</v>
      </c>
      <c r="EF19" t="s">
        <v>593</v>
      </c>
      <c r="EG19" t="s">
        <v>596</v>
      </c>
      <c r="EH19" t="s">
        <v>599</v>
      </c>
      <c r="EI19" t="s">
        <v>602</v>
      </c>
      <c r="EJ19" t="s">
        <v>605</v>
      </c>
      <c r="EK19" t="s">
        <v>608</v>
      </c>
      <c r="EL19" t="s">
        <v>611</v>
      </c>
      <c r="EM19" t="s">
        <v>614</v>
      </c>
      <c r="EN19" t="s">
        <v>617</v>
      </c>
      <c r="EO19" t="s">
        <v>620</v>
      </c>
      <c r="FP19">
        <v>44238</v>
      </c>
      <c r="FQ19">
        <v>44280</v>
      </c>
      <c r="FR19">
        <v>44329</v>
      </c>
      <c r="FS19">
        <v>44371</v>
      </c>
      <c r="FT19">
        <v>44420</v>
      </c>
      <c r="FU19">
        <v>44469</v>
      </c>
      <c r="FV19">
        <v>44511</v>
      </c>
      <c r="FW19">
        <v>44546</v>
      </c>
      <c r="FX19">
        <v>44602</v>
      </c>
      <c r="FY19">
        <v>44644</v>
      </c>
      <c r="FZ19">
        <v>44693</v>
      </c>
      <c r="GA19">
        <v>44735</v>
      </c>
      <c r="GB19">
        <v>44784</v>
      </c>
      <c r="GC19">
        <v>44833</v>
      </c>
      <c r="GD19">
        <v>44875</v>
      </c>
      <c r="GE19">
        <v>44910</v>
      </c>
      <c r="GF19">
        <v>44966</v>
      </c>
      <c r="GG19">
        <v>45015</v>
      </c>
      <c r="GH19">
        <v>45064</v>
      </c>
      <c r="GI19">
        <v>45099</v>
      </c>
      <c r="GJ19">
        <v>45148</v>
      </c>
      <c r="GK19">
        <v>45197</v>
      </c>
      <c r="GL19">
        <v>45239</v>
      </c>
      <c r="GM19">
        <v>45274</v>
      </c>
      <c r="GN19" t="s">
        <v>661</v>
      </c>
      <c r="GO19">
        <v>44238</v>
      </c>
      <c r="GP19">
        <v>46198</v>
      </c>
      <c r="GQ19">
        <v>45470</v>
      </c>
      <c r="GR19">
        <v>45512</v>
      </c>
      <c r="GS19">
        <v>45561</v>
      </c>
      <c r="GT19">
        <v>45610</v>
      </c>
      <c r="GU19">
        <v>45645</v>
      </c>
      <c r="GV19">
        <v>45694</v>
      </c>
      <c r="GW19">
        <v>45743</v>
      </c>
      <c r="GX19">
        <v>45792</v>
      </c>
      <c r="GY19">
        <v>45834</v>
      </c>
      <c r="GZ19">
        <v>45876</v>
      </c>
      <c r="HA19">
        <v>45925</v>
      </c>
      <c r="HB19">
        <v>45967</v>
      </c>
      <c r="HC19">
        <v>46009</v>
      </c>
      <c r="HD19">
        <v>46058</v>
      </c>
      <c r="HE19">
        <v>46107</v>
      </c>
      <c r="HF19">
        <v>46149</v>
      </c>
      <c r="HG19">
        <v>46198</v>
      </c>
      <c r="HH19">
        <v>46240</v>
      </c>
      <c r="HI19" s="94">
        <v>46289</v>
      </c>
    </row>
    <row r="20" spans="1:234">
      <c r="Z20" t="str">
        <f>Personas!B20</f>
        <v>Victoria Rodríguez Ceja</v>
      </c>
      <c r="AA20" s="94">
        <f>Decisiones!B20</f>
        <v>37736</v>
      </c>
      <c r="AD20" t="s">
        <v>670</v>
      </c>
      <c r="CW20" t="s">
        <v>670</v>
      </c>
      <c r="CX20" t="s">
        <v>515</v>
      </c>
      <c r="CY20" t="s">
        <v>518</v>
      </c>
      <c r="CZ20" t="s">
        <v>521</v>
      </c>
      <c r="DA20" t="s">
        <v>524</v>
      </c>
      <c r="DB20" t="s">
        <v>527</v>
      </c>
      <c r="DC20" t="s">
        <v>530</v>
      </c>
      <c r="DD20" t="s">
        <v>533</v>
      </c>
      <c r="DE20" t="s">
        <v>536</v>
      </c>
      <c r="DF20" t="s">
        <v>539</v>
      </c>
      <c r="DG20" t="s">
        <v>542</v>
      </c>
      <c r="DH20" t="s">
        <v>545</v>
      </c>
      <c r="DI20" t="s">
        <v>548</v>
      </c>
      <c r="DJ20" t="s">
        <v>551</v>
      </c>
      <c r="DK20" t="s">
        <v>554</v>
      </c>
      <c r="DL20" t="s">
        <v>557</v>
      </c>
      <c r="DM20" t="s">
        <v>560</v>
      </c>
      <c r="DN20" t="s">
        <v>563</v>
      </c>
      <c r="DO20" t="s">
        <v>566</v>
      </c>
      <c r="DP20" t="s">
        <v>569</v>
      </c>
      <c r="DQ20" t="s">
        <v>572</v>
      </c>
      <c r="DR20" t="s">
        <v>575</v>
      </c>
      <c r="DS20" t="s">
        <v>578</v>
      </c>
      <c r="DT20" t="s">
        <v>581</v>
      </c>
      <c r="DU20" t="s">
        <v>584</v>
      </c>
      <c r="DV20" t="s">
        <v>587</v>
      </c>
      <c r="DW20" t="s">
        <v>590</v>
      </c>
      <c r="DX20" t="s">
        <v>593</v>
      </c>
      <c r="DY20" t="s">
        <v>596</v>
      </c>
      <c r="DZ20" t="s">
        <v>599</v>
      </c>
      <c r="EA20" t="s">
        <v>602</v>
      </c>
      <c r="EB20" t="s">
        <v>605</v>
      </c>
      <c r="EC20" t="s">
        <v>608</v>
      </c>
      <c r="ED20" t="s">
        <v>611</v>
      </c>
      <c r="EE20" t="s">
        <v>614</v>
      </c>
      <c r="EF20" t="s">
        <v>617</v>
      </c>
      <c r="EG20" t="s">
        <v>620</v>
      </c>
      <c r="FP20">
        <v>44602</v>
      </c>
      <c r="FQ20">
        <v>44644</v>
      </c>
      <c r="FR20">
        <v>44693</v>
      </c>
      <c r="FS20">
        <v>44735</v>
      </c>
      <c r="FT20">
        <v>44784</v>
      </c>
      <c r="FU20">
        <v>44833</v>
      </c>
      <c r="FV20">
        <v>44875</v>
      </c>
      <c r="FW20">
        <v>44910</v>
      </c>
      <c r="FX20">
        <v>44966</v>
      </c>
      <c r="FY20">
        <v>45015</v>
      </c>
      <c r="FZ20">
        <v>45064</v>
      </c>
      <c r="GA20">
        <v>45099</v>
      </c>
      <c r="GB20">
        <v>45148</v>
      </c>
      <c r="GC20">
        <v>45197</v>
      </c>
      <c r="GD20">
        <v>45239</v>
      </c>
      <c r="GE20">
        <v>45274</v>
      </c>
      <c r="GF20">
        <v>45330</v>
      </c>
      <c r="GG20">
        <v>45372</v>
      </c>
      <c r="GH20">
        <v>45421</v>
      </c>
      <c r="GI20">
        <v>45470</v>
      </c>
      <c r="GJ20">
        <v>45512</v>
      </c>
      <c r="GK20">
        <v>45561</v>
      </c>
      <c r="GL20">
        <v>45610</v>
      </c>
      <c r="GM20">
        <v>45645</v>
      </c>
      <c r="GN20" t="s">
        <v>670</v>
      </c>
      <c r="GO20">
        <v>44602</v>
      </c>
      <c r="GP20">
        <v>46198</v>
      </c>
      <c r="GQ20">
        <v>45834</v>
      </c>
      <c r="GR20">
        <v>45876</v>
      </c>
      <c r="GS20">
        <v>45925</v>
      </c>
      <c r="GT20">
        <v>45967</v>
      </c>
      <c r="GU20">
        <v>46009</v>
      </c>
      <c r="GV20">
        <v>46058</v>
      </c>
      <c r="GW20">
        <v>46107</v>
      </c>
      <c r="GX20">
        <v>46149</v>
      </c>
      <c r="GY20">
        <v>46198</v>
      </c>
      <c r="GZ20">
        <v>46240</v>
      </c>
      <c r="HA20" s="94">
        <v>46289</v>
      </c>
    </row>
    <row r="21" spans="1:234">
      <c r="Z21" t="str">
        <f>Personas!B21</f>
        <v>Omar Mejía Castelazo</v>
      </c>
      <c r="AA21" s="94">
        <f>Decisiones!B21</f>
        <v>37764</v>
      </c>
      <c r="AD21" t="s">
        <v>679</v>
      </c>
      <c r="AE21">
        <v>45470</v>
      </c>
      <c r="AS21">
        <v>11</v>
      </c>
      <c r="BG21">
        <v>0</v>
      </c>
      <c r="BU21" t="s">
        <v>15</v>
      </c>
      <c r="CI21" t="s">
        <v>730</v>
      </c>
      <c r="CW21" t="s">
        <v>679</v>
      </c>
      <c r="CX21" t="s">
        <v>539</v>
      </c>
      <c r="CY21" t="s">
        <v>542</v>
      </c>
      <c r="CZ21" t="s">
        <v>545</v>
      </c>
      <c r="DA21" t="s">
        <v>548</v>
      </c>
      <c r="DB21" t="s">
        <v>551</v>
      </c>
      <c r="DC21" t="s">
        <v>554</v>
      </c>
      <c r="DD21" t="s">
        <v>557</v>
      </c>
      <c r="DE21" t="s">
        <v>560</v>
      </c>
      <c r="DF21" t="s">
        <v>563</v>
      </c>
      <c r="DG21" t="s">
        <v>566</v>
      </c>
      <c r="DH21" t="s">
        <v>569</v>
      </c>
      <c r="DI21" t="s">
        <v>572</v>
      </c>
      <c r="DJ21" t="s">
        <v>575</v>
      </c>
      <c r="DK21" t="s">
        <v>578</v>
      </c>
      <c r="DL21" t="s">
        <v>581</v>
      </c>
      <c r="DM21" t="s">
        <v>584</v>
      </c>
      <c r="DN21" t="s">
        <v>587</v>
      </c>
      <c r="DO21" t="s">
        <v>590</v>
      </c>
      <c r="DP21" t="s">
        <v>593</v>
      </c>
      <c r="DQ21" t="s">
        <v>596</v>
      </c>
      <c r="DR21" t="s">
        <v>599</v>
      </c>
      <c r="DS21" t="s">
        <v>602</v>
      </c>
      <c r="DT21" t="s">
        <v>605</v>
      </c>
      <c r="DU21" t="s">
        <v>608</v>
      </c>
      <c r="DV21" t="s">
        <v>611</v>
      </c>
      <c r="DW21" t="s">
        <v>614</v>
      </c>
      <c r="DX21" t="s">
        <v>617</v>
      </c>
      <c r="DY21" t="s">
        <v>620</v>
      </c>
      <c r="FP21">
        <v>44966</v>
      </c>
      <c r="FQ21">
        <v>45015</v>
      </c>
      <c r="FR21">
        <v>45064</v>
      </c>
      <c r="FS21">
        <v>45099</v>
      </c>
      <c r="FT21">
        <v>45148</v>
      </c>
      <c r="FU21">
        <v>45197</v>
      </c>
      <c r="FV21">
        <v>45239</v>
      </c>
      <c r="FW21">
        <v>45274</v>
      </c>
      <c r="FX21">
        <v>45330</v>
      </c>
      <c r="FY21">
        <v>45372</v>
      </c>
      <c r="FZ21">
        <v>45421</v>
      </c>
      <c r="GA21">
        <v>45470</v>
      </c>
      <c r="GB21">
        <v>45512</v>
      </c>
      <c r="GC21">
        <v>45561</v>
      </c>
      <c r="GD21">
        <v>45610</v>
      </c>
      <c r="GE21">
        <v>45645</v>
      </c>
      <c r="GF21">
        <v>45694</v>
      </c>
      <c r="GG21">
        <v>45743</v>
      </c>
      <c r="GH21">
        <v>45792</v>
      </c>
      <c r="GI21">
        <v>45834</v>
      </c>
      <c r="GJ21">
        <v>45876</v>
      </c>
      <c r="GK21">
        <v>45925</v>
      </c>
      <c r="GL21">
        <v>45967</v>
      </c>
      <c r="GM21">
        <v>46009</v>
      </c>
      <c r="GN21" t="s">
        <v>679</v>
      </c>
      <c r="GO21">
        <v>44966</v>
      </c>
      <c r="GP21">
        <v>46198</v>
      </c>
      <c r="GQ21">
        <v>46198</v>
      </c>
      <c r="GR21">
        <v>46240</v>
      </c>
      <c r="GS21" s="94">
        <v>46289</v>
      </c>
    </row>
    <row r="22" spans="1:234">
      <c r="Z22" t="str">
        <f>Personas!B22</f>
        <v>José Gabriel Cuadra García</v>
      </c>
      <c r="AA22" s="94">
        <f>Decisiones!B22</f>
        <v>37799</v>
      </c>
      <c r="AD22" t="s">
        <v>696</v>
      </c>
      <c r="CW22" t="s">
        <v>696</v>
      </c>
      <c r="CX22" t="s">
        <v>587</v>
      </c>
      <c r="CY22" t="s">
        <v>590</v>
      </c>
      <c r="CZ22" t="s">
        <v>593</v>
      </c>
      <c r="DA22" t="s">
        <v>596</v>
      </c>
      <c r="DB22" t="s">
        <v>599</v>
      </c>
      <c r="DC22" t="s">
        <v>602</v>
      </c>
      <c r="DD22" t="s">
        <v>605</v>
      </c>
      <c r="DE22" t="s">
        <v>608</v>
      </c>
      <c r="DF22" t="s">
        <v>611</v>
      </c>
      <c r="DG22" t="s">
        <v>614</v>
      </c>
      <c r="DH22" t="s">
        <v>617</v>
      </c>
      <c r="DI22" t="s">
        <v>620</v>
      </c>
      <c r="FP22">
        <v>45694</v>
      </c>
      <c r="FQ22">
        <v>45743</v>
      </c>
      <c r="FR22">
        <v>45792</v>
      </c>
      <c r="FS22">
        <v>45834</v>
      </c>
      <c r="FT22">
        <v>45876</v>
      </c>
      <c r="FU22">
        <v>45925</v>
      </c>
      <c r="FV22">
        <v>45967</v>
      </c>
      <c r="FW22">
        <v>46009</v>
      </c>
      <c r="FX22">
        <v>46058</v>
      </c>
      <c r="FY22">
        <v>46107</v>
      </c>
      <c r="FZ22">
        <v>46149</v>
      </c>
      <c r="GA22">
        <v>46198</v>
      </c>
      <c r="GB22">
        <v>46240</v>
      </c>
      <c r="GC22" s="94">
        <v>46289</v>
      </c>
      <c r="GN22" t="s">
        <v>696</v>
      </c>
      <c r="GO22">
        <v>45694</v>
      </c>
      <c r="GP22">
        <v>46198</v>
      </c>
    </row>
    <row r="23" spans="1:234">
      <c r="Z23" t="str">
        <f>Personas!B23</f>
        <v>Eduardo Fernández García</v>
      </c>
      <c r="AA23" s="94">
        <f>Decisiones!B23</f>
        <v>37827</v>
      </c>
      <c r="AD23" t="s">
        <v>821</v>
      </c>
      <c r="CW23" t="s">
        <v>821</v>
      </c>
      <c r="GN23" t="s">
        <v>821</v>
      </c>
    </row>
    <row r="24" spans="1:234">
      <c r="Z24" t="str">
        <f>Personas!B24</f>
        <v>Carlos Ruiz Sacristán</v>
      </c>
      <c r="AA24" s="94">
        <f>Decisiones!B24</f>
        <v>37855</v>
      </c>
      <c r="AD24" t="s">
        <v>823</v>
      </c>
      <c r="CW24" t="s">
        <v>823</v>
      </c>
      <c r="GN24" t="s">
        <v>823</v>
      </c>
    </row>
    <row r="25" spans="1:234">
      <c r="Z25" t="str">
        <f>Personas!B25</f>
        <v>Alonso García Tamés</v>
      </c>
      <c r="AA25" s="94">
        <f>Decisiones!B25</f>
        <v>37890</v>
      </c>
      <c r="AD25" t="s">
        <v>825</v>
      </c>
      <c r="CW25" t="s">
        <v>825</v>
      </c>
      <c r="GN25" t="s">
        <v>825</v>
      </c>
    </row>
    <row r="26" spans="1:234">
      <c r="Z26" t="str">
        <f>Personas!B26</f>
        <v>Gerardo Rodríguez Regordosa</v>
      </c>
      <c r="AA26" s="94">
        <f>Decisiones!B26</f>
        <v>37918</v>
      </c>
      <c r="AD26" t="s">
        <v>827</v>
      </c>
      <c r="CW26" t="s">
        <v>827</v>
      </c>
      <c r="GN26" t="s">
        <v>827</v>
      </c>
    </row>
    <row r="27" spans="1:234">
      <c r="Z27" t="str">
        <f>Personas!B27</f>
        <v>José Antonio Meade Kuribreña</v>
      </c>
      <c r="AA27" s="94">
        <f>Decisiones!B27</f>
        <v>37946</v>
      </c>
      <c r="AD27" t="s">
        <v>829</v>
      </c>
      <c r="CW27" t="s">
        <v>829</v>
      </c>
      <c r="GN27" t="s">
        <v>829</v>
      </c>
    </row>
    <row r="28" spans="1:234">
      <c r="Z28" t="str">
        <f>Personas!B28</f>
        <v>Lorenza Martínez Trigueros</v>
      </c>
      <c r="AA28" s="94">
        <f>Decisiones!B28</f>
        <v>37966</v>
      </c>
      <c r="AD28" t="s">
        <v>831</v>
      </c>
      <c r="CW28" t="s">
        <v>831</v>
      </c>
      <c r="GN28" t="s">
        <v>831</v>
      </c>
    </row>
    <row r="29" spans="1:234">
      <c r="Z29" t="str">
        <f>Personas!B29</f>
        <v>Miguel Messmacher Linartas</v>
      </c>
      <c r="AA29" s="94">
        <f>Decisiones!B29</f>
        <v>38009</v>
      </c>
      <c r="AD29" t="s">
        <v>833</v>
      </c>
      <c r="CW29" t="s">
        <v>833</v>
      </c>
      <c r="GN29" t="s">
        <v>833</v>
      </c>
    </row>
    <row r="30" spans="1:234">
      <c r="Z30" t="str">
        <f>Personas!B30</f>
        <v>Luis Videgaray Caso</v>
      </c>
      <c r="AA30" s="94">
        <f>Decisiones!B30</f>
        <v>38037</v>
      </c>
      <c r="AD30" t="s">
        <v>835</v>
      </c>
      <c r="CW30" t="s">
        <v>835</v>
      </c>
      <c r="GN30" t="s">
        <v>835</v>
      </c>
    </row>
    <row r="31" spans="1:234">
      <c r="AA31" s="94">
        <f>Decisiones!B31</f>
        <v>38058</v>
      </c>
    </row>
    <row r="32" spans="1:234">
      <c r="AA32" s="94">
        <f>Decisiones!B32</f>
        <v>38072</v>
      </c>
    </row>
    <row r="33" spans="1:27">
      <c r="AA33" s="94">
        <f>Decisiones!B33</f>
        <v>38100</v>
      </c>
    </row>
    <row r="34" spans="1:27">
      <c r="A34" s="69" t="s">
        <v>1124</v>
      </c>
      <c r="B34" s="68">
        <f>ROUND(YEAR(INDEX($GO$2:$GO$30,MATCH($X$2,$GN$2:$GN$30,0)))+0*(YEAR(INDEX($GP$2:$GP$30,MATCH($X$2,$GN$2:$GN$30,0)))-YEAR(INDEX($GO$2:$GO$30,MATCH($X$2,$GN$2:$GN$30,0))))/9,0)</f>
        <v>2019</v>
      </c>
      <c r="C34" s="68" t="str">
        <f>""</f>
        <v/>
      </c>
      <c r="D34" s="68">
        <f>ROUND(YEAR(INDEX($GO$2:$GO$30,MATCH($X$2,$GN$2:$GN$30,0)))+2*(YEAR(INDEX($GP$2:$GP$30,MATCH($X$2,$GN$2:$GN$30,0)))-YEAR(INDEX($GO$2:$GO$30,MATCH($X$2,$GN$2:$GN$30,0))))/9,0)</f>
        <v>2021</v>
      </c>
      <c r="E34" s="68" t="str">
        <f>""</f>
        <v/>
      </c>
      <c r="F34" s="68">
        <f>ROUND(YEAR(INDEX($GO$2:$GO$30,MATCH($X$2,$GN$2:$GN$30,0)))+4*(YEAR(INDEX($GP$2:$GP$30,MATCH($X$2,$GN$2:$GN$30,0)))-YEAR(INDEX($GO$2:$GO$30,MATCH($X$2,$GN$2:$GN$30,0))))/9,0)</f>
        <v>2022</v>
      </c>
      <c r="G34" s="68" t="str">
        <f>""</f>
        <v/>
      </c>
      <c r="H34" s="68">
        <f>ROUND(YEAR(INDEX($GO$2:$GO$30,MATCH($X$2,$GN$2:$GN$30,0)))+6*(YEAR(INDEX($GP$2:$GP$30,MATCH($X$2,$GN$2:$GN$30,0)))-YEAR(INDEX($GO$2:$GO$30,MATCH($X$2,$GN$2:$GN$30,0))))/9,0)</f>
        <v>2024</v>
      </c>
      <c r="I34" s="68" t="str">
        <f>""</f>
        <v/>
      </c>
      <c r="J34" s="68">
        <f>ROUND(YEAR(INDEX($GO$2:$GO$30,MATCH($X$2,$GN$2:$GN$30,0)))+8*(YEAR(INDEX($GP$2:$GP$30,MATCH($X$2,$GN$2:$GN$30,0)))-YEAR(INDEX($GO$2:$GO$30,MATCH($X$2,$GN$2:$GN$30,0))))/9,0)</f>
        <v>2025</v>
      </c>
      <c r="K34" s="68" t="str">
        <f>""</f>
        <v/>
      </c>
      <c r="AA34" s="94">
        <f>Decisiones!B34</f>
        <v>38104</v>
      </c>
    </row>
    <row r="35" spans="1:27">
      <c r="A35" s="136" t="s">
        <v>1125</v>
      </c>
      <c r="B35" s="136"/>
      <c r="C35" s="136"/>
      <c r="D35" s="136"/>
      <c r="E35" s="136"/>
      <c r="F35" s="136"/>
      <c r="H35" s="136" t="s">
        <v>1126</v>
      </c>
      <c r="I35" s="136"/>
      <c r="J35" s="136"/>
      <c r="K35" s="136"/>
      <c r="L35" s="136"/>
      <c r="M35" s="136"/>
      <c r="N35" s="136"/>
      <c r="AA35" s="94">
        <f>Decisiones!B35</f>
        <v>38135</v>
      </c>
    </row>
    <row r="36" spans="1:27" ht="31.95" customHeight="1">
      <c r="A36" s="51" t="s">
        <v>871</v>
      </c>
      <c r="B36" s="51" t="s">
        <v>177</v>
      </c>
      <c r="C36" s="51" t="s">
        <v>874</v>
      </c>
      <c r="D36" s="51" t="s">
        <v>872</v>
      </c>
      <c r="E36" s="51" t="s">
        <v>1127</v>
      </c>
      <c r="H36" s="137" t="s">
        <v>1128</v>
      </c>
      <c r="I36" s="137"/>
      <c r="J36" s="137"/>
      <c r="L36" s="137" t="s">
        <v>1129</v>
      </c>
      <c r="M36" s="137"/>
      <c r="N36" s="137"/>
      <c r="AA36" s="94">
        <f>Decisiones!B36</f>
        <v>38163</v>
      </c>
    </row>
    <row r="37" spans="1:27">
      <c r="A37" s="52">
        <f>IFERROR(IF(INDEX($AE$2:$AR$30,MATCH($X$2,$AD$2:$AD$30,0),1)&lt;=$Y$3,INDEX($AE$2:$AR$30,MATCH($X$2,$AD$2:$AD$30,0),1),""),"")</f>
        <v>43734</v>
      </c>
      <c r="B37" s="53">
        <f>IF($A37="","",INDEX($AS$2:$BF$30,MATCH($X$2,$AD$2:$AD$30,0),1))</f>
        <v>7.75</v>
      </c>
      <c r="C37" s="54">
        <f>IF($A37="","",INDEX($BG$2:$BT$30,MATCH($X$2,$AD$2:$AD$30,0),1))</f>
        <v>-25</v>
      </c>
      <c r="D37" s="55" t="str">
        <f>IF($A37="","",INDEX($BU$2:$CH$30,MATCH($X$2,$AD$2:$AD$30,0),1))</f>
        <v>Ordinaria</v>
      </c>
      <c r="E37" s="55" t="str">
        <f>IF($A37="","",INDEX($CI$2:$CV$30,MATCH($X$2,$AD$2:$AD$30,0),1))</f>
        <v>Disenso acomodaticio</v>
      </c>
      <c r="H37" s="55" t="s">
        <v>885</v>
      </c>
      <c r="I37" s="169">
        <f>COUNTIFS(Votaciones!$B$2:$B$346,$X$2,Votaciones!$A$2:$A$346,"&lt;="&amp;$Y$2,Votaciones!$E$2:$E$346,"Público")</f>
        <v>63</v>
      </c>
      <c r="J37" s="134"/>
      <c r="K37" s="55"/>
      <c r="L37" s="55" t="s">
        <v>885</v>
      </c>
      <c r="M37" s="169">
        <f>COUNTIFS(Votaciones!$B$2:$B$346,$X$2,Votaciones!$A$2:$A$346,"&gt;="&amp;"D"&amp;TEXT(EDATE($Y$3,-12),"yyyymmdd"),Votaciones!$A$2:$A$346,"&lt;="&amp;$Y$2,Votaciones!$E$2:$E$346,"Público")</f>
        <v>9</v>
      </c>
      <c r="N37" s="134"/>
      <c r="AA37" s="94">
        <f>Decisiones!B37</f>
        <v>38191</v>
      </c>
    </row>
    <row r="38" spans="1:27">
      <c r="A38" s="56">
        <f>IFERROR(IF(INDEX($AE$2:$AR$30,MATCH($X$2,$AD$2:$AD$30,0),2)&lt;=$Y$3,INDEX($AE$2:$AR$30,MATCH($X$2,$AD$2:$AD$30,0),2),""),"")</f>
        <v>43783</v>
      </c>
      <c r="B38" s="57">
        <f>IF($A38="","",INDEX($AS$2:$BF$30,MATCH($X$2,$AD$2:$AD$30,0),2))</f>
        <v>7.5</v>
      </c>
      <c r="C38" s="58">
        <f>IF($A38="","",INDEX($BG$2:$BT$30,MATCH($X$2,$AD$2:$AD$30,0),2))</f>
        <v>-25</v>
      </c>
      <c r="D38" s="59" t="str">
        <f>IF($A38="","",INDEX($BU$2:$CH$30,MATCH($X$2,$AD$2:$AD$30,0),2))</f>
        <v>Ordinaria</v>
      </c>
      <c r="E38" s="59" t="str">
        <f>IF($A38="","",INDEX($CI$2:$CV$30,MATCH($X$2,$AD$2:$AD$30,0),2))</f>
        <v>Disenso acomodaticio</v>
      </c>
      <c r="H38" s="59" t="s">
        <v>893</v>
      </c>
      <c r="I38" s="167">
        <f>COUNTIFS(Votaciones!$B$2:$B$346,$X$2,Votaciones!$A$2:$A$346,"&lt;="&amp;$Y$2,Votaciones!$D$2:$D$346,"Disenso restrictivo")+COUNTIFS(Votaciones!$B$2:$B$346,$X$2,Votaciones!$A$2:$A$346,"&lt;="&amp;$Y$2,Votaciones!$D$2:$D$346,"Disenso acomodaticio")</f>
        <v>14</v>
      </c>
      <c r="J38" s="132"/>
      <c r="K38" s="59"/>
      <c r="L38" s="59" t="s">
        <v>893</v>
      </c>
      <c r="M38" s="167">
        <f>COUNTIFS(Votaciones!$B$2:$B$346,$X$2,Votaciones!$A$2:$A$346,"&gt;="&amp;"D"&amp;TEXT(EDATE($Y$3,-12),"yyyymmdd"),Votaciones!$A$2:$A$346,"&lt;="&amp;$Y$2,Votaciones!$D$2:$D$346,"Disenso restrictivo")+COUNTIFS(Votaciones!$B$2:$B$346,$X$2,Votaciones!$A$2:$A$346,"&gt;="&amp;"D"&amp;TEXT(EDATE($Y$3,-12),"yyyymmdd"),Votaciones!$A$2:$A$346,"&lt;="&amp;$Y$2,Votaciones!$D$2:$D$346,"Disenso acomodaticio")</f>
        <v>5</v>
      </c>
      <c r="N38" s="132"/>
      <c r="AA38" s="94">
        <f>Decisiones!B38</f>
        <v>38226</v>
      </c>
    </row>
    <row r="39" spans="1:27">
      <c r="A39" s="56">
        <f>IFERROR(IF(INDEX($AE$2:$AR$30,MATCH($X$2,$AD$2:$AD$30,0),3)&lt;=$Y$3,INDEX($AE$2:$AR$30,MATCH($X$2,$AD$2:$AD$30,0),3),""),"")</f>
        <v>44147</v>
      </c>
      <c r="B39" s="57">
        <f>IF($A39="","",INDEX($AS$2:$BF$30,MATCH($X$2,$AD$2:$AD$30,0),3))</f>
        <v>4.25</v>
      </c>
      <c r="C39" s="58">
        <f>IF($A39="","",INDEX($BG$2:$BT$30,MATCH($X$2,$AD$2:$AD$30,0),3))</f>
        <v>0</v>
      </c>
      <c r="D39" s="59" t="str">
        <f>IF($A39="","",INDEX($BU$2:$CH$30,MATCH($X$2,$AD$2:$AD$30,0),3))</f>
        <v>Ordinaria</v>
      </c>
      <c r="E39" s="59" t="str">
        <f>IF($A39="","",INDEX($CI$2:$CV$30,MATCH($X$2,$AD$2:$AD$30,0),3))</f>
        <v>Disenso acomodaticio</v>
      </c>
      <c r="H39" s="59" t="s">
        <v>1130</v>
      </c>
      <c r="I39" s="167">
        <f>COUNTIFS(Votaciones!$B$2:$B$346,$X$2,Votaciones!$A$2:$A$346,"&lt;="&amp;$Y$2,Votaciones!$D$2:$D$346,"Disenso restrictivo")</f>
        <v>10</v>
      </c>
      <c r="J39" s="132"/>
      <c r="K39" s="59"/>
      <c r="L39" s="59" t="s">
        <v>1130</v>
      </c>
      <c r="M39" s="167">
        <f>COUNTIFS(Votaciones!$B$2:$B$346,$X$2,Votaciones!$A$2:$A$346,"&gt;="&amp;"D"&amp;TEXT(EDATE($Y$3,-12),"yyyymmdd"),Votaciones!$A$2:$A$346,"&lt;="&amp;$Y$2,Votaciones!$D$2:$D$346,"Disenso restrictivo")</f>
        <v>5</v>
      </c>
      <c r="N39" s="132"/>
      <c r="AA39" s="94">
        <f>Decisiones!B39</f>
        <v>38254</v>
      </c>
    </row>
    <row r="40" spans="1:27">
      <c r="A40" s="56">
        <f>IFERROR(IF(INDEX($AE$2:$AR$30,MATCH($X$2,$AD$2:$AD$30,0),4)&lt;=$Y$3,INDEX($AE$2:$AR$30,MATCH($X$2,$AD$2:$AD$30,0),4),""),"")</f>
        <v>44182</v>
      </c>
      <c r="B40" s="57">
        <f>IF($A40="","",INDEX($AS$2:$BF$30,MATCH($X$2,$AD$2:$AD$30,0),4))</f>
        <v>4.25</v>
      </c>
      <c r="C40" s="58">
        <f>IF($A40="","",INDEX($BG$2:$BT$30,MATCH($X$2,$AD$2:$AD$30,0),4))</f>
        <v>0</v>
      </c>
      <c r="D40" s="59" t="str">
        <f>IF($A40="","",INDEX($BU$2:$CH$30,MATCH($X$2,$AD$2:$AD$30,0),4))</f>
        <v>Ordinaria</v>
      </c>
      <c r="E40" s="59" t="str">
        <f>IF($A40="","",INDEX($CI$2:$CV$30,MATCH($X$2,$AD$2:$AD$30,0),4))</f>
        <v>Disenso acomodaticio</v>
      </c>
      <c r="H40" s="59" t="s">
        <v>1131</v>
      </c>
      <c r="I40" s="167">
        <f>COUNTIFS(Votaciones!$B$2:$B$346,$X$2,Votaciones!$A$2:$A$346,"&lt;="&amp;$Y$2,Votaciones!$D$2:$D$346,"Disenso acomodaticio")</f>
        <v>4</v>
      </c>
      <c r="J40" s="132"/>
      <c r="K40" s="59"/>
      <c r="L40" s="59" t="s">
        <v>1131</v>
      </c>
      <c r="M40" s="167">
        <f>COUNTIFS(Votaciones!$B$2:$B$346,$X$2,Votaciones!$A$2:$A$346,"&gt;="&amp;"D"&amp;TEXT(EDATE($Y$3,-12),"yyyymmdd"),Votaciones!$A$2:$A$346,"&lt;="&amp;$Y$2,Votaciones!$D$2:$D$346,"Disenso acomodaticio")</f>
        <v>0</v>
      </c>
      <c r="N40" s="132"/>
      <c r="AA40" s="94">
        <f>Decisiones!B40</f>
        <v>38282</v>
      </c>
    </row>
    <row r="41" spans="1:27">
      <c r="A41" s="56">
        <f>IFERROR(IF(INDEX($AE$2:$AR$30,MATCH($X$2,$AD$2:$AD$30,0),5)&lt;=$Y$3,INDEX($AE$2:$AR$30,MATCH($X$2,$AD$2:$AD$30,0),5),""),"")</f>
        <v>45512</v>
      </c>
      <c r="B41" s="57">
        <f>IF($A41="","",INDEX($AS$2:$BF$30,MATCH($X$2,$AD$2:$AD$30,0),5))</f>
        <v>10.75</v>
      </c>
      <c r="C41" s="58">
        <f>IF($A41="","",INDEX($BG$2:$BT$30,MATCH($X$2,$AD$2:$AD$30,0),5))</f>
        <v>-25</v>
      </c>
      <c r="D41" s="59" t="str">
        <f>IF($A41="","",INDEX($BU$2:$CH$30,MATCH($X$2,$AD$2:$AD$30,0),5))</f>
        <v>Ordinaria</v>
      </c>
      <c r="E41" s="59" t="str">
        <f>IF($A41="","",INDEX($CI$2:$CV$30,MATCH($X$2,$AD$2:$AD$30,0),5))</f>
        <v>Disenso restrictivo</v>
      </c>
      <c r="H41" s="59" t="s">
        <v>886</v>
      </c>
      <c r="I41" s="133">
        <f>IFERROR(I38/I37,0)</f>
        <v>0.22222222222222221</v>
      </c>
      <c r="J41" s="132"/>
      <c r="K41" s="59"/>
      <c r="L41" s="59" t="s">
        <v>886</v>
      </c>
      <c r="M41" s="133">
        <f>IFERROR(M38/M37,0)</f>
        <v>0.55555555555555558</v>
      </c>
      <c r="N41" s="132"/>
      <c r="AA41" s="94">
        <f>Decisiones!B41</f>
        <v>38317</v>
      </c>
    </row>
    <row r="42" spans="1:27">
      <c r="A42" s="56">
        <f>IFERROR(IF(INDEX($AE$2:$AR$30,MATCH($X$2,$AD$2:$AD$30,0),6)&lt;=$Y$3,INDEX($AE$2:$AR$30,MATCH($X$2,$AD$2:$AD$30,0),6),""),"")</f>
        <v>45561</v>
      </c>
      <c r="B42" s="57">
        <f>IF($A42="","",INDEX($AS$2:$BF$30,MATCH($X$2,$AD$2:$AD$30,0),6))</f>
        <v>10.5</v>
      </c>
      <c r="C42" s="58">
        <f>IF($A42="","",INDEX($BG$2:$BT$30,MATCH($X$2,$AD$2:$AD$30,0),6))</f>
        <v>-25</v>
      </c>
      <c r="D42" s="59" t="str">
        <f>IF($A42="","",INDEX($BU$2:$CH$30,MATCH($X$2,$AD$2:$AD$30,0),6))</f>
        <v>Ordinaria</v>
      </c>
      <c r="E42" s="59" t="str">
        <f>IF($A42="","",INDEX($CI$2:$CV$30,MATCH($X$2,$AD$2:$AD$30,0),6))</f>
        <v>Disenso restrictivo</v>
      </c>
      <c r="H42" s="59" t="s">
        <v>887</v>
      </c>
      <c r="I42" s="133">
        <f>IFERROR(I39/I37,0)</f>
        <v>0.15873015873015872</v>
      </c>
      <c r="J42" s="132"/>
      <c r="K42" s="59"/>
      <c r="L42" s="59" t="s">
        <v>887</v>
      </c>
      <c r="M42" s="133">
        <f>IFERROR(M39/M37,0)</f>
        <v>0.55555555555555558</v>
      </c>
      <c r="N42" s="132"/>
      <c r="AA42" s="94">
        <f>Decisiones!B42</f>
        <v>38331</v>
      </c>
    </row>
    <row r="43" spans="1:27">
      <c r="A43" s="56">
        <f>IFERROR(IF(INDEX($AE$2:$AR$30,MATCH($X$2,$AD$2:$AD$30,0),7)&lt;=$Y$3,INDEX($AE$2:$AR$30,MATCH($X$2,$AD$2:$AD$30,0),7),""),"")</f>
        <v>45694</v>
      </c>
      <c r="B43" s="57">
        <f>IF($A43="","",INDEX($AS$2:$BF$30,MATCH($X$2,$AD$2:$AD$30,0),7))</f>
        <v>9.5</v>
      </c>
      <c r="C43" s="58">
        <f>IF($A43="","",INDEX($BG$2:$BT$30,MATCH($X$2,$AD$2:$AD$30,0),7))</f>
        <v>-50</v>
      </c>
      <c r="D43" s="59" t="str">
        <f>IF($A43="","",INDEX($BU$2:$CH$30,MATCH($X$2,$AD$2:$AD$30,0),7))</f>
        <v>Ordinaria</v>
      </c>
      <c r="E43" s="59" t="str">
        <f>IF($A43="","",INDEX($CI$2:$CV$30,MATCH($X$2,$AD$2:$AD$30,0),7))</f>
        <v>Disenso restrictivo</v>
      </c>
      <c r="H43" s="63" t="s">
        <v>888</v>
      </c>
      <c r="I43" s="116">
        <f>IFERROR(I40/I37,0)</f>
        <v>6.3492063492063489E-2</v>
      </c>
      <c r="J43" s="117"/>
      <c r="K43" s="63"/>
      <c r="L43" s="63" t="s">
        <v>888</v>
      </c>
      <c r="M43" s="116">
        <f>IFERROR(M40/M37,0)</f>
        <v>0</v>
      </c>
      <c r="N43" s="117"/>
      <c r="AA43" s="94">
        <f>Decisiones!B43</f>
        <v>38380</v>
      </c>
    </row>
    <row r="44" spans="1:27">
      <c r="A44" s="56">
        <f>IFERROR(IF(INDEX($AE$2:$AR$30,MATCH($X$2,$AD$2:$AD$30,0),8)&lt;=$Y$3,INDEX($AE$2:$AR$30,MATCH($X$2,$AD$2:$AD$30,0),8),""),"")</f>
        <v>45834</v>
      </c>
      <c r="B44" s="57">
        <f>IF($A44="","",INDEX($AS$2:$BF$30,MATCH($X$2,$AD$2:$AD$30,0),8))</f>
        <v>8</v>
      </c>
      <c r="C44" s="58">
        <f>IF($A44="","",INDEX($BG$2:$BT$30,MATCH($X$2,$AD$2:$AD$30,0),8))</f>
        <v>-50</v>
      </c>
      <c r="D44" s="59" t="str">
        <f>IF($A44="","",INDEX($BU$2:$CH$30,MATCH($X$2,$AD$2:$AD$30,0),8))</f>
        <v>Ordinaria</v>
      </c>
      <c r="E44" s="59" t="str">
        <f>IF($A44="","",INDEX($CI$2:$CV$30,MATCH($X$2,$AD$2:$AD$30,0),8))</f>
        <v>Disenso restrictivo</v>
      </c>
      <c r="AA44" s="94">
        <f>Decisiones!B44</f>
        <v>38408</v>
      </c>
    </row>
    <row r="45" spans="1:27">
      <c r="A45" s="56">
        <f>IFERROR(IF(INDEX($AE$2:$AR$30,MATCH($X$2,$AD$2:$AD$30,0),9)&lt;=$Y$3,INDEX($AE$2:$AR$30,MATCH($X$2,$AD$2:$AD$30,0),9),""),"")</f>
        <v>45876</v>
      </c>
      <c r="B45" s="57">
        <f>IF($A45="","",INDEX($AS$2:$BF$30,MATCH($X$2,$AD$2:$AD$30,0),9))</f>
        <v>7.75</v>
      </c>
      <c r="C45" s="58">
        <f>IF($A45="","",INDEX($BG$2:$BT$30,MATCH($X$2,$AD$2:$AD$30,0),9))</f>
        <v>-25</v>
      </c>
      <c r="D45" s="59" t="str">
        <f>IF($A45="","",INDEX($BU$2:$CH$30,MATCH($X$2,$AD$2:$AD$30,0),9))</f>
        <v>Ordinaria</v>
      </c>
      <c r="E45" s="59" t="str">
        <f>IF($A45="","",INDEX($CI$2:$CV$30,MATCH($X$2,$AD$2:$AD$30,0),9))</f>
        <v>Disenso restrictivo</v>
      </c>
      <c r="AA45" s="94">
        <f>Decisiones!B45</f>
        <v>38434</v>
      </c>
    </row>
    <row r="46" spans="1:27">
      <c r="A46" s="56">
        <f>IFERROR(IF(INDEX($AE$2:$AR$30,MATCH($X$2,$AD$2:$AD$30,0),10)&lt;=$Y$3,INDEX($AE$2:$AR$30,MATCH($X$2,$AD$2:$AD$30,0),10),""),"")</f>
        <v>45925</v>
      </c>
      <c r="B46" s="57">
        <f>IF($A46="","",INDEX($AS$2:$BF$30,MATCH($X$2,$AD$2:$AD$30,0),10))</f>
        <v>7.5</v>
      </c>
      <c r="C46" s="58">
        <f>IF($A46="","",INDEX($BG$2:$BT$30,MATCH($X$2,$AD$2:$AD$30,0),10))</f>
        <v>-25</v>
      </c>
      <c r="D46" s="59" t="str">
        <f>IF($A46="","",INDEX($BU$2:$CH$30,MATCH($X$2,$AD$2:$AD$30,0),10))</f>
        <v>Ordinaria</v>
      </c>
      <c r="E46" s="59" t="str">
        <f>IF($A46="","",INDEX($CI$2:$CV$30,MATCH($X$2,$AD$2:$AD$30,0),10))</f>
        <v>Disenso restrictivo</v>
      </c>
      <c r="AA46" s="94">
        <f>Decisiones!B46</f>
        <v>38464</v>
      </c>
    </row>
    <row r="47" spans="1:27">
      <c r="A47" s="56">
        <f>IFERROR(IF(INDEX($AE$2:$AR$30,MATCH($X$2,$AD$2:$AD$30,0),11)&lt;=$Y$3,INDEX($AE$2:$AR$30,MATCH($X$2,$AD$2:$AD$30,0),11),""),"")</f>
        <v>45967</v>
      </c>
      <c r="B47" s="57">
        <f>IF($A47="","",INDEX($AS$2:$BF$30,MATCH($X$2,$AD$2:$AD$30,0),11))</f>
        <v>7.25</v>
      </c>
      <c r="C47" s="58">
        <f>IF($A47="","",INDEX($BG$2:$BT$30,MATCH($X$2,$AD$2:$AD$30,0),11))</f>
        <v>-25</v>
      </c>
      <c r="D47" s="59" t="str">
        <f>IF($A47="","",INDEX($BU$2:$CH$30,MATCH($X$2,$AD$2:$AD$30,0),11))</f>
        <v>Ordinaria</v>
      </c>
      <c r="E47" s="59" t="str">
        <f>IF($A47="","",INDEX($CI$2:$CV$30,MATCH($X$2,$AD$2:$AD$30,0),11))</f>
        <v>Disenso restrictivo</v>
      </c>
      <c r="AA47" s="94">
        <f>Decisiones!B47</f>
        <v>38499</v>
      </c>
    </row>
    <row r="48" spans="1:27">
      <c r="A48" s="56">
        <f>IFERROR(IF(INDEX($AE$2:$AR$30,MATCH($X$2,$AD$2:$AD$30,0),12)&lt;=$Y$3,INDEX($AE$2:$AR$30,MATCH($X$2,$AD$2:$AD$30,0),12),""),"")</f>
        <v>46009</v>
      </c>
      <c r="B48" s="57">
        <f>IF($A48="","",INDEX($AS$2:$BF$30,MATCH($X$2,$AD$2:$AD$30,0),12))</f>
        <v>7</v>
      </c>
      <c r="C48" s="58">
        <f>IF($A48="","",INDEX($BG$2:$BT$30,MATCH($X$2,$AD$2:$AD$30,0),12))</f>
        <v>-25</v>
      </c>
      <c r="D48" s="59" t="str">
        <f>IF($A48="","",INDEX($BU$2:$CH$30,MATCH($X$2,$AD$2:$AD$30,0),12))</f>
        <v>Ordinaria</v>
      </c>
      <c r="E48" s="59" t="str">
        <f>IF($A48="","",INDEX($CI$2:$CV$30,MATCH($X$2,$AD$2:$AD$30,0),12))</f>
        <v>Disenso restrictivo</v>
      </c>
      <c r="AA48" s="94">
        <f>Decisiones!B48</f>
        <v>38527</v>
      </c>
    </row>
    <row r="49" spans="1:27">
      <c r="A49" s="56">
        <f>IFERROR(IF(INDEX($AE$2:$AR$30,MATCH($X$2,$AD$2:$AD$30,0),13)&lt;=$Y$3,INDEX($AE$2:$AR$30,MATCH($X$2,$AD$2:$AD$30,0),13),""),"")</f>
        <v>46107</v>
      </c>
      <c r="B49" s="57">
        <f>IF($A49="","",INDEX($AS$2:$BF$30,MATCH($X$2,$AD$2:$AD$30,0),13))</f>
        <v>6.75</v>
      </c>
      <c r="C49" s="58">
        <f>IF($A49="","",INDEX($BG$2:$BT$30,MATCH($X$2,$AD$2:$AD$30,0),13))</f>
        <v>-25</v>
      </c>
      <c r="D49" s="59" t="str">
        <f>IF($A49="","",INDEX($BU$2:$CH$30,MATCH($X$2,$AD$2:$AD$30,0),13))</f>
        <v>Ordinaria</v>
      </c>
      <c r="E49" s="59" t="str">
        <f>IF($A49="","",INDEX($CI$2:$CV$30,MATCH($X$2,$AD$2:$AD$30,0),13))</f>
        <v>Disenso restrictivo</v>
      </c>
      <c r="AA49" s="94">
        <f>Decisiones!B49</f>
        <v>38555</v>
      </c>
    </row>
    <row r="50" spans="1:27">
      <c r="A50" s="60">
        <f>IFERROR(IF(INDEX($AE$2:$AR$30,MATCH($X$2,$AD$2:$AD$30,0),14)&lt;=$Y$3,INDEX($AE$2:$AR$30,MATCH($X$2,$AD$2:$AD$30,0),14),""),"")</f>
        <v>46149</v>
      </c>
      <c r="B50" s="61">
        <f>IF($A50="","",INDEX($AS$2:$BF$30,MATCH($X$2,$AD$2:$AD$30,0),14))</f>
        <v>6.5</v>
      </c>
      <c r="C50" s="62">
        <f>IF($A50="","",INDEX($BG$2:$BT$30,MATCH($X$2,$AD$2:$AD$30,0),14))</f>
        <v>-25</v>
      </c>
      <c r="D50" s="63" t="str">
        <f>IF($A50="","",INDEX($BU$2:$CH$30,MATCH($X$2,$AD$2:$AD$30,0),14))</f>
        <v>Ordinaria</v>
      </c>
      <c r="E50" s="63" t="str">
        <f>IF($A50="","",INDEX($CI$2:$CV$30,MATCH($X$2,$AD$2:$AD$30,0),14))</f>
        <v>Disenso restrictivo</v>
      </c>
      <c r="AA50" s="94">
        <f>Decisiones!B50</f>
        <v>38590</v>
      </c>
    </row>
    <row r="51" spans="1:27">
      <c r="AA51" s="94">
        <f>Decisiones!B51</f>
        <v>38618</v>
      </c>
    </row>
    <row r="52" spans="1:27">
      <c r="AA52" s="94">
        <f>Decisiones!B52</f>
        <v>38653</v>
      </c>
    </row>
    <row r="53" spans="1:27">
      <c r="AA53" s="94">
        <f>Decisiones!B53</f>
        <v>38681</v>
      </c>
    </row>
    <row r="54" spans="1:27">
      <c r="AA54" s="94">
        <f>Decisiones!B54</f>
        <v>38695</v>
      </c>
    </row>
    <row r="55" spans="1:27">
      <c r="AA55" s="94">
        <f>Decisiones!B55</f>
        <v>38744</v>
      </c>
    </row>
    <row r="56" spans="1:27">
      <c r="AA56" s="94">
        <f>Decisiones!B56</f>
        <v>38772</v>
      </c>
    </row>
    <row r="57" spans="1:27">
      <c r="AA57" s="94">
        <f>Decisiones!B57</f>
        <v>38800</v>
      </c>
    </row>
    <row r="58" spans="1:27">
      <c r="AA58" s="94">
        <f>Decisiones!B58</f>
        <v>38828</v>
      </c>
    </row>
    <row r="59" spans="1:27">
      <c r="AA59" s="94">
        <f>Decisiones!B59</f>
        <v>38863</v>
      </c>
    </row>
    <row r="60" spans="1:27">
      <c r="AA60" s="94">
        <f>Decisiones!B60</f>
        <v>38891</v>
      </c>
    </row>
    <row r="61" spans="1:27">
      <c r="AA61" s="94">
        <f>Decisiones!B61</f>
        <v>38926</v>
      </c>
    </row>
    <row r="62" spans="1:27">
      <c r="AA62" s="94">
        <f>Decisiones!B62</f>
        <v>38954</v>
      </c>
    </row>
    <row r="63" spans="1:27">
      <c r="AA63" s="94">
        <f>Decisiones!B63</f>
        <v>38982</v>
      </c>
    </row>
    <row r="64" spans="1:27">
      <c r="AA64" s="94">
        <f>Decisiones!B64</f>
        <v>39017</v>
      </c>
    </row>
    <row r="65" spans="27:27">
      <c r="AA65" s="94">
        <f>Decisiones!B65</f>
        <v>39045</v>
      </c>
    </row>
    <row r="66" spans="27:27">
      <c r="AA66" s="94">
        <f>Decisiones!B66</f>
        <v>39059</v>
      </c>
    </row>
    <row r="67" spans="27:27">
      <c r="AA67" s="94">
        <f>Decisiones!B67</f>
        <v>39108</v>
      </c>
    </row>
    <row r="68" spans="27:27">
      <c r="AA68" s="94">
        <f>Decisiones!B68</f>
        <v>39136</v>
      </c>
    </row>
    <row r="69" spans="27:27">
      <c r="AA69" s="94">
        <f>Decisiones!B69</f>
        <v>39164</v>
      </c>
    </row>
    <row r="70" spans="27:27">
      <c r="AA70" s="94">
        <f>Decisiones!B70</f>
        <v>39199</v>
      </c>
    </row>
    <row r="71" spans="27:27">
      <c r="AA71" s="94">
        <f>Decisiones!B71</f>
        <v>39227</v>
      </c>
    </row>
    <row r="72" spans="27:27">
      <c r="AA72" s="94">
        <f>Decisiones!B72</f>
        <v>39255</v>
      </c>
    </row>
    <row r="73" spans="27:27">
      <c r="AA73" s="94">
        <f>Decisiones!B73</f>
        <v>39290</v>
      </c>
    </row>
    <row r="74" spans="27:27">
      <c r="AA74" s="94">
        <f>Decisiones!B74</f>
        <v>39318</v>
      </c>
    </row>
    <row r="75" spans="27:27">
      <c r="AA75" s="94">
        <f>Decisiones!B75</f>
        <v>39346</v>
      </c>
    </row>
    <row r="76" spans="27:27">
      <c r="AA76" s="94">
        <f>Decisiones!B76</f>
        <v>39381</v>
      </c>
    </row>
    <row r="77" spans="27:27">
      <c r="AA77" s="94">
        <f>Decisiones!B77</f>
        <v>39409</v>
      </c>
    </row>
    <row r="78" spans="27:27">
      <c r="AA78" s="94">
        <f>Decisiones!B78</f>
        <v>39423</v>
      </c>
    </row>
    <row r="79" spans="27:27">
      <c r="AA79" s="94">
        <f>Decisiones!B79</f>
        <v>39465</v>
      </c>
    </row>
    <row r="80" spans="27:27">
      <c r="AA80" s="94">
        <f>Decisiones!B80</f>
        <v>39493</v>
      </c>
    </row>
    <row r="81" spans="27:27">
      <c r="AA81" s="94">
        <f>Decisiones!B81</f>
        <v>39521</v>
      </c>
    </row>
    <row r="82" spans="27:27">
      <c r="AA82" s="94">
        <f>Decisiones!B82</f>
        <v>39556</v>
      </c>
    </row>
    <row r="83" spans="27:27">
      <c r="AA83" s="94">
        <f>Decisiones!B83</f>
        <v>39584</v>
      </c>
    </row>
    <row r="84" spans="27:27">
      <c r="AA84" s="94">
        <f>Decisiones!B84</f>
        <v>39619</v>
      </c>
    </row>
    <row r="85" spans="27:27">
      <c r="AA85" s="94">
        <f>Decisiones!B85</f>
        <v>39647</v>
      </c>
    </row>
    <row r="86" spans="27:27">
      <c r="AA86" s="94">
        <f>Decisiones!B86</f>
        <v>39675</v>
      </c>
    </row>
    <row r="87" spans="27:27">
      <c r="AA87" s="94">
        <f>Decisiones!B87</f>
        <v>39710</v>
      </c>
    </row>
    <row r="88" spans="27:27">
      <c r="AA88" s="94">
        <f>Decisiones!B88</f>
        <v>39738</v>
      </c>
    </row>
    <row r="89" spans="27:27">
      <c r="AA89" s="94">
        <f>Decisiones!B89</f>
        <v>39780</v>
      </c>
    </row>
    <row r="90" spans="27:27">
      <c r="AA90" s="94">
        <f>Decisiones!B90</f>
        <v>39829</v>
      </c>
    </row>
    <row r="91" spans="27:27">
      <c r="AA91" s="94">
        <f>Decisiones!B91</f>
        <v>39864</v>
      </c>
    </row>
    <row r="92" spans="27:27">
      <c r="AA92" s="94">
        <f>Decisiones!B92</f>
        <v>39892</v>
      </c>
    </row>
    <row r="93" spans="27:27">
      <c r="AA93" s="94">
        <f>Decisiones!B93</f>
        <v>39920</v>
      </c>
    </row>
    <row r="94" spans="27:27">
      <c r="AA94" s="94">
        <f>Decisiones!B94</f>
        <v>39948</v>
      </c>
    </row>
    <row r="95" spans="27:27">
      <c r="AA95" s="94">
        <f>Decisiones!B95</f>
        <v>39983</v>
      </c>
    </row>
    <row r="96" spans="27:27">
      <c r="AA96" s="94">
        <f>Decisiones!B96</f>
        <v>40011</v>
      </c>
    </row>
    <row r="97" spans="1:27">
      <c r="AA97" s="94">
        <f>Decisiones!B97</f>
        <v>40046</v>
      </c>
    </row>
    <row r="98" spans="1:27">
      <c r="AA98" s="94">
        <f>Decisiones!B98</f>
        <v>40074</v>
      </c>
    </row>
    <row r="99" spans="1:27" ht="12" customHeight="1">
      <c r="AA99" s="94">
        <f>Decisiones!B99</f>
        <v>40102</v>
      </c>
    </row>
    <row r="100" spans="1:27" ht="12" customHeight="1">
      <c r="A100" s="50" t="s">
        <v>871</v>
      </c>
      <c r="B100" s="50" t="s">
        <v>177</v>
      </c>
      <c r="C100" s="50" t="s">
        <v>1132</v>
      </c>
      <c r="D100" s="50" t="s">
        <v>1133</v>
      </c>
      <c r="E100" s="50" t="s">
        <v>1134</v>
      </c>
      <c r="F100" s="50" t="s">
        <v>1135</v>
      </c>
      <c r="G100" s="50" t="s">
        <v>1136</v>
      </c>
      <c r="H100" s="50"/>
      <c r="I100" s="50"/>
      <c r="J100" s="50"/>
      <c r="K100" s="50"/>
      <c r="L100" s="50"/>
      <c r="M100" s="50"/>
      <c r="AA100" s="94">
        <f>Decisiones!B100</f>
        <v>40144</v>
      </c>
    </row>
    <row r="101" spans="1:27" ht="12" customHeight="1">
      <c r="A101" s="66">
        <f>Decisiones!B80</f>
        <v>39493</v>
      </c>
      <c r="B101" s="50">
        <f>Decisiones!H80</f>
        <v>7.5</v>
      </c>
      <c r="C101" s="151">
        <f>COUNTIFS(Votaciones!$A$2:$A$346,Decisiones!A80,Votaciones!$D$2:$D$346,"Disenso restrictivo")</f>
        <v>0</v>
      </c>
      <c r="D101" s="151">
        <f>COUNTIFS(Votaciones!$A$2:$A$346,Decisiones!A80,Votaciones!$D$2:$D$346,"Disenso acomodaticio")</f>
        <v>0</v>
      </c>
      <c r="E101" s="50" t="e">
        <f>NA()</f>
        <v>#N/A</v>
      </c>
      <c r="F101" s="50" t="e">
        <f>NA()</f>
        <v>#N/A</v>
      </c>
      <c r="G101" s="151" t="e">
        <f ca="1">IF(AND(Decisiones!A80&gt;=IFERROR(INDEX(Participacion_Junta!$A$2:$A$346,_xludf.AGGREGATE(15,6,(ROW(Participacion_Junta!$A$2:$A$346)-1)/(Participacion_Junta!$B$2:$B$346=$X$2),1)),"ZZZ"),Decisiones!A80&lt;=IFERROR(INDEX(Participacion_Junta!$A$2:$A$346,_xludf.AGGREGATE(14,6,(ROW(Participacion_Junta!$A$2:$A$346)-1)/(Participacion_Junta!$B$2:$B$346=$X$2),1)),"")),0.35,NA())</f>
        <v>#N/A</v>
      </c>
      <c r="H101" s="50"/>
      <c r="I101" s="50"/>
      <c r="J101" s="50"/>
      <c r="K101" s="50"/>
      <c r="L101" s="50"/>
      <c r="M101" s="50"/>
      <c r="AA101" s="94">
        <f>Decisiones!B101</f>
        <v>40193</v>
      </c>
    </row>
    <row r="102" spans="1:27" ht="12" customHeight="1">
      <c r="A102" s="66">
        <f>Decisiones!B81</f>
        <v>39521</v>
      </c>
      <c r="B102" s="50">
        <f>Decisiones!H81</f>
        <v>7.5</v>
      </c>
      <c r="C102" s="151">
        <f>COUNTIFS(Votaciones!$A$2:$A$346,Decisiones!A81,Votaciones!$D$2:$D$346,"Disenso restrictivo")</f>
        <v>0</v>
      </c>
      <c r="D102" s="151">
        <f>COUNTIFS(Votaciones!$A$2:$A$346,Decisiones!A81,Votaciones!$D$2:$D$346,"Disenso acomodaticio")</f>
        <v>0</v>
      </c>
      <c r="E102" s="50" t="e">
        <f>NA()</f>
        <v>#N/A</v>
      </c>
      <c r="F102" s="50" t="e">
        <f>NA()</f>
        <v>#N/A</v>
      </c>
      <c r="G102" s="151" t="e">
        <f ca="1">IF(AND(Decisiones!A81&gt;=IFERROR(INDEX(Participacion_Junta!$A$2:$A$346,_xludf.AGGREGATE(15,6,(ROW(Participacion_Junta!$A$2:$A$346)-1)/(Participacion_Junta!$B$2:$B$346=$X$2),1)),"ZZZ"),Decisiones!A81&lt;=IFERROR(INDEX(Participacion_Junta!$A$2:$A$346,_xludf.AGGREGATE(14,6,(ROW(Participacion_Junta!$A$2:$A$346)-1)/(Participacion_Junta!$B$2:$B$346=$X$2),1)),"")),0.35,NA())</f>
        <v>#N/A</v>
      </c>
      <c r="H102" s="50"/>
      <c r="I102" s="50"/>
      <c r="J102" s="50"/>
      <c r="K102" s="50"/>
      <c r="L102" s="50"/>
      <c r="M102" s="50"/>
      <c r="AA102" s="94">
        <f>Decisiones!B102</f>
        <v>40228</v>
      </c>
    </row>
    <row r="103" spans="1:27" ht="12" customHeight="1">
      <c r="A103" s="66">
        <f>Decisiones!B82</f>
        <v>39556</v>
      </c>
      <c r="B103" s="50">
        <f>Decisiones!H82</f>
        <v>7.5</v>
      </c>
      <c r="C103" s="151">
        <f>COUNTIFS(Votaciones!$A$2:$A$346,Decisiones!A82,Votaciones!$D$2:$D$346,"Disenso restrictivo")</f>
        <v>0</v>
      </c>
      <c r="D103" s="151">
        <f>COUNTIFS(Votaciones!$A$2:$A$346,Decisiones!A82,Votaciones!$D$2:$D$346,"Disenso acomodaticio")</f>
        <v>0</v>
      </c>
      <c r="E103" s="50" t="e">
        <f>NA()</f>
        <v>#N/A</v>
      </c>
      <c r="F103" s="50" t="e">
        <f>NA()</f>
        <v>#N/A</v>
      </c>
      <c r="G103" s="151" t="e">
        <f ca="1">IF(AND(Decisiones!A82&gt;=IFERROR(INDEX(Participacion_Junta!$A$2:$A$346,_xludf.AGGREGATE(15,6,(ROW(Participacion_Junta!$A$2:$A$346)-1)/(Participacion_Junta!$B$2:$B$346=$X$2),1)),"ZZZ"),Decisiones!A82&lt;=IFERROR(INDEX(Participacion_Junta!$A$2:$A$346,_xludf.AGGREGATE(14,6,(ROW(Participacion_Junta!$A$2:$A$346)-1)/(Participacion_Junta!$B$2:$B$346=$X$2),1)),"")),0.35,NA())</f>
        <v>#N/A</v>
      </c>
      <c r="H103" s="50"/>
      <c r="I103" s="50"/>
      <c r="J103" s="50"/>
      <c r="K103" s="50"/>
      <c r="L103" s="50"/>
      <c r="M103" s="50"/>
      <c r="AA103" s="94">
        <f>Decisiones!B103</f>
        <v>40256</v>
      </c>
    </row>
    <row r="104" spans="1:27" ht="12" customHeight="1">
      <c r="A104" s="66">
        <f>Decisiones!B83</f>
        <v>39584</v>
      </c>
      <c r="B104" s="50">
        <f>Decisiones!H83</f>
        <v>7.5</v>
      </c>
      <c r="C104" s="151">
        <f>COUNTIFS(Votaciones!$A$2:$A$346,Decisiones!A83,Votaciones!$D$2:$D$346,"Disenso restrictivo")</f>
        <v>0</v>
      </c>
      <c r="D104" s="151">
        <f>COUNTIFS(Votaciones!$A$2:$A$346,Decisiones!A83,Votaciones!$D$2:$D$346,"Disenso acomodaticio")</f>
        <v>0</v>
      </c>
      <c r="E104" s="50" t="e">
        <f>NA()</f>
        <v>#N/A</v>
      </c>
      <c r="F104" s="50" t="e">
        <f>NA()</f>
        <v>#N/A</v>
      </c>
      <c r="G104" s="151" t="e">
        <f ca="1">IF(AND(Decisiones!A83&gt;=IFERROR(INDEX(Participacion_Junta!$A$2:$A$346,_xludf.AGGREGATE(15,6,(ROW(Participacion_Junta!$A$2:$A$346)-1)/(Participacion_Junta!$B$2:$B$346=$X$2),1)),"ZZZ"),Decisiones!A83&lt;=IFERROR(INDEX(Participacion_Junta!$A$2:$A$346,_xludf.AGGREGATE(14,6,(ROW(Participacion_Junta!$A$2:$A$346)-1)/(Participacion_Junta!$B$2:$B$346=$X$2),1)),"")),0.35,NA())</f>
        <v>#N/A</v>
      </c>
      <c r="H104" s="50"/>
      <c r="I104" s="50"/>
      <c r="J104" s="50"/>
      <c r="K104" s="50"/>
      <c r="L104" s="50"/>
      <c r="M104" s="50"/>
      <c r="AA104" s="94">
        <f>Decisiones!B104</f>
        <v>40284</v>
      </c>
    </row>
    <row r="105" spans="1:27" ht="12" customHeight="1">
      <c r="A105" s="66">
        <f>Decisiones!B84</f>
        <v>39619</v>
      </c>
      <c r="B105" s="50">
        <f>Decisiones!H84</f>
        <v>7.75</v>
      </c>
      <c r="C105" s="151">
        <f>COUNTIFS(Votaciones!$A$2:$A$346,Decisiones!A84,Votaciones!$D$2:$D$346,"Disenso restrictivo")</f>
        <v>0</v>
      </c>
      <c r="D105" s="151">
        <f>COUNTIFS(Votaciones!$A$2:$A$346,Decisiones!A84,Votaciones!$D$2:$D$346,"Disenso acomodaticio")</f>
        <v>0</v>
      </c>
      <c r="E105" s="50" t="e">
        <f>NA()</f>
        <v>#N/A</v>
      </c>
      <c r="F105" s="50" t="e">
        <f>NA()</f>
        <v>#N/A</v>
      </c>
      <c r="G105" s="151" t="e">
        <f ca="1">IF(AND(Decisiones!A84&gt;=IFERROR(INDEX(Participacion_Junta!$A$2:$A$346,_xludf.AGGREGATE(15,6,(ROW(Participacion_Junta!$A$2:$A$346)-1)/(Participacion_Junta!$B$2:$B$346=$X$2),1)),"ZZZ"),Decisiones!A84&lt;=IFERROR(INDEX(Participacion_Junta!$A$2:$A$346,_xludf.AGGREGATE(14,6,(ROW(Participacion_Junta!$A$2:$A$346)-1)/(Participacion_Junta!$B$2:$B$346=$X$2),1)),"")),0.35,NA())</f>
        <v>#N/A</v>
      </c>
      <c r="H105" s="50"/>
      <c r="I105" s="50"/>
      <c r="J105" s="50"/>
      <c r="K105" s="50"/>
      <c r="L105" s="50"/>
      <c r="M105" s="50"/>
      <c r="AA105" s="94">
        <f>Decisiones!B105</f>
        <v>40319</v>
      </c>
    </row>
    <row r="106" spans="1:27" ht="12" customHeight="1">
      <c r="A106" s="66">
        <f>Decisiones!B85</f>
        <v>39647</v>
      </c>
      <c r="B106" s="50">
        <f>Decisiones!H85</f>
        <v>8</v>
      </c>
      <c r="C106" s="151">
        <f>COUNTIFS(Votaciones!$A$2:$A$346,Decisiones!A85,Votaciones!$D$2:$D$346,"Disenso restrictivo")</f>
        <v>0</v>
      </c>
      <c r="D106" s="151">
        <f>COUNTIFS(Votaciones!$A$2:$A$346,Decisiones!A85,Votaciones!$D$2:$D$346,"Disenso acomodaticio")</f>
        <v>0</v>
      </c>
      <c r="E106" s="50" t="e">
        <f>NA()</f>
        <v>#N/A</v>
      </c>
      <c r="F106" s="50" t="e">
        <f>NA()</f>
        <v>#N/A</v>
      </c>
      <c r="G106" s="151" t="e">
        <f ca="1">IF(AND(Decisiones!A85&gt;=IFERROR(INDEX(Participacion_Junta!$A$2:$A$346,_xludf.AGGREGATE(15,6,(ROW(Participacion_Junta!$A$2:$A$346)-1)/(Participacion_Junta!$B$2:$B$346=$X$2),1)),"ZZZ"),Decisiones!A85&lt;=IFERROR(INDEX(Participacion_Junta!$A$2:$A$346,_xludf.AGGREGATE(14,6,(ROW(Participacion_Junta!$A$2:$A$346)-1)/(Participacion_Junta!$B$2:$B$346=$X$2),1)),"")),0.35,NA())</f>
        <v>#N/A</v>
      </c>
      <c r="H106" s="50"/>
      <c r="I106" s="50"/>
      <c r="J106" s="50"/>
      <c r="K106" s="50"/>
      <c r="L106" s="50"/>
      <c r="M106" s="50"/>
      <c r="AA106" s="94">
        <f>Decisiones!B106</f>
        <v>40347</v>
      </c>
    </row>
    <row r="107" spans="1:27" ht="12" customHeight="1">
      <c r="A107" s="66">
        <f>Decisiones!B86</f>
        <v>39675</v>
      </c>
      <c r="B107" s="50">
        <f>Decisiones!H86</f>
        <v>8.25</v>
      </c>
      <c r="C107" s="151">
        <f>COUNTIFS(Votaciones!$A$2:$A$346,Decisiones!A86,Votaciones!$D$2:$D$346,"Disenso restrictivo")</f>
        <v>0</v>
      </c>
      <c r="D107" s="151">
        <f>COUNTIFS(Votaciones!$A$2:$A$346,Decisiones!A86,Votaciones!$D$2:$D$346,"Disenso acomodaticio")</f>
        <v>0</v>
      </c>
      <c r="E107" s="50" t="e">
        <f>NA()</f>
        <v>#N/A</v>
      </c>
      <c r="F107" s="50" t="e">
        <f>NA()</f>
        <v>#N/A</v>
      </c>
      <c r="G107" s="151" t="e">
        <f ca="1">IF(AND(Decisiones!A86&gt;=IFERROR(INDEX(Participacion_Junta!$A$2:$A$346,_xludf.AGGREGATE(15,6,(ROW(Participacion_Junta!$A$2:$A$346)-1)/(Participacion_Junta!$B$2:$B$346=$X$2),1)),"ZZZ"),Decisiones!A86&lt;=IFERROR(INDEX(Participacion_Junta!$A$2:$A$346,_xludf.AGGREGATE(14,6,(ROW(Participacion_Junta!$A$2:$A$346)-1)/(Participacion_Junta!$B$2:$B$346=$X$2),1)),"")),0.35,NA())</f>
        <v>#N/A</v>
      </c>
      <c r="H107" s="50"/>
      <c r="I107" s="50"/>
      <c r="J107" s="50"/>
      <c r="K107" s="50"/>
      <c r="L107" s="50"/>
      <c r="M107" s="50"/>
      <c r="AA107" s="94">
        <f>Decisiones!B107</f>
        <v>40375</v>
      </c>
    </row>
    <row r="108" spans="1:27" ht="12" customHeight="1">
      <c r="A108" s="66">
        <f>Decisiones!B87</f>
        <v>39710</v>
      </c>
      <c r="B108" s="50">
        <f>Decisiones!H87</f>
        <v>8.25</v>
      </c>
      <c r="C108" s="151">
        <f>COUNTIFS(Votaciones!$A$2:$A$346,Decisiones!A87,Votaciones!$D$2:$D$346,"Disenso restrictivo")</f>
        <v>0</v>
      </c>
      <c r="D108" s="151">
        <f>COUNTIFS(Votaciones!$A$2:$A$346,Decisiones!A87,Votaciones!$D$2:$D$346,"Disenso acomodaticio")</f>
        <v>0</v>
      </c>
      <c r="E108" s="50" t="e">
        <f>NA()</f>
        <v>#N/A</v>
      </c>
      <c r="F108" s="50" t="e">
        <f>NA()</f>
        <v>#N/A</v>
      </c>
      <c r="G108" s="151" t="e">
        <f ca="1">IF(AND(Decisiones!A87&gt;=IFERROR(INDEX(Participacion_Junta!$A$2:$A$346,_xludf.AGGREGATE(15,6,(ROW(Participacion_Junta!$A$2:$A$346)-1)/(Participacion_Junta!$B$2:$B$346=$X$2),1)),"ZZZ"),Decisiones!A87&lt;=IFERROR(INDEX(Participacion_Junta!$A$2:$A$346,_xludf.AGGREGATE(14,6,(ROW(Participacion_Junta!$A$2:$A$346)-1)/(Participacion_Junta!$B$2:$B$346=$X$2),1)),"")),0.35,NA())</f>
        <v>#N/A</v>
      </c>
      <c r="H108" s="50"/>
      <c r="I108" s="50"/>
      <c r="J108" s="50"/>
      <c r="K108" s="50"/>
      <c r="L108" s="50"/>
      <c r="M108" s="50"/>
      <c r="AA108" s="94">
        <f>Decisiones!B108</f>
        <v>40410</v>
      </c>
    </row>
    <row r="109" spans="1:27" ht="12" customHeight="1">
      <c r="A109" s="66">
        <f>Decisiones!B88</f>
        <v>39738</v>
      </c>
      <c r="B109" s="50">
        <f>Decisiones!H88</f>
        <v>8.25</v>
      </c>
      <c r="C109" s="151">
        <f>COUNTIFS(Votaciones!$A$2:$A$346,Decisiones!A88,Votaciones!$D$2:$D$346,"Disenso restrictivo")</f>
        <v>0</v>
      </c>
      <c r="D109" s="151">
        <f>COUNTIFS(Votaciones!$A$2:$A$346,Decisiones!A88,Votaciones!$D$2:$D$346,"Disenso acomodaticio")</f>
        <v>0</v>
      </c>
      <c r="E109" s="50" t="e">
        <f>NA()</f>
        <v>#N/A</v>
      </c>
      <c r="F109" s="50" t="e">
        <f>NA()</f>
        <v>#N/A</v>
      </c>
      <c r="G109" s="151" t="e">
        <f ca="1">IF(AND(Decisiones!A88&gt;=IFERROR(INDEX(Participacion_Junta!$A$2:$A$346,_xludf.AGGREGATE(15,6,(ROW(Participacion_Junta!$A$2:$A$346)-1)/(Participacion_Junta!$B$2:$B$346=$X$2),1)),"ZZZ"),Decisiones!A88&lt;=IFERROR(INDEX(Participacion_Junta!$A$2:$A$346,_xludf.AGGREGATE(14,6,(ROW(Participacion_Junta!$A$2:$A$346)-1)/(Participacion_Junta!$B$2:$B$346=$X$2),1)),"")),0.35,NA())</f>
        <v>#N/A</v>
      </c>
      <c r="H109" s="50"/>
      <c r="I109" s="50"/>
      <c r="J109" s="50"/>
      <c r="K109" s="50"/>
      <c r="L109" s="50"/>
      <c r="M109" s="50"/>
      <c r="AA109" s="94">
        <f>Decisiones!B109</f>
        <v>40445</v>
      </c>
    </row>
    <row r="110" spans="1:27" ht="12" customHeight="1">
      <c r="A110" s="66">
        <f>Decisiones!B89</f>
        <v>39780</v>
      </c>
      <c r="B110" s="50">
        <f>Decisiones!H89</f>
        <v>8.25</v>
      </c>
      <c r="C110" s="151">
        <f>COUNTIFS(Votaciones!$A$2:$A$346,Decisiones!A89,Votaciones!$D$2:$D$346,"Disenso restrictivo")</f>
        <v>0</v>
      </c>
      <c r="D110" s="151">
        <f>COUNTIFS(Votaciones!$A$2:$A$346,Decisiones!A89,Votaciones!$D$2:$D$346,"Disenso acomodaticio")</f>
        <v>0</v>
      </c>
      <c r="E110" s="50" t="e">
        <f>NA()</f>
        <v>#N/A</v>
      </c>
      <c r="F110" s="50" t="e">
        <f>NA()</f>
        <v>#N/A</v>
      </c>
      <c r="G110" s="151" t="e">
        <f ca="1">IF(AND(Decisiones!A89&gt;=IFERROR(INDEX(Participacion_Junta!$A$2:$A$346,_xludf.AGGREGATE(15,6,(ROW(Participacion_Junta!$A$2:$A$346)-1)/(Participacion_Junta!$B$2:$B$346=$X$2),1)),"ZZZ"),Decisiones!A89&lt;=IFERROR(INDEX(Participacion_Junta!$A$2:$A$346,_xludf.AGGREGATE(14,6,(ROW(Participacion_Junta!$A$2:$A$346)-1)/(Participacion_Junta!$B$2:$B$346=$X$2),1)),"")),0.35,NA())</f>
        <v>#N/A</v>
      </c>
      <c r="H110" s="50"/>
      <c r="I110" s="50"/>
      <c r="J110" s="50"/>
      <c r="K110" s="50"/>
      <c r="L110" s="50"/>
      <c r="M110" s="50"/>
      <c r="AA110" s="94">
        <f>Decisiones!B110</f>
        <v>40466</v>
      </c>
    </row>
    <row r="111" spans="1:27" ht="12" customHeight="1">
      <c r="A111" s="66">
        <f>Decisiones!B90</f>
        <v>39829</v>
      </c>
      <c r="B111" s="50">
        <f>Decisiones!H90</f>
        <v>7.75</v>
      </c>
      <c r="C111" s="151">
        <f>COUNTIFS(Votaciones!$A$2:$A$346,Decisiones!A90,Votaciones!$D$2:$D$346,"Disenso restrictivo")</f>
        <v>0</v>
      </c>
      <c r="D111" s="151">
        <f>COUNTIFS(Votaciones!$A$2:$A$346,Decisiones!A90,Votaciones!$D$2:$D$346,"Disenso acomodaticio")</f>
        <v>0</v>
      </c>
      <c r="E111" s="50" t="e">
        <f>NA()</f>
        <v>#N/A</v>
      </c>
      <c r="F111" s="50" t="e">
        <f>NA()</f>
        <v>#N/A</v>
      </c>
      <c r="G111" s="151" t="e">
        <f ca="1">IF(AND(Decisiones!A90&gt;=IFERROR(INDEX(Participacion_Junta!$A$2:$A$346,_xludf.AGGREGATE(15,6,(ROW(Participacion_Junta!$A$2:$A$346)-1)/(Participacion_Junta!$B$2:$B$346=$X$2),1)),"ZZZ"),Decisiones!A90&lt;=IFERROR(INDEX(Participacion_Junta!$A$2:$A$346,_xludf.AGGREGATE(14,6,(ROW(Participacion_Junta!$A$2:$A$346)-1)/(Participacion_Junta!$B$2:$B$346=$X$2),1)),"")),0.35,NA())</f>
        <v>#N/A</v>
      </c>
      <c r="H111" s="50"/>
      <c r="I111" s="50"/>
      <c r="J111" s="50"/>
      <c r="K111" s="50"/>
      <c r="L111" s="50"/>
      <c r="M111" s="50"/>
      <c r="AA111" s="94">
        <f>Decisiones!B111</f>
        <v>40508</v>
      </c>
    </row>
    <row r="112" spans="1:27" ht="12" customHeight="1">
      <c r="A112" s="66">
        <f>Decisiones!B91</f>
        <v>39864</v>
      </c>
      <c r="B112" s="50">
        <f>Decisiones!H91</f>
        <v>7.5</v>
      </c>
      <c r="C112" s="151">
        <f>COUNTIFS(Votaciones!$A$2:$A$346,Decisiones!A91,Votaciones!$D$2:$D$346,"Disenso restrictivo")</f>
        <v>0</v>
      </c>
      <c r="D112" s="151">
        <f>COUNTIFS(Votaciones!$A$2:$A$346,Decisiones!A91,Votaciones!$D$2:$D$346,"Disenso acomodaticio")</f>
        <v>0</v>
      </c>
      <c r="E112" s="50" t="e">
        <f>NA()</f>
        <v>#N/A</v>
      </c>
      <c r="F112" s="50" t="e">
        <f>NA()</f>
        <v>#N/A</v>
      </c>
      <c r="G112" s="151" t="e">
        <f ca="1">IF(AND(Decisiones!A91&gt;=IFERROR(INDEX(Participacion_Junta!$A$2:$A$346,_xludf.AGGREGATE(15,6,(ROW(Participacion_Junta!$A$2:$A$346)-1)/(Participacion_Junta!$B$2:$B$346=$X$2),1)),"ZZZ"),Decisiones!A91&lt;=IFERROR(INDEX(Participacion_Junta!$A$2:$A$346,_xludf.AGGREGATE(14,6,(ROW(Participacion_Junta!$A$2:$A$346)-1)/(Participacion_Junta!$B$2:$B$346=$X$2),1)),"")),0.35,NA())</f>
        <v>#N/A</v>
      </c>
      <c r="H112" s="50"/>
      <c r="I112" s="50"/>
      <c r="J112" s="50"/>
      <c r="K112" s="50"/>
      <c r="L112" s="50"/>
      <c r="M112" s="50"/>
      <c r="AA112" s="94">
        <f>Decisiones!B112</f>
        <v>40564</v>
      </c>
    </row>
    <row r="113" spans="1:27" ht="12" customHeight="1">
      <c r="A113" s="66">
        <f>Decisiones!B92</f>
        <v>39892</v>
      </c>
      <c r="B113" s="50">
        <f>Decisiones!H92</f>
        <v>6.75</v>
      </c>
      <c r="C113" s="151">
        <f>COUNTIFS(Votaciones!$A$2:$A$346,Decisiones!A92,Votaciones!$D$2:$D$346,"Disenso restrictivo")</f>
        <v>0</v>
      </c>
      <c r="D113" s="151">
        <f>COUNTIFS(Votaciones!$A$2:$A$346,Decisiones!A92,Votaciones!$D$2:$D$346,"Disenso acomodaticio")</f>
        <v>0</v>
      </c>
      <c r="E113" s="50" t="e">
        <f>NA()</f>
        <v>#N/A</v>
      </c>
      <c r="F113" s="50" t="e">
        <f>NA()</f>
        <v>#N/A</v>
      </c>
      <c r="G113" s="151" t="e">
        <f ca="1">IF(AND(Decisiones!A92&gt;=IFERROR(INDEX(Participacion_Junta!$A$2:$A$346,_xludf.AGGREGATE(15,6,(ROW(Participacion_Junta!$A$2:$A$346)-1)/(Participacion_Junta!$B$2:$B$346=$X$2),1)),"ZZZ"),Decisiones!A92&lt;=IFERROR(INDEX(Participacion_Junta!$A$2:$A$346,_xludf.AGGREGATE(14,6,(ROW(Participacion_Junta!$A$2:$A$346)-1)/(Participacion_Junta!$B$2:$B$346=$X$2),1)),"")),0.35,NA())</f>
        <v>#N/A</v>
      </c>
      <c r="H113" s="50"/>
      <c r="I113" s="50"/>
      <c r="J113" s="50"/>
      <c r="K113" s="50"/>
      <c r="L113" s="50"/>
      <c r="M113" s="50"/>
      <c r="AA113" s="94">
        <f>Decisiones!B113</f>
        <v>40606</v>
      </c>
    </row>
    <row r="114" spans="1:27" ht="12" customHeight="1">
      <c r="A114" s="66">
        <f>Decisiones!B93</f>
        <v>39920</v>
      </c>
      <c r="B114" s="50">
        <f>Decisiones!H93</f>
        <v>6</v>
      </c>
      <c r="C114" s="151">
        <f>COUNTIFS(Votaciones!$A$2:$A$346,Decisiones!A93,Votaciones!$D$2:$D$346,"Disenso restrictivo")</f>
        <v>0</v>
      </c>
      <c r="D114" s="151">
        <f>COUNTIFS(Votaciones!$A$2:$A$346,Decisiones!A93,Votaciones!$D$2:$D$346,"Disenso acomodaticio")</f>
        <v>0</v>
      </c>
      <c r="E114" s="50" t="e">
        <f>NA()</f>
        <v>#N/A</v>
      </c>
      <c r="F114" s="50" t="e">
        <f>NA()</f>
        <v>#N/A</v>
      </c>
      <c r="G114" s="151" t="e">
        <f ca="1">IF(AND(Decisiones!A93&gt;=IFERROR(INDEX(Participacion_Junta!$A$2:$A$346,_xludf.AGGREGATE(15,6,(ROW(Participacion_Junta!$A$2:$A$346)-1)/(Participacion_Junta!$B$2:$B$346=$X$2),1)),"ZZZ"),Decisiones!A93&lt;=IFERROR(INDEX(Participacion_Junta!$A$2:$A$346,_xludf.AGGREGATE(14,6,(ROW(Participacion_Junta!$A$2:$A$346)-1)/(Participacion_Junta!$B$2:$B$346=$X$2),1)),"")),0.35,NA())</f>
        <v>#N/A</v>
      </c>
      <c r="H114" s="50"/>
      <c r="I114" s="50"/>
      <c r="J114" s="50"/>
      <c r="K114" s="50"/>
      <c r="L114" s="50"/>
      <c r="M114" s="50"/>
      <c r="AA114" s="94">
        <f>Decisiones!B114</f>
        <v>40648</v>
      </c>
    </row>
    <row r="115" spans="1:27" ht="12" customHeight="1">
      <c r="A115" s="66">
        <f>Decisiones!B94</f>
        <v>39948</v>
      </c>
      <c r="B115" s="50">
        <f>Decisiones!H94</f>
        <v>5.25</v>
      </c>
      <c r="C115" s="151">
        <f>COUNTIFS(Votaciones!$A$2:$A$346,Decisiones!A94,Votaciones!$D$2:$D$346,"Disenso restrictivo")</f>
        <v>0</v>
      </c>
      <c r="D115" s="151">
        <f>COUNTIFS(Votaciones!$A$2:$A$346,Decisiones!A94,Votaciones!$D$2:$D$346,"Disenso acomodaticio")</f>
        <v>0</v>
      </c>
      <c r="E115" s="50" t="e">
        <f>NA()</f>
        <v>#N/A</v>
      </c>
      <c r="F115" s="50" t="e">
        <f>NA()</f>
        <v>#N/A</v>
      </c>
      <c r="G115" s="151" t="e">
        <f ca="1">IF(AND(Decisiones!A94&gt;=IFERROR(INDEX(Participacion_Junta!$A$2:$A$346,_xludf.AGGREGATE(15,6,(ROW(Participacion_Junta!$A$2:$A$346)-1)/(Participacion_Junta!$B$2:$B$346=$X$2),1)),"ZZZ"),Decisiones!A94&lt;=IFERROR(INDEX(Participacion_Junta!$A$2:$A$346,_xludf.AGGREGATE(14,6,(ROW(Participacion_Junta!$A$2:$A$346)-1)/(Participacion_Junta!$B$2:$B$346=$X$2),1)),"")),0.35,NA())</f>
        <v>#N/A</v>
      </c>
      <c r="H115" s="50"/>
      <c r="I115" s="50"/>
      <c r="J115" s="50"/>
      <c r="K115" s="50"/>
      <c r="L115" s="50"/>
      <c r="M115" s="50"/>
      <c r="AA115" s="94">
        <f>Decisiones!B115</f>
        <v>40690</v>
      </c>
    </row>
    <row r="116" spans="1:27" ht="12" customHeight="1">
      <c r="A116" s="66">
        <f>Decisiones!B95</f>
        <v>39983</v>
      </c>
      <c r="B116" s="50">
        <f>Decisiones!H95</f>
        <v>4.75</v>
      </c>
      <c r="C116" s="151">
        <f>COUNTIFS(Votaciones!$A$2:$A$346,Decisiones!A95,Votaciones!$D$2:$D$346,"Disenso restrictivo")</f>
        <v>0</v>
      </c>
      <c r="D116" s="151">
        <f>COUNTIFS(Votaciones!$A$2:$A$346,Decisiones!A95,Votaciones!$D$2:$D$346,"Disenso acomodaticio")</f>
        <v>0</v>
      </c>
      <c r="E116" s="50" t="e">
        <f>NA()</f>
        <v>#N/A</v>
      </c>
      <c r="F116" s="50" t="e">
        <f>NA()</f>
        <v>#N/A</v>
      </c>
      <c r="G116" s="151" t="e">
        <f ca="1">IF(AND(Decisiones!A95&gt;=IFERROR(INDEX(Participacion_Junta!$A$2:$A$346,_xludf.AGGREGATE(15,6,(ROW(Participacion_Junta!$A$2:$A$346)-1)/(Participacion_Junta!$B$2:$B$346=$X$2),1)),"ZZZ"),Decisiones!A95&lt;=IFERROR(INDEX(Participacion_Junta!$A$2:$A$346,_xludf.AGGREGATE(14,6,(ROW(Participacion_Junta!$A$2:$A$346)-1)/(Participacion_Junta!$B$2:$B$346=$X$2),1)),"")),0.35,NA())</f>
        <v>#N/A</v>
      </c>
      <c r="H116" s="50"/>
      <c r="I116" s="50"/>
      <c r="J116" s="50"/>
      <c r="K116" s="50"/>
      <c r="L116" s="50"/>
      <c r="M116" s="50"/>
      <c r="AA116" s="94">
        <f>Decisiones!B116</f>
        <v>40732</v>
      </c>
    </row>
    <row r="117" spans="1:27" ht="12" customHeight="1">
      <c r="A117" s="66">
        <f>Decisiones!B96</f>
        <v>40011</v>
      </c>
      <c r="B117" s="50">
        <f>Decisiones!H96</f>
        <v>4.5</v>
      </c>
      <c r="C117" s="151">
        <f>COUNTIFS(Votaciones!$A$2:$A$346,Decisiones!A96,Votaciones!$D$2:$D$346,"Disenso restrictivo")</f>
        <v>0</v>
      </c>
      <c r="D117" s="151">
        <f>COUNTIFS(Votaciones!$A$2:$A$346,Decisiones!A96,Votaciones!$D$2:$D$346,"Disenso acomodaticio")</f>
        <v>0</v>
      </c>
      <c r="E117" s="50" t="e">
        <f>NA()</f>
        <v>#N/A</v>
      </c>
      <c r="F117" s="50" t="e">
        <f>NA()</f>
        <v>#N/A</v>
      </c>
      <c r="G117" s="151" t="e">
        <f ca="1">IF(AND(Decisiones!A96&gt;=IFERROR(INDEX(Participacion_Junta!$A$2:$A$346,_xludf.AGGREGATE(15,6,(ROW(Participacion_Junta!$A$2:$A$346)-1)/(Participacion_Junta!$B$2:$B$346=$X$2),1)),"ZZZ"),Decisiones!A96&lt;=IFERROR(INDEX(Participacion_Junta!$A$2:$A$346,_xludf.AGGREGATE(14,6,(ROW(Participacion_Junta!$A$2:$A$346)-1)/(Participacion_Junta!$B$2:$B$346=$X$2),1)),"")),0.35,NA())</f>
        <v>#N/A</v>
      </c>
      <c r="H117" s="50"/>
      <c r="I117" s="50"/>
      <c r="J117" s="50"/>
      <c r="K117" s="50"/>
      <c r="L117" s="50"/>
      <c r="M117" s="50"/>
      <c r="AA117" s="94">
        <f>Decisiones!B117</f>
        <v>40781</v>
      </c>
    </row>
    <row r="118" spans="1:27" ht="12" customHeight="1">
      <c r="A118" s="66">
        <f>Decisiones!B97</f>
        <v>40046</v>
      </c>
      <c r="B118" s="50">
        <f>Decisiones!H97</f>
        <v>4.5</v>
      </c>
      <c r="C118" s="151">
        <f>COUNTIFS(Votaciones!$A$2:$A$346,Decisiones!A97,Votaciones!$D$2:$D$346,"Disenso restrictivo")</f>
        <v>0</v>
      </c>
      <c r="D118" s="151">
        <f>COUNTIFS(Votaciones!$A$2:$A$346,Decisiones!A97,Votaciones!$D$2:$D$346,"Disenso acomodaticio")</f>
        <v>0</v>
      </c>
      <c r="E118" s="50" t="e">
        <f>NA()</f>
        <v>#N/A</v>
      </c>
      <c r="F118" s="50" t="e">
        <f>NA()</f>
        <v>#N/A</v>
      </c>
      <c r="G118" s="151" t="e">
        <f ca="1">IF(AND(Decisiones!A97&gt;=IFERROR(INDEX(Participacion_Junta!$A$2:$A$346,_xludf.AGGREGATE(15,6,(ROW(Participacion_Junta!$A$2:$A$346)-1)/(Participacion_Junta!$B$2:$B$346=$X$2),1)),"ZZZ"),Decisiones!A97&lt;=IFERROR(INDEX(Participacion_Junta!$A$2:$A$346,_xludf.AGGREGATE(14,6,(ROW(Participacion_Junta!$A$2:$A$346)-1)/(Participacion_Junta!$B$2:$B$346=$X$2),1)),"")),0.35,NA())</f>
        <v>#N/A</v>
      </c>
      <c r="H118" s="50"/>
      <c r="I118" s="50"/>
      <c r="J118" s="50"/>
      <c r="K118" s="50"/>
      <c r="L118" s="50"/>
      <c r="M118" s="50"/>
      <c r="AA118" s="94">
        <f>Decisiones!B118</f>
        <v>40830</v>
      </c>
    </row>
    <row r="119" spans="1:27" ht="12" customHeight="1">
      <c r="A119" s="66">
        <f>Decisiones!B98</f>
        <v>40074</v>
      </c>
      <c r="B119" s="50">
        <f>Decisiones!H98</f>
        <v>4.5</v>
      </c>
      <c r="C119" s="151">
        <f>COUNTIFS(Votaciones!$A$2:$A$346,Decisiones!A98,Votaciones!$D$2:$D$346,"Disenso restrictivo")</f>
        <v>0</v>
      </c>
      <c r="D119" s="151">
        <f>COUNTIFS(Votaciones!$A$2:$A$346,Decisiones!A98,Votaciones!$D$2:$D$346,"Disenso acomodaticio")</f>
        <v>0</v>
      </c>
      <c r="E119" s="50" t="e">
        <f>NA()</f>
        <v>#N/A</v>
      </c>
      <c r="F119" s="50" t="e">
        <f>NA()</f>
        <v>#N/A</v>
      </c>
      <c r="G119" s="151" t="e">
        <f ca="1">IF(AND(Decisiones!A98&gt;=IFERROR(INDEX(Participacion_Junta!$A$2:$A$346,_xludf.AGGREGATE(15,6,(ROW(Participacion_Junta!$A$2:$A$346)-1)/(Participacion_Junta!$B$2:$B$346=$X$2),1)),"ZZZ"),Decisiones!A98&lt;=IFERROR(INDEX(Participacion_Junta!$A$2:$A$346,_xludf.AGGREGATE(14,6,(ROW(Participacion_Junta!$A$2:$A$346)-1)/(Participacion_Junta!$B$2:$B$346=$X$2),1)),"")),0.35,NA())</f>
        <v>#N/A</v>
      </c>
      <c r="H119" s="50"/>
      <c r="I119" s="50"/>
      <c r="J119" s="50"/>
      <c r="K119" s="50"/>
      <c r="L119" s="50"/>
      <c r="M119" s="50"/>
      <c r="AA119" s="94">
        <f>Decisiones!B119</f>
        <v>40879</v>
      </c>
    </row>
    <row r="120" spans="1:27" ht="12" customHeight="1">
      <c r="A120" s="66">
        <f>Decisiones!B99</f>
        <v>40102</v>
      </c>
      <c r="B120" s="50">
        <f>Decisiones!H99</f>
        <v>4.5</v>
      </c>
      <c r="C120" s="151">
        <f>COUNTIFS(Votaciones!$A$2:$A$346,Decisiones!A99,Votaciones!$D$2:$D$346,"Disenso restrictivo")</f>
        <v>0</v>
      </c>
      <c r="D120" s="151">
        <f>COUNTIFS(Votaciones!$A$2:$A$346,Decisiones!A99,Votaciones!$D$2:$D$346,"Disenso acomodaticio")</f>
        <v>0</v>
      </c>
      <c r="E120" s="50" t="e">
        <f>NA()</f>
        <v>#N/A</v>
      </c>
      <c r="F120" s="50" t="e">
        <f>NA()</f>
        <v>#N/A</v>
      </c>
      <c r="G120" s="151" t="e">
        <f ca="1">IF(AND(Decisiones!A99&gt;=IFERROR(INDEX(Participacion_Junta!$A$2:$A$346,_xludf.AGGREGATE(15,6,(ROW(Participacion_Junta!$A$2:$A$346)-1)/(Participacion_Junta!$B$2:$B$346=$X$2),1)),"ZZZ"),Decisiones!A99&lt;=IFERROR(INDEX(Participacion_Junta!$A$2:$A$346,_xludf.AGGREGATE(14,6,(ROW(Participacion_Junta!$A$2:$A$346)-1)/(Participacion_Junta!$B$2:$B$346=$X$2),1)),"")),0.35,NA())</f>
        <v>#N/A</v>
      </c>
      <c r="H120" s="50"/>
      <c r="I120" s="50"/>
      <c r="J120" s="50"/>
      <c r="K120" s="50"/>
      <c r="L120" s="50"/>
      <c r="M120" s="50"/>
      <c r="AA120" s="94">
        <f>Decisiones!B120</f>
        <v>40928</v>
      </c>
    </row>
    <row r="121" spans="1:27" ht="12" customHeight="1">
      <c r="A121" s="66">
        <f>Decisiones!B100</f>
        <v>40144</v>
      </c>
      <c r="B121" s="50">
        <f>Decisiones!H100</f>
        <v>4.5</v>
      </c>
      <c r="C121" s="151">
        <f>COUNTIFS(Votaciones!$A$2:$A$346,Decisiones!A100,Votaciones!$D$2:$D$346,"Disenso restrictivo")</f>
        <v>0</v>
      </c>
      <c r="D121" s="151">
        <f>COUNTIFS(Votaciones!$A$2:$A$346,Decisiones!A100,Votaciones!$D$2:$D$346,"Disenso acomodaticio")</f>
        <v>0</v>
      </c>
      <c r="E121" s="50" t="e">
        <f>NA()</f>
        <v>#N/A</v>
      </c>
      <c r="F121" s="50" t="e">
        <f>NA()</f>
        <v>#N/A</v>
      </c>
      <c r="G121" s="151" t="e">
        <f ca="1">IF(AND(Decisiones!A100&gt;=IFERROR(INDEX(Participacion_Junta!$A$2:$A$346,_xludf.AGGREGATE(15,6,(ROW(Participacion_Junta!$A$2:$A$346)-1)/(Participacion_Junta!$B$2:$B$346=$X$2),1)),"ZZZ"),Decisiones!A100&lt;=IFERROR(INDEX(Participacion_Junta!$A$2:$A$346,_xludf.AGGREGATE(14,6,(ROW(Participacion_Junta!$A$2:$A$346)-1)/(Participacion_Junta!$B$2:$B$346=$X$2),1)),"")),0.35,NA())</f>
        <v>#N/A</v>
      </c>
      <c r="H121" s="50"/>
      <c r="I121" s="50"/>
      <c r="J121" s="50"/>
      <c r="K121" s="50"/>
      <c r="L121" s="50"/>
      <c r="M121" s="50"/>
      <c r="AA121" s="94">
        <f>Decisiones!B121</f>
        <v>40984</v>
      </c>
    </row>
    <row r="122" spans="1:27" ht="12" customHeight="1">
      <c r="A122" s="66">
        <f>Decisiones!B101</f>
        <v>40193</v>
      </c>
      <c r="B122" s="50">
        <f>Decisiones!H101</f>
        <v>4.5</v>
      </c>
      <c r="C122" s="151">
        <f>COUNTIFS(Votaciones!$A$2:$A$346,Decisiones!A101,Votaciones!$D$2:$D$346,"Disenso restrictivo")</f>
        <v>0</v>
      </c>
      <c r="D122" s="151">
        <f>COUNTIFS(Votaciones!$A$2:$A$346,Decisiones!A101,Votaciones!$D$2:$D$346,"Disenso acomodaticio")</f>
        <v>0</v>
      </c>
      <c r="E122" s="50" t="e">
        <f>NA()</f>
        <v>#N/A</v>
      </c>
      <c r="F122" s="50" t="e">
        <f>NA()</f>
        <v>#N/A</v>
      </c>
      <c r="G122" s="151" t="e">
        <f ca="1">IF(AND(Decisiones!A101&gt;=IFERROR(INDEX(Participacion_Junta!$A$2:$A$346,_xludf.AGGREGATE(15,6,(ROW(Participacion_Junta!$A$2:$A$346)-1)/(Participacion_Junta!$B$2:$B$346=$X$2),1)),"ZZZ"),Decisiones!A101&lt;=IFERROR(INDEX(Participacion_Junta!$A$2:$A$346,_xludf.AGGREGATE(14,6,(ROW(Participacion_Junta!$A$2:$A$346)-1)/(Participacion_Junta!$B$2:$B$346=$X$2),1)),"")),0.35,NA())</f>
        <v>#N/A</v>
      </c>
      <c r="H122" s="50"/>
      <c r="I122" s="50"/>
      <c r="J122" s="50"/>
      <c r="K122" s="50"/>
      <c r="L122" s="50"/>
      <c r="M122" s="50"/>
      <c r="AA122" s="94">
        <f>Decisiones!B122</f>
        <v>41026</v>
      </c>
    </row>
    <row r="123" spans="1:27" ht="12" customHeight="1">
      <c r="A123" s="66">
        <f>Decisiones!B102</f>
        <v>40228</v>
      </c>
      <c r="B123" s="50">
        <f>Decisiones!H102</f>
        <v>4.5</v>
      </c>
      <c r="C123" s="151">
        <f>COUNTIFS(Votaciones!$A$2:$A$346,Decisiones!A102,Votaciones!$D$2:$D$346,"Disenso restrictivo")</f>
        <v>0</v>
      </c>
      <c r="D123" s="151">
        <f>COUNTIFS(Votaciones!$A$2:$A$346,Decisiones!A102,Votaciones!$D$2:$D$346,"Disenso acomodaticio")</f>
        <v>0</v>
      </c>
      <c r="E123" s="50" t="e">
        <f>NA()</f>
        <v>#N/A</v>
      </c>
      <c r="F123" s="50" t="e">
        <f>NA()</f>
        <v>#N/A</v>
      </c>
      <c r="G123" s="151" t="e">
        <f ca="1">IF(AND(Decisiones!A102&gt;=IFERROR(INDEX(Participacion_Junta!$A$2:$A$346,_xludf.AGGREGATE(15,6,(ROW(Participacion_Junta!$A$2:$A$346)-1)/(Participacion_Junta!$B$2:$B$346=$X$2),1)),"ZZZ"),Decisiones!A102&lt;=IFERROR(INDEX(Participacion_Junta!$A$2:$A$346,_xludf.AGGREGATE(14,6,(ROW(Participacion_Junta!$A$2:$A$346)-1)/(Participacion_Junta!$B$2:$B$346=$X$2),1)),"")),0.35,NA())</f>
        <v>#N/A</v>
      </c>
      <c r="H123" s="50"/>
      <c r="I123" s="50"/>
      <c r="J123" s="50"/>
      <c r="K123" s="50"/>
      <c r="L123" s="50"/>
      <c r="M123" s="50"/>
      <c r="AA123" s="94">
        <f>Decisiones!B123</f>
        <v>41068</v>
      </c>
    </row>
    <row r="124" spans="1:27" ht="12" customHeight="1">
      <c r="A124" s="66">
        <f>Decisiones!B103</f>
        <v>40256</v>
      </c>
      <c r="B124" s="50">
        <f>Decisiones!H103</f>
        <v>4.5</v>
      </c>
      <c r="C124" s="151">
        <f>COUNTIFS(Votaciones!$A$2:$A$346,Decisiones!A103,Votaciones!$D$2:$D$346,"Disenso restrictivo")</f>
        <v>0</v>
      </c>
      <c r="D124" s="151">
        <f>COUNTIFS(Votaciones!$A$2:$A$346,Decisiones!A103,Votaciones!$D$2:$D$346,"Disenso acomodaticio")</f>
        <v>0</v>
      </c>
      <c r="E124" s="50" t="e">
        <f>NA()</f>
        <v>#N/A</v>
      </c>
      <c r="F124" s="50" t="e">
        <f>NA()</f>
        <v>#N/A</v>
      </c>
      <c r="G124" s="151" t="e">
        <f ca="1">IF(AND(Decisiones!A103&gt;=IFERROR(INDEX(Participacion_Junta!$A$2:$A$346,_xludf.AGGREGATE(15,6,(ROW(Participacion_Junta!$A$2:$A$346)-1)/(Participacion_Junta!$B$2:$B$346=$X$2),1)),"ZZZ"),Decisiones!A103&lt;=IFERROR(INDEX(Participacion_Junta!$A$2:$A$346,_xludf.AGGREGATE(14,6,(ROW(Participacion_Junta!$A$2:$A$346)-1)/(Participacion_Junta!$B$2:$B$346=$X$2),1)),"")),0.35,NA())</f>
        <v>#N/A</v>
      </c>
      <c r="H124" s="50"/>
      <c r="I124" s="50"/>
      <c r="J124" s="50"/>
      <c r="K124" s="50"/>
      <c r="L124" s="50"/>
      <c r="M124" s="50"/>
      <c r="AA124" s="94">
        <f>Decisiones!B124</f>
        <v>41110</v>
      </c>
    </row>
    <row r="125" spans="1:27" ht="12" customHeight="1">
      <c r="A125" s="66">
        <f>Decisiones!B104</f>
        <v>40284</v>
      </c>
      <c r="B125" s="50">
        <f>Decisiones!H104</f>
        <v>4.5</v>
      </c>
      <c r="C125" s="151">
        <f>COUNTIFS(Votaciones!$A$2:$A$346,Decisiones!A104,Votaciones!$D$2:$D$346,"Disenso restrictivo")</f>
        <v>0</v>
      </c>
      <c r="D125" s="151">
        <f>COUNTIFS(Votaciones!$A$2:$A$346,Decisiones!A104,Votaciones!$D$2:$D$346,"Disenso acomodaticio")</f>
        <v>0</v>
      </c>
      <c r="E125" s="50" t="e">
        <f>NA()</f>
        <v>#N/A</v>
      </c>
      <c r="F125" s="50" t="e">
        <f>NA()</f>
        <v>#N/A</v>
      </c>
      <c r="G125" s="151" t="e">
        <f ca="1">IF(AND(Decisiones!A104&gt;=IFERROR(INDEX(Participacion_Junta!$A$2:$A$346,_xludf.AGGREGATE(15,6,(ROW(Participacion_Junta!$A$2:$A$346)-1)/(Participacion_Junta!$B$2:$B$346=$X$2),1)),"ZZZ"),Decisiones!A104&lt;=IFERROR(INDEX(Participacion_Junta!$A$2:$A$346,_xludf.AGGREGATE(14,6,(ROW(Participacion_Junta!$A$2:$A$346)-1)/(Participacion_Junta!$B$2:$B$346=$X$2),1)),"")),0.35,NA())</f>
        <v>#N/A</v>
      </c>
      <c r="H125" s="50"/>
      <c r="I125" s="50"/>
      <c r="J125" s="50"/>
      <c r="K125" s="50"/>
      <c r="L125" s="50"/>
      <c r="M125" s="50"/>
      <c r="AA125" s="94">
        <f>Decisiones!B125</f>
        <v>41159</v>
      </c>
    </row>
    <row r="126" spans="1:27" ht="12" customHeight="1">
      <c r="A126" s="66">
        <f>Decisiones!B105</f>
        <v>40319</v>
      </c>
      <c r="B126" s="50">
        <f>Decisiones!H105</f>
        <v>4.5</v>
      </c>
      <c r="C126" s="151">
        <f>COUNTIFS(Votaciones!$A$2:$A$346,Decisiones!A105,Votaciones!$D$2:$D$346,"Disenso restrictivo")</f>
        <v>0</v>
      </c>
      <c r="D126" s="151">
        <f>COUNTIFS(Votaciones!$A$2:$A$346,Decisiones!A105,Votaciones!$D$2:$D$346,"Disenso acomodaticio")</f>
        <v>0</v>
      </c>
      <c r="E126" s="50" t="e">
        <f>NA()</f>
        <v>#N/A</v>
      </c>
      <c r="F126" s="50" t="e">
        <f>NA()</f>
        <v>#N/A</v>
      </c>
      <c r="G126" s="151" t="e">
        <f ca="1">IF(AND(Decisiones!A105&gt;=IFERROR(INDEX(Participacion_Junta!$A$2:$A$346,_xludf.AGGREGATE(15,6,(ROW(Participacion_Junta!$A$2:$A$346)-1)/(Participacion_Junta!$B$2:$B$346=$X$2),1)),"ZZZ"),Decisiones!A105&lt;=IFERROR(INDEX(Participacion_Junta!$A$2:$A$346,_xludf.AGGREGATE(14,6,(ROW(Participacion_Junta!$A$2:$A$346)-1)/(Participacion_Junta!$B$2:$B$346=$X$2),1)),"")),0.35,NA())</f>
        <v>#N/A</v>
      </c>
      <c r="H126" s="50"/>
      <c r="I126" s="50"/>
      <c r="J126" s="50"/>
      <c r="K126" s="50"/>
      <c r="L126" s="50"/>
      <c r="M126" s="50"/>
      <c r="AA126" s="94">
        <f>Decisiones!B126</f>
        <v>41208</v>
      </c>
    </row>
    <row r="127" spans="1:27" ht="12" customHeight="1">
      <c r="A127" s="66">
        <f>Decisiones!B106</f>
        <v>40347</v>
      </c>
      <c r="B127" s="50">
        <f>Decisiones!H106</f>
        <v>4.5</v>
      </c>
      <c r="C127" s="151">
        <f>COUNTIFS(Votaciones!$A$2:$A$346,Decisiones!A106,Votaciones!$D$2:$D$346,"Disenso restrictivo")</f>
        <v>0</v>
      </c>
      <c r="D127" s="151">
        <f>COUNTIFS(Votaciones!$A$2:$A$346,Decisiones!A106,Votaciones!$D$2:$D$346,"Disenso acomodaticio")</f>
        <v>0</v>
      </c>
      <c r="E127" s="50" t="e">
        <f>NA()</f>
        <v>#N/A</v>
      </c>
      <c r="F127" s="50" t="e">
        <f>NA()</f>
        <v>#N/A</v>
      </c>
      <c r="G127" s="151" t="e">
        <f ca="1">IF(AND(Decisiones!A106&gt;=IFERROR(INDEX(Participacion_Junta!$A$2:$A$346,_xludf.AGGREGATE(15,6,(ROW(Participacion_Junta!$A$2:$A$346)-1)/(Participacion_Junta!$B$2:$B$346=$X$2),1)),"ZZZ"),Decisiones!A106&lt;=IFERROR(INDEX(Participacion_Junta!$A$2:$A$346,_xludf.AGGREGATE(14,6,(ROW(Participacion_Junta!$A$2:$A$346)-1)/(Participacion_Junta!$B$2:$B$346=$X$2),1)),"")),0.35,NA())</f>
        <v>#N/A</v>
      </c>
      <c r="H127" s="50"/>
      <c r="I127" s="50"/>
      <c r="J127" s="50"/>
      <c r="K127" s="50"/>
      <c r="L127" s="50"/>
      <c r="M127" s="50"/>
      <c r="AA127" s="94">
        <f>Decisiones!B127</f>
        <v>41243</v>
      </c>
    </row>
    <row r="128" spans="1:27" ht="12" customHeight="1">
      <c r="A128" s="66">
        <f>Decisiones!B107</f>
        <v>40375</v>
      </c>
      <c r="B128" s="50">
        <f>Decisiones!H107</f>
        <v>4.5</v>
      </c>
      <c r="C128" s="151">
        <f>COUNTIFS(Votaciones!$A$2:$A$346,Decisiones!A107,Votaciones!$D$2:$D$346,"Disenso restrictivo")</f>
        <v>0</v>
      </c>
      <c r="D128" s="151">
        <f>COUNTIFS(Votaciones!$A$2:$A$346,Decisiones!A107,Votaciones!$D$2:$D$346,"Disenso acomodaticio")</f>
        <v>0</v>
      </c>
      <c r="E128" s="50" t="e">
        <f>NA()</f>
        <v>#N/A</v>
      </c>
      <c r="F128" s="50" t="e">
        <f>NA()</f>
        <v>#N/A</v>
      </c>
      <c r="G128" s="151" t="e">
        <f ca="1">IF(AND(Decisiones!A107&gt;=IFERROR(INDEX(Participacion_Junta!$A$2:$A$346,_xludf.AGGREGATE(15,6,(ROW(Participacion_Junta!$A$2:$A$346)-1)/(Participacion_Junta!$B$2:$B$346=$X$2),1)),"ZZZ"),Decisiones!A107&lt;=IFERROR(INDEX(Participacion_Junta!$A$2:$A$346,_xludf.AGGREGATE(14,6,(ROW(Participacion_Junta!$A$2:$A$346)-1)/(Participacion_Junta!$B$2:$B$346=$X$2),1)),"")),0.35,NA())</f>
        <v>#N/A</v>
      </c>
      <c r="H128" s="50"/>
      <c r="I128" s="50"/>
      <c r="J128" s="50"/>
      <c r="K128" s="50"/>
      <c r="L128" s="50"/>
      <c r="M128" s="50"/>
      <c r="AA128" s="94">
        <f>Decisiones!B128</f>
        <v>41292</v>
      </c>
    </row>
    <row r="129" spans="1:27" ht="12" customHeight="1">
      <c r="A129" s="66">
        <f>Decisiones!B108</f>
        <v>40410</v>
      </c>
      <c r="B129" s="50">
        <f>Decisiones!H108</f>
        <v>4.5</v>
      </c>
      <c r="C129" s="151">
        <f>COUNTIFS(Votaciones!$A$2:$A$346,Decisiones!A108,Votaciones!$D$2:$D$346,"Disenso restrictivo")</f>
        <v>0</v>
      </c>
      <c r="D129" s="151">
        <f>COUNTIFS(Votaciones!$A$2:$A$346,Decisiones!A108,Votaciones!$D$2:$D$346,"Disenso acomodaticio")</f>
        <v>0</v>
      </c>
      <c r="E129" s="50" t="e">
        <f>NA()</f>
        <v>#N/A</v>
      </c>
      <c r="F129" s="50" t="e">
        <f>NA()</f>
        <v>#N/A</v>
      </c>
      <c r="G129" s="151" t="e">
        <f ca="1">IF(AND(Decisiones!A108&gt;=IFERROR(INDEX(Participacion_Junta!$A$2:$A$346,_xludf.AGGREGATE(15,6,(ROW(Participacion_Junta!$A$2:$A$346)-1)/(Participacion_Junta!$B$2:$B$346=$X$2),1)),"ZZZ"),Decisiones!A108&lt;=IFERROR(INDEX(Participacion_Junta!$A$2:$A$346,_xludf.AGGREGATE(14,6,(ROW(Participacion_Junta!$A$2:$A$346)-1)/(Participacion_Junta!$B$2:$B$346=$X$2),1)),"")),0.35,NA())</f>
        <v>#N/A</v>
      </c>
      <c r="H129" s="50"/>
      <c r="I129" s="50"/>
      <c r="J129" s="50"/>
      <c r="K129" s="50"/>
      <c r="L129" s="50"/>
      <c r="M129" s="50"/>
      <c r="AA129" s="94">
        <f>Decisiones!B129</f>
        <v>41341</v>
      </c>
    </row>
    <row r="130" spans="1:27" ht="12" customHeight="1">
      <c r="A130" s="66">
        <f>Decisiones!B109</f>
        <v>40445</v>
      </c>
      <c r="B130" s="50">
        <f>Decisiones!H109</f>
        <v>4.5</v>
      </c>
      <c r="C130" s="151">
        <f>COUNTIFS(Votaciones!$A$2:$A$346,Decisiones!A109,Votaciones!$D$2:$D$346,"Disenso restrictivo")</f>
        <v>0</v>
      </c>
      <c r="D130" s="151">
        <f>COUNTIFS(Votaciones!$A$2:$A$346,Decisiones!A109,Votaciones!$D$2:$D$346,"Disenso acomodaticio")</f>
        <v>0</v>
      </c>
      <c r="E130" s="50" t="e">
        <f>NA()</f>
        <v>#N/A</v>
      </c>
      <c r="F130" s="50" t="e">
        <f>NA()</f>
        <v>#N/A</v>
      </c>
      <c r="G130" s="151" t="e">
        <f ca="1">IF(AND(Decisiones!A109&gt;=IFERROR(INDEX(Participacion_Junta!$A$2:$A$346,_xludf.AGGREGATE(15,6,(ROW(Participacion_Junta!$A$2:$A$346)-1)/(Participacion_Junta!$B$2:$B$346=$X$2),1)),"ZZZ"),Decisiones!A109&lt;=IFERROR(INDEX(Participacion_Junta!$A$2:$A$346,_xludf.AGGREGATE(14,6,(ROW(Participacion_Junta!$A$2:$A$346)-1)/(Participacion_Junta!$B$2:$B$346=$X$2),1)),"")),0.35,NA())</f>
        <v>#N/A</v>
      </c>
      <c r="H130" s="50"/>
      <c r="I130" s="50"/>
      <c r="J130" s="50"/>
      <c r="K130" s="50"/>
      <c r="L130" s="50"/>
      <c r="M130" s="50"/>
      <c r="AA130" s="94">
        <f>Decisiones!B130</f>
        <v>41390</v>
      </c>
    </row>
    <row r="131" spans="1:27" ht="12" customHeight="1">
      <c r="A131" s="66">
        <f>Decisiones!B110</f>
        <v>40466</v>
      </c>
      <c r="B131" s="50">
        <f>Decisiones!H110</f>
        <v>4.5</v>
      </c>
      <c r="C131" s="151">
        <f>COUNTIFS(Votaciones!$A$2:$A$346,Decisiones!A110,Votaciones!$D$2:$D$346,"Disenso restrictivo")</f>
        <v>0</v>
      </c>
      <c r="D131" s="151">
        <f>COUNTIFS(Votaciones!$A$2:$A$346,Decisiones!A110,Votaciones!$D$2:$D$346,"Disenso acomodaticio")</f>
        <v>0</v>
      </c>
      <c r="E131" s="50" t="e">
        <f>NA()</f>
        <v>#N/A</v>
      </c>
      <c r="F131" s="50" t="e">
        <f>NA()</f>
        <v>#N/A</v>
      </c>
      <c r="G131" s="151" t="e">
        <f ca="1">IF(AND(Decisiones!A110&gt;=IFERROR(INDEX(Participacion_Junta!$A$2:$A$346,_xludf.AGGREGATE(15,6,(ROW(Participacion_Junta!$A$2:$A$346)-1)/(Participacion_Junta!$B$2:$B$346=$X$2),1)),"ZZZ"),Decisiones!A110&lt;=IFERROR(INDEX(Participacion_Junta!$A$2:$A$346,_xludf.AGGREGATE(14,6,(ROW(Participacion_Junta!$A$2:$A$346)-1)/(Participacion_Junta!$B$2:$B$346=$X$2),1)),"")),0.35,NA())</f>
        <v>#N/A</v>
      </c>
      <c r="H131" s="50"/>
      <c r="I131" s="50"/>
      <c r="J131" s="50"/>
      <c r="K131" s="50"/>
      <c r="L131" s="50"/>
      <c r="M131" s="50"/>
      <c r="AA131" s="94">
        <f>Decisiones!B131</f>
        <v>41432</v>
      </c>
    </row>
    <row r="132" spans="1:27" ht="12" customHeight="1">
      <c r="A132" s="66">
        <f>Decisiones!B111</f>
        <v>40508</v>
      </c>
      <c r="B132" s="50">
        <f>Decisiones!H111</f>
        <v>4.5</v>
      </c>
      <c r="C132" s="151">
        <f>COUNTIFS(Votaciones!$A$2:$A$346,Decisiones!A111,Votaciones!$D$2:$D$346,"Disenso restrictivo")</f>
        <v>0</v>
      </c>
      <c r="D132" s="151">
        <f>COUNTIFS(Votaciones!$A$2:$A$346,Decisiones!A111,Votaciones!$D$2:$D$346,"Disenso acomodaticio")</f>
        <v>0</v>
      </c>
      <c r="E132" s="50" t="e">
        <f>NA()</f>
        <v>#N/A</v>
      </c>
      <c r="F132" s="50" t="e">
        <f>NA()</f>
        <v>#N/A</v>
      </c>
      <c r="G132" s="151" t="e">
        <f ca="1">IF(AND(Decisiones!A111&gt;=IFERROR(INDEX(Participacion_Junta!$A$2:$A$346,_xludf.AGGREGATE(15,6,(ROW(Participacion_Junta!$A$2:$A$346)-1)/(Participacion_Junta!$B$2:$B$346=$X$2),1)),"ZZZ"),Decisiones!A111&lt;=IFERROR(INDEX(Participacion_Junta!$A$2:$A$346,_xludf.AGGREGATE(14,6,(ROW(Participacion_Junta!$A$2:$A$346)-1)/(Participacion_Junta!$B$2:$B$346=$X$2),1)),"")),0.35,NA())</f>
        <v>#N/A</v>
      </c>
      <c r="H132" s="50"/>
      <c r="I132" s="50"/>
      <c r="J132" s="50"/>
      <c r="K132" s="50"/>
      <c r="L132" s="50"/>
      <c r="M132" s="50"/>
      <c r="AA132" s="94">
        <f>Decisiones!B132</f>
        <v>41467</v>
      </c>
    </row>
    <row r="133" spans="1:27" ht="12" customHeight="1">
      <c r="A133" s="66">
        <f>Decisiones!B112</f>
        <v>40564</v>
      </c>
      <c r="B133" s="50">
        <f>Decisiones!H112</f>
        <v>4.5</v>
      </c>
      <c r="C133" s="151">
        <f>COUNTIFS(Votaciones!$A$2:$A$346,Decisiones!A112,Votaciones!$D$2:$D$346,"Disenso restrictivo")</f>
        <v>0</v>
      </c>
      <c r="D133" s="151">
        <f>COUNTIFS(Votaciones!$A$2:$A$346,Decisiones!A112,Votaciones!$D$2:$D$346,"Disenso acomodaticio")</f>
        <v>0</v>
      </c>
      <c r="E133" s="50" t="e">
        <f>NA()</f>
        <v>#N/A</v>
      </c>
      <c r="F133" s="50" t="e">
        <f>NA()</f>
        <v>#N/A</v>
      </c>
      <c r="G133" s="151" t="e">
        <f ca="1">IF(AND(Decisiones!A112&gt;=IFERROR(INDEX(Participacion_Junta!$A$2:$A$346,_xludf.AGGREGATE(15,6,(ROW(Participacion_Junta!$A$2:$A$346)-1)/(Participacion_Junta!$B$2:$B$346=$X$2),1)),"ZZZ"),Decisiones!A112&lt;=IFERROR(INDEX(Participacion_Junta!$A$2:$A$346,_xludf.AGGREGATE(14,6,(ROW(Participacion_Junta!$A$2:$A$346)-1)/(Participacion_Junta!$B$2:$B$346=$X$2),1)),"")),0.35,NA())</f>
        <v>#N/A</v>
      </c>
      <c r="H133" s="50"/>
      <c r="I133" s="50"/>
      <c r="J133" s="50"/>
      <c r="K133" s="50"/>
      <c r="L133" s="50"/>
      <c r="M133" s="50"/>
      <c r="AA133" s="94">
        <f>Decisiones!B133</f>
        <v>41523</v>
      </c>
    </row>
    <row r="134" spans="1:27" ht="12" customHeight="1">
      <c r="A134" s="66">
        <f>Decisiones!B113</f>
        <v>40606</v>
      </c>
      <c r="B134" s="50">
        <f>Decisiones!H113</f>
        <v>4.5</v>
      </c>
      <c r="C134" s="151">
        <f>COUNTIFS(Votaciones!$A$2:$A$346,Decisiones!A113,Votaciones!$D$2:$D$346,"Disenso restrictivo")</f>
        <v>0</v>
      </c>
      <c r="D134" s="151">
        <f>COUNTIFS(Votaciones!$A$2:$A$346,Decisiones!A113,Votaciones!$D$2:$D$346,"Disenso acomodaticio")</f>
        <v>0</v>
      </c>
      <c r="E134" s="50" t="e">
        <f>NA()</f>
        <v>#N/A</v>
      </c>
      <c r="F134" s="50" t="e">
        <f>NA()</f>
        <v>#N/A</v>
      </c>
      <c r="G134" s="151" t="e">
        <f ca="1">IF(AND(Decisiones!A113&gt;=IFERROR(INDEX(Participacion_Junta!$A$2:$A$346,_xludf.AGGREGATE(15,6,(ROW(Participacion_Junta!$A$2:$A$346)-1)/(Participacion_Junta!$B$2:$B$346=$X$2),1)),"ZZZ"),Decisiones!A113&lt;=IFERROR(INDEX(Participacion_Junta!$A$2:$A$346,_xludf.AGGREGATE(14,6,(ROW(Participacion_Junta!$A$2:$A$346)-1)/(Participacion_Junta!$B$2:$B$346=$X$2),1)),"")),0.35,NA())</f>
        <v>#N/A</v>
      </c>
      <c r="H134" s="50"/>
      <c r="I134" s="50"/>
      <c r="J134" s="50"/>
      <c r="K134" s="50"/>
      <c r="L134" s="50"/>
      <c r="M134" s="50"/>
      <c r="AA134" s="94">
        <f>Decisiones!B134</f>
        <v>41572</v>
      </c>
    </row>
    <row r="135" spans="1:27" ht="12" customHeight="1">
      <c r="A135" s="66">
        <f>Decisiones!B114</f>
        <v>40648</v>
      </c>
      <c r="B135" s="50">
        <f>Decisiones!H114</f>
        <v>4.5</v>
      </c>
      <c r="C135" s="151">
        <f>COUNTIFS(Votaciones!$A$2:$A$346,Decisiones!A114,Votaciones!$D$2:$D$346,"Disenso restrictivo")</f>
        <v>0</v>
      </c>
      <c r="D135" s="151">
        <f>COUNTIFS(Votaciones!$A$2:$A$346,Decisiones!A114,Votaciones!$D$2:$D$346,"Disenso acomodaticio")</f>
        <v>0</v>
      </c>
      <c r="E135" s="50" t="e">
        <f>NA()</f>
        <v>#N/A</v>
      </c>
      <c r="F135" s="50" t="e">
        <f>NA()</f>
        <v>#N/A</v>
      </c>
      <c r="G135" s="151" t="e">
        <f ca="1">IF(AND(Decisiones!A114&gt;=IFERROR(INDEX(Participacion_Junta!$A$2:$A$346,_xludf.AGGREGATE(15,6,(ROW(Participacion_Junta!$A$2:$A$346)-1)/(Participacion_Junta!$B$2:$B$346=$X$2),1)),"ZZZ"),Decisiones!A114&lt;=IFERROR(INDEX(Participacion_Junta!$A$2:$A$346,_xludf.AGGREGATE(14,6,(ROW(Participacion_Junta!$A$2:$A$346)-1)/(Participacion_Junta!$B$2:$B$346=$X$2),1)),"")),0.35,NA())</f>
        <v>#N/A</v>
      </c>
      <c r="H135" s="50"/>
      <c r="I135" s="50"/>
      <c r="J135" s="50"/>
      <c r="K135" s="50"/>
      <c r="L135" s="50"/>
      <c r="M135" s="50"/>
      <c r="AA135" s="94">
        <f>Decisiones!B135</f>
        <v>41614</v>
      </c>
    </row>
    <row r="136" spans="1:27" ht="12" customHeight="1">
      <c r="A136" s="66">
        <f>Decisiones!B115</f>
        <v>40690</v>
      </c>
      <c r="B136" s="50">
        <f>Decisiones!H115</f>
        <v>4.5</v>
      </c>
      <c r="C136" s="151">
        <f>COUNTIFS(Votaciones!$A$2:$A$346,Decisiones!A115,Votaciones!$D$2:$D$346,"Disenso restrictivo")</f>
        <v>0</v>
      </c>
      <c r="D136" s="151">
        <f>COUNTIFS(Votaciones!$A$2:$A$346,Decisiones!A115,Votaciones!$D$2:$D$346,"Disenso acomodaticio")</f>
        <v>0</v>
      </c>
      <c r="E136" s="50" t="e">
        <f>NA()</f>
        <v>#N/A</v>
      </c>
      <c r="F136" s="50" t="e">
        <f>NA()</f>
        <v>#N/A</v>
      </c>
      <c r="G136" s="151" t="e">
        <f ca="1">IF(AND(Decisiones!A115&gt;=IFERROR(INDEX(Participacion_Junta!$A$2:$A$346,_xludf.AGGREGATE(15,6,(ROW(Participacion_Junta!$A$2:$A$346)-1)/(Participacion_Junta!$B$2:$B$346=$X$2),1)),"ZZZ"),Decisiones!A115&lt;=IFERROR(INDEX(Participacion_Junta!$A$2:$A$346,_xludf.AGGREGATE(14,6,(ROW(Participacion_Junta!$A$2:$A$346)-1)/(Participacion_Junta!$B$2:$B$346=$X$2),1)),"")),0.35,NA())</f>
        <v>#N/A</v>
      </c>
      <c r="H136" s="50"/>
      <c r="I136" s="50"/>
      <c r="J136" s="50"/>
      <c r="K136" s="50"/>
      <c r="L136" s="50"/>
      <c r="M136" s="50"/>
      <c r="AA136" s="94">
        <f>Decisiones!B136</f>
        <v>41670</v>
      </c>
    </row>
    <row r="137" spans="1:27" ht="12" customHeight="1">
      <c r="A137" s="66">
        <f>Decisiones!B116</f>
        <v>40732</v>
      </c>
      <c r="B137" s="50">
        <f>Decisiones!H116</f>
        <v>4.5</v>
      </c>
      <c r="C137" s="151">
        <f>COUNTIFS(Votaciones!$A$2:$A$346,Decisiones!A116,Votaciones!$D$2:$D$346,"Disenso restrictivo")</f>
        <v>0</v>
      </c>
      <c r="D137" s="151">
        <f>COUNTIFS(Votaciones!$A$2:$A$346,Decisiones!A116,Votaciones!$D$2:$D$346,"Disenso acomodaticio")</f>
        <v>0</v>
      </c>
      <c r="E137" s="50" t="e">
        <f>NA()</f>
        <v>#N/A</v>
      </c>
      <c r="F137" s="50" t="e">
        <f>NA()</f>
        <v>#N/A</v>
      </c>
      <c r="G137" s="151" t="e">
        <f ca="1">IF(AND(Decisiones!A116&gt;=IFERROR(INDEX(Participacion_Junta!$A$2:$A$346,_xludf.AGGREGATE(15,6,(ROW(Participacion_Junta!$A$2:$A$346)-1)/(Participacion_Junta!$B$2:$B$346=$X$2),1)),"ZZZ"),Decisiones!A116&lt;=IFERROR(INDEX(Participacion_Junta!$A$2:$A$346,_xludf.AGGREGATE(14,6,(ROW(Participacion_Junta!$A$2:$A$346)-1)/(Participacion_Junta!$B$2:$B$346=$X$2),1)),"")),0.35,NA())</f>
        <v>#N/A</v>
      </c>
      <c r="H137" s="50"/>
      <c r="I137" s="50"/>
      <c r="J137" s="50"/>
      <c r="K137" s="50"/>
      <c r="L137" s="50"/>
      <c r="M137" s="50"/>
      <c r="AA137" s="94">
        <f>Decisiones!B137</f>
        <v>41719</v>
      </c>
    </row>
    <row r="138" spans="1:27" ht="12" customHeight="1">
      <c r="A138" s="66">
        <f>Decisiones!B117</f>
        <v>40781</v>
      </c>
      <c r="B138" s="50">
        <f>Decisiones!H117</f>
        <v>4.5</v>
      </c>
      <c r="C138" s="151">
        <f>COUNTIFS(Votaciones!$A$2:$A$346,Decisiones!A117,Votaciones!$D$2:$D$346,"Disenso restrictivo")</f>
        <v>0</v>
      </c>
      <c r="D138" s="151">
        <f>COUNTIFS(Votaciones!$A$2:$A$346,Decisiones!A117,Votaciones!$D$2:$D$346,"Disenso acomodaticio")</f>
        <v>0</v>
      </c>
      <c r="E138" s="50" t="e">
        <f>NA()</f>
        <v>#N/A</v>
      </c>
      <c r="F138" s="50" t="e">
        <f>NA()</f>
        <v>#N/A</v>
      </c>
      <c r="G138" s="151" t="e">
        <f ca="1">IF(AND(Decisiones!A117&gt;=IFERROR(INDEX(Participacion_Junta!$A$2:$A$346,_xludf.AGGREGATE(15,6,(ROW(Participacion_Junta!$A$2:$A$346)-1)/(Participacion_Junta!$B$2:$B$346=$X$2),1)),"ZZZ"),Decisiones!A117&lt;=IFERROR(INDEX(Participacion_Junta!$A$2:$A$346,_xludf.AGGREGATE(14,6,(ROW(Participacion_Junta!$A$2:$A$346)-1)/(Participacion_Junta!$B$2:$B$346=$X$2),1)),"")),0.35,NA())</f>
        <v>#N/A</v>
      </c>
      <c r="H138" s="50"/>
      <c r="I138" s="50"/>
      <c r="J138" s="50"/>
      <c r="K138" s="50"/>
      <c r="L138" s="50"/>
      <c r="M138" s="50"/>
      <c r="AA138" s="94">
        <f>Decisiones!B138</f>
        <v>41754</v>
      </c>
    </row>
    <row r="139" spans="1:27" ht="12" customHeight="1">
      <c r="A139" s="66">
        <f>Decisiones!B118</f>
        <v>40830</v>
      </c>
      <c r="B139" s="50">
        <f>Decisiones!H118</f>
        <v>4.5</v>
      </c>
      <c r="C139" s="151">
        <f>COUNTIFS(Votaciones!$A$2:$A$346,Decisiones!A118,Votaciones!$D$2:$D$346,"Disenso restrictivo")</f>
        <v>0</v>
      </c>
      <c r="D139" s="151">
        <f>COUNTIFS(Votaciones!$A$2:$A$346,Decisiones!A118,Votaciones!$D$2:$D$346,"Disenso acomodaticio")</f>
        <v>0</v>
      </c>
      <c r="E139" s="50" t="e">
        <f>NA()</f>
        <v>#N/A</v>
      </c>
      <c r="F139" s="50" t="e">
        <f>NA()</f>
        <v>#N/A</v>
      </c>
      <c r="G139" s="151" t="e">
        <f ca="1">IF(AND(Decisiones!A118&gt;=IFERROR(INDEX(Participacion_Junta!$A$2:$A$346,_xludf.AGGREGATE(15,6,(ROW(Participacion_Junta!$A$2:$A$346)-1)/(Participacion_Junta!$B$2:$B$346=$X$2),1)),"ZZZ"),Decisiones!A118&lt;=IFERROR(INDEX(Participacion_Junta!$A$2:$A$346,_xludf.AGGREGATE(14,6,(ROW(Participacion_Junta!$A$2:$A$346)-1)/(Participacion_Junta!$B$2:$B$346=$X$2),1)),"")),0.35,NA())</f>
        <v>#N/A</v>
      </c>
      <c r="H139" s="50"/>
      <c r="I139" s="50"/>
      <c r="J139" s="50"/>
      <c r="K139" s="50"/>
      <c r="L139" s="50"/>
      <c r="M139" s="50"/>
      <c r="AA139" s="94">
        <f>Decisiones!B139</f>
        <v>41796</v>
      </c>
    </row>
    <row r="140" spans="1:27" ht="12" customHeight="1">
      <c r="A140" s="66">
        <f>Decisiones!B119</f>
        <v>40879</v>
      </c>
      <c r="B140" s="50">
        <f>Decisiones!H119</f>
        <v>4.5</v>
      </c>
      <c r="C140" s="151">
        <f>COUNTIFS(Votaciones!$A$2:$A$346,Decisiones!A119,Votaciones!$D$2:$D$346,"Disenso restrictivo")</f>
        <v>0</v>
      </c>
      <c r="D140" s="151">
        <f>COUNTIFS(Votaciones!$A$2:$A$346,Decisiones!A119,Votaciones!$D$2:$D$346,"Disenso acomodaticio")</f>
        <v>0</v>
      </c>
      <c r="E140" s="50" t="e">
        <f>NA()</f>
        <v>#N/A</v>
      </c>
      <c r="F140" s="50" t="e">
        <f>NA()</f>
        <v>#N/A</v>
      </c>
      <c r="G140" s="151" t="e">
        <f ca="1">IF(AND(Decisiones!A119&gt;=IFERROR(INDEX(Participacion_Junta!$A$2:$A$346,_xludf.AGGREGATE(15,6,(ROW(Participacion_Junta!$A$2:$A$346)-1)/(Participacion_Junta!$B$2:$B$346=$X$2),1)),"ZZZ"),Decisiones!A119&lt;=IFERROR(INDEX(Participacion_Junta!$A$2:$A$346,_xludf.AGGREGATE(14,6,(ROW(Participacion_Junta!$A$2:$A$346)-1)/(Participacion_Junta!$B$2:$B$346=$X$2),1)),"")),0.35,NA())</f>
        <v>#N/A</v>
      </c>
      <c r="H140" s="50"/>
      <c r="I140" s="50"/>
      <c r="J140" s="50"/>
      <c r="K140" s="50"/>
      <c r="L140" s="50"/>
      <c r="M140" s="50"/>
      <c r="AA140" s="94">
        <f>Decisiones!B140</f>
        <v>41831</v>
      </c>
    </row>
    <row r="141" spans="1:27" ht="12" customHeight="1">
      <c r="A141" s="66">
        <f>Decisiones!B120</f>
        <v>40928</v>
      </c>
      <c r="B141" s="50">
        <f>Decisiones!H120</f>
        <v>4.5</v>
      </c>
      <c r="C141" s="151">
        <f>COUNTIFS(Votaciones!$A$2:$A$346,Decisiones!A120,Votaciones!$D$2:$D$346,"Disenso restrictivo")</f>
        <v>0</v>
      </c>
      <c r="D141" s="151">
        <f>COUNTIFS(Votaciones!$A$2:$A$346,Decisiones!A120,Votaciones!$D$2:$D$346,"Disenso acomodaticio")</f>
        <v>0</v>
      </c>
      <c r="E141" s="50" t="e">
        <f>NA()</f>
        <v>#N/A</v>
      </c>
      <c r="F141" s="50" t="e">
        <f>NA()</f>
        <v>#N/A</v>
      </c>
      <c r="G141" s="151" t="e">
        <f ca="1">IF(AND(Decisiones!A120&gt;=IFERROR(INDEX(Participacion_Junta!$A$2:$A$346,_xludf.AGGREGATE(15,6,(ROW(Participacion_Junta!$A$2:$A$346)-1)/(Participacion_Junta!$B$2:$B$346=$X$2),1)),"ZZZ"),Decisiones!A120&lt;=IFERROR(INDEX(Participacion_Junta!$A$2:$A$346,_xludf.AGGREGATE(14,6,(ROW(Participacion_Junta!$A$2:$A$346)-1)/(Participacion_Junta!$B$2:$B$346=$X$2),1)),"")),0.35,NA())</f>
        <v>#N/A</v>
      </c>
      <c r="H141" s="50"/>
      <c r="I141" s="50"/>
      <c r="J141" s="50"/>
      <c r="K141" s="50"/>
      <c r="L141" s="50"/>
      <c r="M141" s="50"/>
      <c r="AA141" s="94">
        <f>Decisiones!B141</f>
        <v>41887</v>
      </c>
    </row>
    <row r="142" spans="1:27" ht="12" customHeight="1">
      <c r="A142" s="66">
        <f>Decisiones!B121</f>
        <v>40984</v>
      </c>
      <c r="B142" s="50">
        <f>Decisiones!H121</f>
        <v>4.5</v>
      </c>
      <c r="C142" s="151">
        <f>COUNTIFS(Votaciones!$A$2:$A$346,Decisiones!A121,Votaciones!$D$2:$D$346,"Disenso restrictivo")</f>
        <v>0</v>
      </c>
      <c r="D142" s="151">
        <f>COUNTIFS(Votaciones!$A$2:$A$346,Decisiones!A121,Votaciones!$D$2:$D$346,"Disenso acomodaticio")</f>
        <v>0</v>
      </c>
      <c r="E142" s="50" t="e">
        <f>NA()</f>
        <v>#N/A</v>
      </c>
      <c r="F142" s="50" t="e">
        <f>NA()</f>
        <v>#N/A</v>
      </c>
      <c r="G142" s="151" t="e">
        <f ca="1">IF(AND(Decisiones!A121&gt;=IFERROR(INDEX(Participacion_Junta!$A$2:$A$346,_xludf.AGGREGATE(15,6,(ROW(Participacion_Junta!$A$2:$A$346)-1)/(Participacion_Junta!$B$2:$B$346=$X$2),1)),"ZZZ"),Decisiones!A121&lt;=IFERROR(INDEX(Participacion_Junta!$A$2:$A$346,_xludf.AGGREGATE(14,6,(ROW(Participacion_Junta!$A$2:$A$346)-1)/(Participacion_Junta!$B$2:$B$346=$X$2),1)),"")),0.35,NA())</f>
        <v>#N/A</v>
      </c>
      <c r="H142" s="50"/>
      <c r="I142" s="50"/>
      <c r="J142" s="50"/>
      <c r="K142" s="50"/>
      <c r="L142" s="50"/>
      <c r="M142" s="50"/>
      <c r="AA142" s="94">
        <f>Decisiones!B142</f>
        <v>41943</v>
      </c>
    </row>
    <row r="143" spans="1:27" ht="12" customHeight="1">
      <c r="A143" s="66">
        <f>Decisiones!B122</f>
        <v>41026</v>
      </c>
      <c r="B143" s="50">
        <f>Decisiones!H122</f>
        <v>4.5</v>
      </c>
      <c r="C143" s="151">
        <f>COUNTIFS(Votaciones!$A$2:$A$346,Decisiones!A122,Votaciones!$D$2:$D$346,"Disenso restrictivo")</f>
        <v>0</v>
      </c>
      <c r="D143" s="151">
        <f>COUNTIFS(Votaciones!$A$2:$A$346,Decisiones!A122,Votaciones!$D$2:$D$346,"Disenso acomodaticio")</f>
        <v>0</v>
      </c>
      <c r="E143" s="50" t="e">
        <f>NA()</f>
        <v>#N/A</v>
      </c>
      <c r="F143" s="50" t="e">
        <f>NA()</f>
        <v>#N/A</v>
      </c>
      <c r="G143" s="151" t="e">
        <f ca="1">IF(AND(Decisiones!A122&gt;=IFERROR(INDEX(Participacion_Junta!$A$2:$A$346,_xludf.AGGREGATE(15,6,(ROW(Participacion_Junta!$A$2:$A$346)-1)/(Participacion_Junta!$B$2:$B$346=$X$2),1)),"ZZZ"),Decisiones!A122&lt;=IFERROR(INDEX(Participacion_Junta!$A$2:$A$346,_xludf.AGGREGATE(14,6,(ROW(Participacion_Junta!$A$2:$A$346)-1)/(Participacion_Junta!$B$2:$B$346=$X$2),1)),"")),0.35,NA())</f>
        <v>#N/A</v>
      </c>
      <c r="H143" s="50"/>
      <c r="I143" s="50"/>
      <c r="J143" s="50"/>
      <c r="K143" s="50"/>
      <c r="L143" s="50"/>
      <c r="M143" s="50"/>
      <c r="AA143" s="94">
        <f>Decisiones!B143</f>
        <v>41978</v>
      </c>
    </row>
    <row r="144" spans="1:27" ht="12" customHeight="1">
      <c r="A144" s="66">
        <f>Decisiones!B123</f>
        <v>41068</v>
      </c>
      <c r="B144" s="50">
        <f>Decisiones!H123</f>
        <v>4.5</v>
      </c>
      <c r="C144" s="151">
        <f>COUNTIFS(Votaciones!$A$2:$A$346,Decisiones!A123,Votaciones!$D$2:$D$346,"Disenso restrictivo")</f>
        <v>0</v>
      </c>
      <c r="D144" s="151">
        <f>COUNTIFS(Votaciones!$A$2:$A$346,Decisiones!A123,Votaciones!$D$2:$D$346,"Disenso acomodaticio")</f>
        <v>0</v>
      </c>
      <c r="E144" s="50" t="e">
        <f>NA()</f>
        <v>#N/A</v>
      </c>
      <c r="F144" s="50" t="e">
        <f>NA()</f>
        <v>#N/A</v>
      </c>
      <c r="G144" s="151" t="e">
        <f ca="1">IF(AND(Decisiones!A123&gt;=IFERROR(INDEX(Participacion_Junta!$A$2:$A$346,_xludf.AGGREGATE(15,6,(ROW(Participacion_Junta!$A$2:$A$346)-1)/(Participacion_Junta!$B$2:$B$346=$X$2),1)),"ZZZ"),Decisiones!A123&lt;=IFERROR(INDEX(Participacion_Junta!$A$2:$A$346,_xludf.AGGREGATE(14,6,(ROW(Participacion_Junta!$A$2:$A$346)-1)/(Participacion_Junta!$B$2:$B$346=$X$2),1)),"")),0.35,NA())</f>
        <v>#N/A</v>
      </c>
      <c r="H144" s="50"/>
      <c r="I144" s="50"/>
      <c r="J144" s="50"/>
      <c r="K144" s="50"/>
      <c r="L144" s="50"/>
      <c r="M144" s="50"/>
      <c r="AA144" s="94">
        <f>Decisiones!B144</f>
        <v>42033</v>
      </c>
    </row>
    <row r="145" spans="1:27" ht="12" customHeight="1">
      <c r="A145" s="66">
        <f>Decisiones!B124</f>
        <v>41110</v>
      </c>
      <c r="B145" s="50">
        <f>Decisiones!H124</f>
        <v>4.5</v>
      </c>
      <c r="C145" s="151">
        <f>COUNTIFS(Votaciones!$A$2:$A$346,Decisiones!A124,Votaciones!$D$2:$D$346,"Disenso restrictivo")</f>
        <v>0</v>
      </c>
      <c r="D145" s="151">
        <f>COUNTIFS(Votaciones!$A$2:$A$346,Decisiones!A124,Votaciones!$D$2:$D$346,"Disenso acomodaticio")</f>
        <v>0</v>
      </c>
      <c r="E145" s="50" t="e">
        <f>NA()</f>
        <v>#N/A</v>
      </c>
      <c r="F145" s="50" t="e">
        <f>NA()</f>
        <v>#N/A</v>
      </c>
      <c r="G145" s="151" t="e">
        <f ca="1">IF(AND(Decisiones!A124&gt;=IFERROR(INDEX(Participacion_Junta!$A$2:$A$346,_xludf.AGGREGATE(15,6,(ROW(Participacion_Junta!$A$2:$A$346)-1)/(Participacion_Junta!$B$2:$B$346=$X$2),1)),"ZZZ"),Decisiones!A124&lt;=IFERROR(INDEX(Participacion_Junta!$A$2:$A$346,_xludf.AGGREGATE(14,6,(ROW(Participacion_Junta!$A$2:$A$346)-1)/(Participacion_Junta!$B$2:$B$346=$X$2),1)),"")),0.35,NA())</f>
        <v>#N/A</v>
      </c>
      <c r="H145" s="50"/>
      <c r="I145" s="50"/>
      <c r="J145" s="50"/>
      <c r="K145" s="50"/>
      <c r="L145" s="50"/>
      <c r="M145" s="50"/>
      <c r="AA145" s="94">
        <f>Decisiones!B145</f>
        <v>42089</v>
      </c>
    </row>
    <row r="146" spans="1:27" ht="12" customHeight="1">
      <c r="A146" s="66">
        <f>Decisiones!B125</f>
        <v>41159</v>
      </c>
      <c r="B146" s="50">
        <f>Decisiones!H125</f>
        <v>4.5</v>
      </c>
      <c r="C146" s="151">
        <f>COUNTIFS(Votaciones!$A$2:$A$346,Decisiones!A125,Votaciones!$D$2:$D$346,"Disenso restrictivo")</f>
        <v>0</v>
      </c>
      <c r="D146" s="151">
        <f>COUNTIFS(Votaciones!$A$2:$A$346,Decisiones!A125,Votaciones!$D$2:$D$346,"Disenso acomodaticio")</f>
        <v>0</v>
      </c>
      <c r="E146" s="50" t="e">
        <f>NA()</f>
        <v>#N/A</v>
      </c>
      <c r="F146" s="50" t="e">
        <f>NA()</f>
        <v>#N/A</v>
      </c>
      <c r="G146" s="151" t="e">
        <f ca="1">IF(AND(Decisiones!A125&gt;=IFERROR(INDEX(Participacion_Junta!$A$2:$A$346,_xludf.AGGREGATE(15,6,(ROW(Participacion_Junta!$A$2:$A$346)-1)/(Participacion_Junta!$B$2:$B$346=$X$2),1)),"ZZZ"),Decisiones!A125&lt;=IFERROR(INDEX(Participacion_Junta!$A$2:$A$346,_xludf.AGGREGATE(14,6,(ROW(Participacion_Junta!$A$2:$A$346)-1)/(Participacion_Junta!$B$2:$B$346=$X$2),1)),"")),0.35,NA())</f>
        <v>#N/A</v>
      </c>
      <c r="H146" s="50"/>
      <c r="I146" s="50"/>
      <c r="J146" s="50"/>
      <c r="K146" s="50"/>
      <c r="L146" s="50"/>
      <c r="M146" s="50"/>
      <c r="AA146" s="94">
        <f>Decisiones!B146</f>
        <v>42124</v>
      </c>
    </row>
    <row r="147" spans="1:27" ht="12" customHeight="1">
      <c r="A147" s="66">
        <f>Decisiones!B126</f>
        <v>41208</v>
      </c>
      <c r="B147" s="50">
        <f>Decisiones!H126</f>
        <v>4.5</v>
      </c>
      <c r="C147" s="151">
        <f>COUNTIFS(Votaciones!$A$2:$A$346,Decisiones!A126,Votaciones!$D$2:$D$346,"Disenso restrictivo")</f>
        <v>0</v>
      </c>
      <c r="D147" s="151">
        <f>COUNTIFS(Votaciones!$A$2:$A$346,Decisiones!A126,Votaciones!$D$2:$D$346,"Disenso acomodaticio")</f>
        <v>0</v>
      </c>
      <c r="E147" s="50" t="e">
        <f>NA()</f>
        <v>#N/A</v>
      </c>
      <c r="F147" s="50" t="e">
        <f>NA()</f>
        <v>#N/A</v>
      </c>
      <c r="G147" s="151" t="e">
        <f ca="1">IF(AND(Decisiones!A126&gt;=IFERROR(INDEX(Participacion_Junta!$A$2:$A$346,_xludf.AGGREGATE(15,6,(ROW(Participacion_Junta!$A$2:$A$346)-1)/(Participacion_Junta!$B$2:$B$346=$X$2),1)),"ZZZ"),Decisiones!A126&lt;=IFERROR(INDEX(Participacion_Junta!$A$2:$A$346,_xludf.AGGREGATE(14,6,(ROW(Participacion_Junta!$A$2:$A$346)-1)/(Participacion_Junta!$B$2:$B$346=$X$2),1)),"")),0.35,NA())</f>
        <v>#N/A</v>
      </c>
      <c r="H147" s="50"/>
      <c r="I147" s="50"/>
      <c r="J147" s="50"/>
      <c r="K147" s="50"/>
      <c r="L147" s="50"/>
      <c r="M147" s="50"/>
      <c r="AA147" s="94">
        <f>Decisiones!B147</f>
        <v>42159</v>
      </c>
    </row>
    <row r="148" spans="1:27" ht="12" customHeight="1">
      <c r="A148" s="66">
        <f>Decisiones!B127</f>
        <v>41243</v>
      </c>
      <c r="B148" s="50">
        <f>Decisiones!H127</f>
        <v>4.5</v>
      </c>
      <c r="C148" s="151">
        <f>COUNTIFS(Votaciones!$A$2:$A$346,Decisiones!A127,Votaciones!$D$2:$D$346,"Disenso restrictivo")</f>
        <v>0</v>
      </c>
      <c r="D148" s="151">
        <f>COUNTIFS(Votaciones!$A$2:$A$346,Decisiones!A127,Votaciones!$D$2:$D$346,"Disenso acomodaticio")</f>
        <v>0</v>
      </c>
      <c r="E148" s="50" t="e">
        <f>NA()</f>
        <v>#N/A</v>
      </c>
      <c r="F148" s="50" t="e">
        <f>NA()</f>
        <v>#N/A</v>
      </c>
      <c r="G148" s="151" t="e">
        <f ca="1">IF(AND(Decisiones!A127&gt;=IFERROR(INDEX(Participacion_Junta!$A$2:$A$346,_xludf.AGGREGATE(15,6,(ROW(Participacion_Junta!$A$2:$A$346)-1)/(Participacion_Junta!$B$2:$B$346=$X$2),1)),"ZZZ"),Decisiones!A127&lt;=IFERROR(INDEX(Participacion_Junta!$A$2:$A$346,_xludf.AGGREGATE(14,6,(ROW(Participacion_Junta!$A$2:$A$346)-1)/(Participacion_Junta!$B$2:$B$346=$X$2),1)),"")),0.35,NA())</f>
        <v>#N/A</v>
      </c>
      <c r="H148" s="50"/>
      <c r="I148" s="50"/>
      <c r="J148" s="50"/>
      <c r="K148" s="50"/>
      <c r="L148" s="50"/>
      <c r="M148" s="50"/>
      <c r="AA148" s="94">
        <f>Decisiones!B148</f>
        <v>42215</v>
      </c>
    </row>
    <row r="149" spans="1:27" ht="12" customHeight="1">
      <c r="A149" s="66">
        <f>Decisiones!B128</f>
        <v>41292</v>
      </c>
      <c r="B149" s="50">
        <f>Decisiones!H128</f>
        <v>4.5</v>
      </c>
      <c r="C149" s="151">
        <f>COUNTIFS(Votaciones!$A$2:$A$346,Decisiones!A128,Votaciones!$D$2:$D$346,"Disenso restrictivo")</f>
        <v>0</v>
      </c>
      <c r="D149" s="151">
        <f>COUNTIFS(Votaciones!$A$2:$A$346,Decisiones!A128,Votaciones!$D$2:$D$346,"Disenso acomodaticio")</f>
        <v>0</v>
      </c>
      <c r="E149" s="50" t="e">
        <f>NA()</f>
        <v>#N/A</v>
      </c>
      <c r="F149" s="50" t="e">
        <f>NA()</f>
        <v>#N/A</v>
      </c>
      <c r="G149" s="151" t="e">
        <f ca="1">IF(AND(Decisiones!A128&gt;=IFERROR(INDEX(Participacion_Junta!$A$2:$A$346,_xludf.AGGREGATE(15,6,(ROW(Participacion_Junta!$A$2:$A$346)-1)/(Participacion_Junta!$B$2:$B$346=$X$2),1)),"ZZZ"),Decisiones!A128&lt;=IFERROR(INDEX(Participacion_Junta!$A$2:$A$346,_xludf.AGGREGATE(14,6,(ROW(Participacion_Junta!$A$2:$A$346)-1)/(Participacion_Junta!$B$2:$B$346=$X$2),1)),"")),0.35,NA())</f>
        <v>#N/A</v>
      </c>
      <c r="H149" s="50"/>
      <c r="I149" s="50"/>
      <c r="J149" s="50"/>
      <c r="K149" s="50"/>
      <c r="L149" s="50"/>
      <c r="M149" s="50"/>
      <c r="AA149" s="94">
        <f>Decisiones!B149</f>
        <v>42268</v>
      </c>
    </row>
    <row r="150" spans="1:27" ht="12" customHeight="1">
      <c r="A150" s="66">
        <f>Decisiones!B129</f>
        <v>41341</v>
      </c>
      <c r="B150" s="50">
        <f>Decisiones!H129</f>
        <v>4</v>
      </c>
      <c r="C150" s="151">
        <f>COUNTIFS(Votaciones!$A$2:$A$346,Decisiones!A129,Votaciones!$D$2:$D$346,"Disenso restrictivo")</f>
        <v>0</v>
      </c>
      <c r="D150" s="151">
        <f>COUNTIFS(Votaciones!$A$2:$A$346,Decisiones!A129,Votaciones!$D$2:$D$346,"Disenso acomodaticio")</f>
        <v>0</v>
      </c>
      <c r="E150" s="50" t="e">
        <f>NA()</f>
        <v>#N/A</v>
      </c>
      <c r="F150" s="50" t="e">
        <f>NA()</f>
        <v>#N/A</v>
      </c>
      <c r="G150" s="151" t="e">
        <f ca="1">IF(AND(Decisiones!A129&gt;=IFERROR(INDEX(Participacion_Junta!$A$2:$A$346,_xludf.AGGREGATE(15,6,(ROW(Participacion_Junta!$A$2:$A$346)-1)/(Participacion_Junta!$B$2:$B$346=$X$2),1)),"ZZZ"),Decisiones!A129&lt;=IFERROR(INDEX(Participacion_Junta!$A$2:$A$346,_xludf.AGGREGATE(14,6,(ROW(Participacion_Junta!$A$2:$A$346)-1)/(Participacion_Junta!$B$2:$B$346=$X$2),1)),"")),0.35,NA())</f>
        <v>#N/A</v>
      </c>
      <c r="H150" s="50"/>
      <c r="I150" s="50"/>
      <c r="J150" s="50"/>
      <c r="K150" s="50"/>
      <c r="L150" s="50"/>
      <c r="M150" s="50"/>
      <c r="AA150" s="94">
        <f>Decisiones!B150</f>
        <v>42306</v>
      </c>
    </row>
    <row r="151" spans="1:27" ht="12" customHeight="1">
      <c r="A151" s="66">
        <f>Decisiones!B130</f>
        <v>41390</v>
      </c>
      <c r="B151" s="50">
        <f>Decisiones!H130</f>
        <v>4</v>
      </c>
      <c r="C151" s="151">
        <f>COUNTIFS(Votaciones!$A$2:$A$346,Decisiones!A130,Votaciones!$D$2:$D$346,"Disenso restrictivo")</f>
        <v>0</v>
      </c>
      <c r="D151" s="151">
        <f>COUNTIFS(Votaciones!$A$2:$A$346,Decisiones!A130,Votaciones!$D$2:$D$346,"Disenso acomodaticio")</f>
        <v>0</v>
      </c>
      <c r="E151" s="50" t="e">
        <f>NA()</f>
        <v>#N/A</v>
      </c>
      <c r="F151" s="50" t="e">
        <f>NA()</f>
        <v>#N/A</v>
      </c>
      <c r="G151" s="151" t="e">
        <f ca="1">IF(AND(Decisiones!A130&gt;=IFERROR(INDEX(Participacion_Junta!$A$2:$A$346,_xludf.AGGREGATE(15,6,(ROW(Participacion_Junta!$A$2:$A$346)-1)/(Participacion_Junta!$B$2:$B$346=$X$2),1)),"ZZZ"),Decisiones!A130&lt;=IFERROR(INDEX(Participacion_Junta!$A$2:$A$346,_xludf.AGGREGATE(14,6,(ROW(Participacion_Junta!$A$2:$A$346)-1)/(Participacion_Junta!$B$2:$B$346=$X$2),1)),"")),0.35,NA())</f>
        <v>#N/A</v>
      </c>
      <c r="H151" s="50"/>
      <c r="I151" s="50"/>
      <c r="J151" s="50"/>
      <c r="K151" s="50"/>
      <c r="L151" s="50"/>
      <c r="M151" s="50"/>
      <c r="AA151" s="94">
        <f>Decisiones!B151</f>
        <v>42355</v>
      </c>
    </row>
    <row r="152" spans="1:27" ht="12" customHeight="1">
      <c r="A152" s="66">
        <f>Decisiones!B131</f>
        <v>41432</v>
      </c>
      <c r="B152" s="50">
        <f>Decisiones!H131</f>
        <v>4</v>
      </c>
      <c r="C152" s="151">
        <f>COUNTIFS(Votaciones!$A$2:$A$346,Decisiones!A131,Votaciones!$D$2:$D$346,"Disenso restrictivo")</f>
        <v>0</v>
      </c>
      <c r="D152" s="151">
        <f>COUNTIFS(Votaciones!$A$2:$A$346,Decisiones!A131,Votaciones!$D$2:$D$346,"Disenso acomodaticio")</f>
        <v>0</v>
      </c>
      <c r="E152" s="50" t="e">
        <f>NA()</f>
        <v>#N/A</v>
      </c>
      <c r="F152" s="50" t="e">
        <f>NA()</f>
        <v>#N/A</v>
      </c>
      <c r="G152" s="151" t="e">
        <f ca="1">IF(AND(Decisiones!A131&gt;=IFERROR(INDEX(Participacion_Junta!$A$2:$A$346,_xludf.AGGREGATE(15,6,(ROW(Participacion_Junta!$A$2:$A$346)-1)/(Participacion_Junta!$B$2:$B$346=$X$2),1)),"ZZZ"),Decisiones!A131&lt;=IFERROR(INDEX(Participacion_Junta!$A$2:$A$346,_xludf.AGGREGATE(14,6,(ROW(Participacion_Junta!$A$2:$A$346)-1)/(Participacion_Junta!$B$2:$B$346=$X$2),1)),"")),0.35,NA())</f>
        <v>#N/A</v>
      </c>
      <c r="H152" s="50"/>
      <c r="I152" s="50"/>
      <c r="J152" s="50"/>
      <c r="K152" s="50"/>
      <c r="L152" s="50"/>
      <c r="M152" s="50"/>
      <c r="AA152" s="94">
        <f>Decisiones!B152</f>
        <v>42404</v>
      </c>
    </row>
    <row r="153" spans="1:27" ht="12" customHeight="1">
      <c r="A153" s="66">
        <f>Decisiones!B132</f>
        <v>41467</v>
      </c>
      <c r="B153" s="50">
        <f>Decisiones!H132</f>
        <v>4</v>
      </c>
      <c r="C153" s="151">
        <f>COUNTIFS(Votaciones!$A$2:$A$346,Decisiones!A132,Votaciones!$D$2:$D$346,"Disenso restrictivo")</f>
        <v>0</v>
      </c>
      <c r="D153" s="151">
        <f>COUNTIFS(Votaciones!$A$2:$A$346,Decisiones!A132,Votaciones!$D$2:$D$346,"Disenso acomodaticio")</f>
        <v>0</v>
      </c>
      <c r="E153" s="50" t="e">
        <f>NA()</f>
        <v>#N/A</v>
      </c>
      <c r="F153" s="50" t="e">
        <f>NA()</f>
        <v>#N/A</v>
      </c>
      <c r="G153" s="151" t="e">
        <f ca="1">IF(AND(Decisiones!A132&gt;=IFERROR(INDEX(Participacion_Junta!$A$2:$A$346,_xludf.AGGREGATE(15,6,(ROW(Participacion_Junta!$A$2:$A$346)-1)/(Participacion_Junta!$B$2:$B$346=$X$2),1)),"ZZZ"),Decisiones!A132&lt;=IFERROR(INDEX(Participacion_Junta!$A$2:$A$346,_xludf.AGGREGATE(14,6,(ROW(Participacion_Junta!$A$2:$A$346)-1)/(Participacion_Junta!$B$2:$B$346=$X$2),1)),"")),0.35,NA())</f>
        <v>#N/A</v>
      </c>
      <c r="H153" s="50"/>
      <c r="I153" s="50"/>
      <c r="J153" s="50"/>
      <c r="K153" s="50"/>
      <c r="L153" s="50"/>
      <c r="M153" s="50"/>
      <c r="AA153" s="94">
        <f>Decisiones!B153</f>
        <v>42417</v>
      </c>
    </row>
    <row r="154" spans="1:27" ht="12" customHeight="1">
      <c r="A154" s="66">
        <f>Decisiones!B133</f>
        <v>41523</v>
      </c>
      <c r="B154" s="50">
        <f>Decisiones!H133</f>
        <v>3.75</v>
      </c>
      <c r="C154" s="151">
        <f>COUNTIFS(Votaciones!$A$2:$A$346,Decisiones!A133,Votaciones!$D$2:$D$346,"Disenso restrictivo")</f>
        <v>0</v>
      </c>
      <c r="D154" s="151">
        <f>COUNTIFS(Votaciones!$A$2:$A$346,Decisiones!A133,Votaciones!$D$2:$D$346,"Disenso acomodaticio")</f>
        <v>0</v>
      </c>
      <c r="E154" s="50" t="e">
        <f>NA()</f>
        <v>#N/A</v>
      </c>
      <c r="F154" s="50" t="e">
        <f>NA()</f>
        <v>#N/A</v>
      </c>
      <c r="G154" s="151" t="e">
        <f ca="1">IF(AND(Decisiones!A133&gt;=IFERROR(INDEX(Participacion_Junta!$A$2:$A$346,_xludf.AGGREGATE(15,6,(ROW(Participacion_Junta!$A$2:$A$346)-1)/(Participacion_Junta!$B$2:$B$346=$X$2),1)),"ZZZ"),Decisiones!A133&lt;=IFERROR(INDEX(Participacion_Junta!$A$2:$A$346,_xludf.AGGREGATE(14,6,(ROW(Participacion_Junta!$A$2:$A$346)-1)/(Participacion_Junta!$B$2:$B$346=$X$2),1)),"")),0.35,NA())</f>
        <v>#N/A</v>
      </c>
      <c r="H154" s="50"/>
      <c r="I154" s="50"/>
      <c r="J154" s="50"/>
      <c r="K154" s="50"/>
      <c r="L154" s="50"/>
      <c r="M154" s="50"/>
      <c r="AA154" s="94">
        <f>Decisiones!B154</f>
        <v>42447</v>
      </c>
    </row>
    <row r="155" spans="1:27" ht="12" customHeight="1">
      <c r="A155" s="66">
        <f>Decisiones!B134</f>
        <v>41572</v>
      </c>
      <c r="B155" s="50">
        <f>Decisiones!H134</f>
        <v>3.5</v>
      </c>
      <c r="C155" s="151">
        <f>COUNTIFS(Votaciones!$A$2:$A$346,Decisiones!A134,Votaciones!$D$2:$D$346,"Disenso restrictivo")</f>
        <v>0</v>
      </c>
      <c r="D155" s="151">
        <f>COUNTIFS(Votaciones!$A$2:$A$346,Decisiones!A134,Votaciones!$D$2:$D$346,"Disenso acomodaticio")</f>
        <v>0</v>
      </c>
      <c r="E155" s="50" t="e">
        <f>NA()</f>
        <v>#N/A</v>
      </c>
      <c r="F155" s="50" t="e">
        <f>NA()</f>
        <v>#N/A</v>
      </c>
      <c r="G155" s="151" t="e">
        <f ca="1">IF(AND(Decisiones!A134&gt;=IFERROR(INDEX(Participacion_Junta!$A$2:$A$346,_xludf.AGGREGATE(15,6,(ROW(Participacion_Junta!$A$2:$A$346)-1)/(Participacion_Junta!$B$2:$B$346=$X$2),1)),"ZZZ"),Decisiones!A134&lt;=IFERROR(INDEX(Participacion_Junta!$A$2:$A$346,_xludf.AGGREGATE(14,6,(ROW(Participacion_Junta!$A$2:$A$346)-1)/(Participacion_Junta!$B$2:$B$346=$X$2),1)),"")),0.35,NA())</f>
        <v>#N/A</v>
      </c>
      <c r="H155" s="50"/>
      <c r="I155" s="50"/>
      <c r="J155" s="50"/>
      <c r="K155" s="50"/>
      <c r="L155" s="50"/>
      <c r="M155" s="50"/>
      <c r="AA155" s="94">
        <f>Decisiones!B155</f>
        <v>42495</v>
      </c>
    </row>
    <row r="156" spans="1:27" ht="12" customHeight="1">
      <c r="A156" s="66">
        <f>Decisiones!B135</f>
        <v>41614</v>
      </c>
      <c r="B156" s="50">
        <f>Decisiones!H135</f>
        <v>3.5</v>
      </c>
      <c r="C156" s="151">
        <f>COUNTIFS(Votaciones!$A$2:$A$346,Decisiones!A135,Votaciones!$D$2:$D$346,"Disenso restrictivo")</f>
        <v>0</v>
      </c>
      <c r="D156" s="151">
        <f>COUNTIFS(Votaciones!$A$2:$A$346,Decisiones!A135,Votaciones!$D$2:$D$346,"Disenso acomodaticio")</f>
        <v>0</v>
      </c>
      <c r="E156" s="50" t="e">
        <f>NA()</f>
        <v>#N/A</v>
      </c>
      <c r="F156" s="50" t="e">
        <f>NA()</f>
        <v>#N/A</v>
      </c>
      <c r="G156" s="151" t="e">
        <f ca="1">IF(AND(Decisiones!A135&gt;=IFERROR(INDEX(Participacion_Junta!$A$2:$A$346,_xludf.AGGREGATE(15,6,(ROW(Participacion_Junta!$A$2:$A$346)-1)/(Participacion_Junta!$B$2:$B$346=$X$2),1)),"ZZZ"),Decisiones!A135&lt;=IFERROR(INDEX(Participacion_Junta!$A$2:$A$346,_xludf.AGGREGATE(14,6,(ROW(Participacion_Junta!$A$2:$A$346)-1)/(Participacion_Junta!$B$2:$B$346=$X$2),1)),"")),0.35,NA())</f>
        <v>#N/A</v>
      </c>
      <c r="H156" s="50"/>
      <c r="I156" s="50"/>
      <c r="J156" s="50"/>
      <c r="K156" s="50"/>
      <c r="L156" s="50"/>
      <c r="M156" s="50"/>
      <c r="AA156" s="94">
        <f>Decisiones!B156</f>
        <v>42551</v>
      </c>
    </row>
    <row r="157" spans="1:27" ht="12" customHeight="1">
      <c r="A157" s="66">
        <f>Decisiones!B136</f>
        <v>41670</v>
      </c>
      <c r="B157" s="50">
        <f>Decisiones!H136</f>
        <v>3.5</v>
      </c>
      <c r="C157" s="151">
        <f>COUNTIFS(Votaciones!$A$2:$A$346,Decisiones!A136,Votaciones!$D$2:$D$346,"Disenso restrictivo")</f>
        <v>0</v>
      </c>
      <c r="D157" s="151">
        <f>COUNTIFS(Votaciones!$A$2:$A$346,Decisiones!A136,Votaciones!$D$2:$D$346,"Disenso acomodaticio")</f>
        <v>0</v>
      </c>
      <c r="E157" s="50" t="e">
        <f>NA()</f>
        <v>#N/A</v>
      </c>
      <c r="F157" s="50" t="e">
        <f>NA()</f>
        <v>#N/A</v>
      </c>
      <c r="G157" s="151" t="e">
        <f ca="1">IF(AND(Decisiones!A136&gt;=IFERROR(INDEX(Participacion_Junta!$A$2:$A$346,_xludf.AGGREGATE(15,6,(ROW(Participacion_Junta!$A$2:$A$346)-1)/(Participacion_Junta!$B$2:$B$346=$X$2),1)),"ZZZ"),Decisiones!A136&lt;=IFERROR(INDEX(Participacion_Junta!$A$2:$A$346,_xludf.AGGREGATE(14,6,(ROW(Participacion_Junta!$A$2:$A$346)-1)/(Participacion_Junta!$B$2:$B$346=$X$2),1)),"")),0.35,NA())</f>
        <v>#N/A</v>
      </c>
      <c r="H157" s="50"/>
      <c r="I157" s="50"/>
      <c r="J157" s="50"/>
      <c r="K157" s="50"/>
      <c r="L157" s="50"/>
      <c r="M157" s="50"/>
      <c r="AA157" s="94">
        <f>Decisiones!B157</f>
        <v>42593</v>
      </c>
    </row>
    <row r="158" spans="1:27" ht="12" customHeight="1">
      <c r="A158" s="66">
        <f>Decisiones!B137</f>
        <v>41719</v>
      </c>
      <c r="B158" s="50">
        <f>Decisiones!H137</f>
        <v>3.5</v>
      </c>
      <c r="C158" s="151">
        <f>COUNTIFS(Votaciones!$A$2:$A$346,Decisiones!A137,Votaciones!$D$2:$D$346,"Disenso restrictivo")</f>
        <v>0</v>
      </c>
      <c r="D158" s="151">
        <f>COUNTIFS(Votaciones!$A$2:$A$346,Decisiones!A137,Votaciones!$D$2:$D$346,"Disenso acomodaticio")</f>
        <v>0</v>
      </c>
      <c r="E158" s="50" t="e">
        <f>NA()</f>
        <v>#N/A</v>
      </c>
      <c r="F158" s="50" t="e">
        <f>NA()</f>
        <v>#N/A</v>
      </c>
      <c r="G158" s="151" t="e">
        <f ca="1">IF(AND(Decisiones!A137&gt;=IFERROR(INDEX(Participacion_Junta!$A$2:$A$346,_xludf.AGGREGATE(15,6,(ROW(Participacion_Junta!$A$2:$A$346)-1)/(Participacion_Junta!$B$2:$B$346=$X$2),1)),"ZZZ"),Decisiones!A137&lt;=IFERROR(INDEX(Participacion_Junta!$A$2:$A$346,_xludf.AGGREGATE(14,6,(ROW(Participacion_Junta!$A$2:$A$346)-1)/(Participacion_Junta!$B$2:$B$346=$X$2),1)),"")),0.35,NA())</f>
        <v>#N/A</v>
      </c>
      <c r="H158" s="50"/>
      <c r="I158" s="50"/>
      <c r="J158" s="50"/>
      <c r="K158" s="50"/>
      <c r="L158" s="50"/>
      <c r="M158" s="50"/>
      <c r="AA158" s="94">
        <f>Decisiones!B158</f>
        <v>42642</v>
      </c>
    </row>
    <row r="159" spans="1:27" ht="12" customHeight="1">
      <c r="A159" s="66">
        <f>Decisiones!B138</f>
        <v>41754</v>
      </c>
      <c r="B159" s="50">
        <f>Decisiones!H138</f>
        <v>3.5</v>
      </c>
      <c r="C159" s="151">
        <f>COUNTIFS(Votaciones!$A$2:$A$346,Decisiones!A138,Votaciones!$D$2:$D$346,"Disenso restrictivo")</f>
        <v>0</v>
      </c>
      <c r="D159" s="151">
        <f>COUNTIFS(Votaciones!$A$2:$A$346,Decisiones!A138,Votaciones!$D$2:$D$346,"Disenso acomodaticio")</f>
        <v>0</v>
      </c>
      <c r="E159" s="50" t="e">
        <f>NA()</f>
        <v>#N/A</v>
      </c>
      <c r="F159" s="50" t="e">
        <f>NA()</f>
        <v>#N/A</v>
      </c>
      <c r="G159" s="151" t="e">
        <f ca="1">IF(AND(Decisiones!A138&gt;=IFERROR(INDEX(Participacion_Junta!$A$2:$A$346,_xludf.AGGREGATE(15,6,(ROW(Participacion_Junta!$A$2:$A$346)-1)/(Participacion_Junta!$B$2:$B$346=$X$2),1)),"ZZZ"),Decisiones!A138&lt;=IFERROR(INDEX(Participacion_Junta!$A$2:$A$346,_xludf.AGGREGATE(14,6,(ROW(Participacion_Junta!$A$2:$A$346)-1)/(Participacion_Junta!$B$2:$B$346=$X$2),1)),"")),0.35,NA())</f>
        <v>#N/A</v>
      </c>
      <c r="H159" s="50"/>
      <c r="I159" s="50"/>
      <c r="J159" s="50"/>
      <c r="K159" s="50"/>
      <c r="L159" s="50"/>
      <c r="M159" s="50"/>
      <c r="AA159" s="94">
        <f>Decisiones!B159</f>
        <v>42691</v>
      </c>
    </row>
    <row r="160" spans="1:27" ht="12" customHeight="1">
      <c r="A160" s="66">
        <f>Decisiones!B139</f>
        <v>41796</v>
      </c>
      <c r="B160" s="50">
        <f>Decisiones!H139</f>
        <v>3</v>
      </c>
      <c r="C160" s="151">
        <f>COUNTIFS(Votaciones!$A$2:$A$346,Decisiones!A139,Votaciones!$D$2:$D$346,"Disenso restrictivo")</f>
        <v>0</v>
      </c>
      <c r="D160" s="151">
        <f>COUNTIFS(Votaciones!$A$2:$A$346,Decisiones!A139,Votaciones!$D$2:$D$346,"Disenso acomodaticio")</f>
        <v>0</v>
      </c>
      <c r="E160" s="50" t="e">
        <f>NA()</f>
        <v>#N/A</v>
      </c>
      <c r="F160" s="50" t="e">
        <f>NA()</f>
        <v>#N/A</v>
      </c>
      <c r="G160" s="151" t="e">
        <f ca="1">IF(AND(Decisiones!A139&gt;=IFERROR(INDEX(Participacion_Junta!$A$2:$A$346,_xludf.AGGREGATE(15,6,(ROW(Participacion_Junta!$A$2:$A$346)-1)/(Participacion_Junta!$B$2:$B$346=$X$2),1)),"ZZZ"),Decisiones!A139&lt;=IFERROR(INDEX(Participacion_Junta!$A$2:$A$346,_xludf.AGGREGATE(14,6,(ROW(Participacion_Junta!$A$2:$A$346)-1)/(Participacion_Junta!$B$2:$B$346=$X$2),1)),"")),0.35,NA())</f>
        <v>#N/A</v>
      </c>
      <c r="H160" s="50"/>
      <c r="I160" s="50"/>
      <c r="J160" s="50"/>
      <c r="K160" s="50"/>
      <c r="L160" s="50"/>
      <c r="M160" s="50"/>
      <c r="AA160" s="94">
        <f>Decisiones!B160</f>
        <v>42719</v>
      </c>
    </row>
    <row r="161" spans="1:27" ht="12" customHeight="1">
      <c r="A161" s="66">
        <f>Decisiones!B140</f>
        <v>41831</v>
      </c>
      <c r="B161" s="50">
        <f>Decisiones!H140</f>
        <v>3</v>
      </c>
      <c r="C161" s="151">
        <f>COUNTIFS(Votaciones!$A$2:$A$346,Decisiones!A140,Votaciones!$D$2:$D$346,"Disenso restrictivo")</f>
        <v>0</v>
      </c>
      <c r="D161" s="151">
        <f>COUNTIFS(Votaciones!$A$2:$A$346,Decisiones!A140,Votaciones!$D$2:$D$346,"Disenso acomodaticio")</f>
        <v>0</v>
      </c>
      <c r="E161" s="50" t="e">
        <f>NA()</f>
        <v>#N/A</v>
      </c>
      <c r="F161" s="50" t="e">
        <f>NA()</f>
        <v>#N/A</v>
      </c>
      <c r="G161" s="151" t="e">
        <f ca="1">IF(AND(Decisiones!A140&gt;=IFERROR(INDEX(Participacion_Junta!$A$2:$A$346,_xludf.AGGREGATE(15,6,(ROW(Participacion_Junta!$A$2:$A$346)-1)/(Participacion_Junta!$B$2:$B$346=$X$2),1)),"ZZZ"),Decisiones!A140&lt;=IFERROR(INDEX(Participacion_Junta!$A$2:$A$346,_xludf.AGGREGATE(14,6,(ROW(Participacion_Junta!$A$2:$A$346)-1)/(Participacion_Junta!$B$2:$B$346=$X$2),1)),"")),0.35,NA())</f>
        <v>#N/A</v>
      </c>
      <c r="H161" s="50"/>
      <c r="I161" s="50"/>
      <c r="J161" s="50"/>
      <c r="K161" s="50"/>
      <c r="L161" s="50"/>
      <c r="M161" s="50"/>
      <c r="AA161" s="94">
        <f>Decisiones!B161</f>
        <v>42775</v>
      </c>
    </row>
    <row r="162" spans="1:27" ht="12" customHeight="1">
      <c r="A162" s="66">
        <f>Decisiones!B141</f>
        <v>41887</v>
      </c>
      <c r="B162" s="50">
        <f>Decisiones!H141</f>
        <v>3</v>
      </c>
      <c r="C162" s="151">
        <f>COUNTIFS(Votaciones!$A$2:$A$346,Decisiones!A141,Votaciones!$D$2:$D$346,"Disenso restrictivo")</f>
        <v>0</v>
      </c>
      <c r="D162" s="151">
        <f>COUNTIFS(Votaciones!$A$2:$A$346,Decisiones!A141,Votaciones!$D$2:$D$346,"Disenso acomodaticio")</f>
        <v>0</v>
      </c>
      <c r="E162" s="50" t="e">
        <f>NA()</f>
        <v>#N/A</v>
      </c>
      <c r="F162" s="50" t="e">
        <f>NA()</f>
        <v>#N/A</v>
      </c>
      <c r="G162" s="151" t="e">
        <f ca="1">IF(AND(Decisiones!A141&gt;=IFERROR(INDEX(Participacion_Junta!$A$2:$A$346,_xludf.AGGREGATE(15,6,(ROW(Participacion_Junta!$A$2:$A$346)-1)/(Participacion_Junta!$B$2:$B$346=$X$2),1)),"ZZZ"),Decisiones!A141&lt;=IFERROR(INDEX(Participacion_Junta!$A$2:$A$346,_xludf.AGGREGATE(14,6,(ROW(Participacion_Junta!$A$2:$A$346)-1)/(Participacion_Junta!$B$2:$B$346=$X$2),1)),"")),0.35,NA())</f>
        <v>#N/A</v>
      </c>
      <c r="H162" s="50"/>
      <c r="I162" s="50"/>
      <c r="J162" s="50"/>
      <c r="K162" s="50"/>
      <c r="L162" s="50"/>
      <c r="M162" s="50"/>
      <c r="AA162" s="94">
        <f>Decisiones!B162</f>
        <v>42824</v>
      </c>
    </row>
    <row r="163" spans="1:27" ht="12" customHeight="1">
      <c r="A163" s="66">
        <f>Decisiones!B142</f>
        <v>41943</v>
      </c>
      <c r="B163" s="50">
        <f>Decisiones!H142</f>
        <v>3</v>
      </c>
      <c r="C163" s="151">
        <f>COUNTIFS(Votaciones!$A$2:$A$346,Decisiones!A142,Votaciones!$D$2:$D$346,"Disenso restrictivo")</f>
        <v>0</v>
      </c>
      <c r="D163" s="151">
        <f>COUNTIFS(Votaciones!$A$2:$A$346,Decisiones!A142,Votaciones!$D$2:$D$346,"Disenso acomodaticio")</f>
        <v>0</v>
      </c>
      <c r="E163" s="50" t="e">
        <f>NA()</f>
        <v>#N/A</v>
      </c>
      <c r="F163" s="50" t="e">
        <f>NA()</f>
        <v>#N/A</v>
      </c>
      <c r="G163" s="151" t="e">
        <f ca="1">IF(AND(Decisiones!A142&gt;=IFERROR(INDEX(Participacion_Junta!$A$2:$A$346,_xludf.AGGREGATE(15,6,(ROW(Participacion_Junta!$A$2:$A$346)-1)/(Participacion_Junta!$B$2:$B$346=$X$2),1)),"ZZZ"),Decisiones!A142&lt;=IFERROR(INDEX(Participacion_Junta!$A$2:$A$346,_xludf.AGGREGATE(14,6,(ROW(Participacion_Junta!$A$2:$A$346)-1)/(Participacion_Junta!$B$2:$B$346=$X$2),1)),"")),0.35,NA())</f>
        <v>#N/A</v>
      </c>
      <c r="H163" s="50"/>
      <c r="I163" s="50"/>
      <c r="J163" s="50"/>
      <c r="K163" s="50"/>
      <c r="L163" s="50"/>
      <c r="M163" s="50"/>
      <c r="AA163" s="94">
        <f>Decisiones!B163</f>
        <v>42873</v>
      </c>
    </row>
    <row r="164" spans="1:27" ht="12" customHeight="1">
      <c r="A164" s="66">
        <f>Decisiones!B143</f>
        <v>41978</v>
      </c>
      <c r="B164" s="50">
        <f>Decisiones!H143</f>
        <v>3</v>
      </c>
      <c r="C164" s="151">
        <f>COUNTIFS(Votaciones!$A$2:$A$346,Decisiones!A143,Votaciones!$D$2:$D$346,"Disenso restrictivo")</f>
        <v>0</v>
      </c>
      <c r="D164" s="151">
        <f>COUNTIFS(Votaciones!$A$2:$A$346,Decisiones!A143,Votaciones!$D$2:$D$346,"Disenso acomodaticio")</f>
        <v>0</v>
      </c>
      <c r="E164" s="50" t="e">
        <f>NA()</f>
        <v>#N/A</v>
      </c>
      <c r="F164" s="50" t="e">
        <f>NA()</f>
        <v>#N/A</v>
      </c>
      <c r="G164" s="151" t="e">
        <f ca="1">IF(AND(Decisiones!A143&gt;=IFERROR(INDEX(Participacion_Junta!$A$2:$A$346,_xludf.AGGREGATE(15,6,(ROW(Participacion_Junta!$A$2:$A$346)-1)/(Participacion_Junta!$B$2:$B$346=$X$2),1)),"ZZZ"),Decisiones!A143&lt;=IFERROR(INDEX(Participacion_Junta!$A$2:$A$346,_xludf.AGGREGATE(14,6,(ROW(Participacion_Junta!$A$2:$A$346)-1)/(Participacion_Junta!$B$2:$B$346=$X$2),1)),"")),0.35,NA())</f>
        <v>#N/A</v>
      </c>
      <c r="H164" s="50"/>
      <c r="I164" s="50"/>
      <c r="J164" s="50"/>
      <c r="K164" s="50"/>
      <c r="L164" s="50"/>
      <c r="M164" s="50"/>
      <c r="AA164" s="94">
        <f>Decisiones!B164</f>
        <v>42908</v>
      </c>
    </row>
    <row r="165" spans="1:27" ht="12" customHeight="1">
      <c r="A165" s="66">
        <f>Decisiones!B144</f>
        <v>42033</v>
      </c>
      <c r="B165" s="50">
        <f>Decisiones!H144</f>
        <v>3</v>
      </c>
      <c r="C165" s="151">
        <f>COUNTIFS(Votaciones!$A$2:$A$346,Decisiones!A144,Votaciones!$D$2:$D$346,"Disenso restrictivo")</f>
        <v>0</v>
      </c>
      <c r="D165" s="151">
        <f>COUNTIFS(Votaciones!$A$2:$A$346,Decisiones!A144,Votaciones!$D$2:$D$346,"Disenso acomodaticio")</f>
        <v>0</v>
      </c>
      <c r="E165" s="50" t="e">
        <f>NA()</f>
        <v>#N/A</v>
      </c>
      <c r="F165" s="50" t="e">
        <f>NA()</f>
        <v>#N/A</v>
      </c>
      <c r="G165" s="151" t="e">
        <f ca="1">IF(AND(Decisiones!A144&gt;=IFERROR(INDEX(Participacion_Junta!$A$2:$A$346,_xludf.AGGREGATE(15,6,(ROW(Participacion_Junta!$A$2:$A$346)-1)/(Participacion_Junta!$B$2:$B$346=$X$2),1)),"ZZZ"),Decisiones!A144&lt;=IFERROR(INDEX(Participacion_Junta!$A$2:$A$346,_xludf.AGGREGATE(14,6,(ROW(Participacion_Junta!$A$2:$A$346)-1)/(Participacion_Junta!$B$2:$B$346=$X$2),1)),"")),0.35,NA())</f>
        <v>#N/A</v>
      </c>
      <c r="H165" s="50"/>
      <c r="I165" s="50"/>
      <c r="J165" s="50"/>
      <c r="K165" s="50"/>
      <c r="L165" s="50"/>
      <c r="M165" s="50"/>
      <c r="AA165" s="94">
        <f>Decisiones!B165</f>
        <v>42957</v>
      </c>
    </row>
    <row r="166" spans="1:27" ht="12" customHeight="1">
      <c r="A166" s="66">
        <f>Decisiones!B145</f>
        <v>42089</v>
      </c>
      <c r="B166" s="50">
        <f>Decisiones!H145</f>
        <v>3</v>
      </c>
      <c r="C166" s="151">
        <f>COUNTIFS(Votaciones!$A$2:$A$346,Decisiones!A145,Votaciones!$D$2:$D$346,"Disenso restrictivo")</f>
        <v>0</v>
      </c>
      <c r="D166" s="151">
        <f>COUNTIFS(Votaciones!$A$2:$A$346,Decisiones!A145,Votaciones!$D$2:$D$346,"Disenso acomodaticio")</f>
        <v>0</v>
      </c>
      <c r="E166" s="50" t="e">
        <f>NA()</f>
        <v>#N/A</v>
      </c>
      <c r="F166" s="50" t="e">
        <f>NA()</f>
        <v>#N/A</v>
      </c>
      <c r="G166" s="151" t="e">
        <f ca="1">IF(AND(Decisiones!A145&gt;=IFERROR(INDEX(Participacion_Junta!$A$2:$A$346,_xludf.AGGREGATE(15,6,(ROW(Participacion_Junta!$A$2:$A$346)-1)/(Participacion_Junta!$B$2:$B$346=$X$2),1)),"ZZZ"),Decisiones!A145&lt;=IFERROR(INDEX(Participacion_Junta!$A$2:$A$346,_xludf.AGGREGATE(14,6,(ROW(Participacion_Junta!$A$2:$A$346)-1)/(Participacion_Junta!$B$2:$B$346=$X$2),1)),"")),0.35,NA())</f>
        <v>#N/A</v>
      </c>
      <c r="H166" s="50"/>
      <c r="I166" s="50"/>
      <c r="J166" s="50"/>
      <c r="K166" s="50"/>
      <c r="L166" s="50"/>
      <c r="M166" s="50"/>
      <c r="AA166" s="94">
        <f>Decisiones!B166</f>
        <v>43006</v>
      </c>
    </row>
    <row r="167" spans="1:27" ht="12" customHeight="1">
      <c r="A167" s="66">
        <f>Decisiones!B146</f>
        <v>42124</v>
      </c>
      <c r="B167" s="50">
        <f>Decisiones!H146</f>
        <v>3</v>
      </c>
      <c r="C167" s="151">
        <f>COUNTIFS(Votaciones!$A$2:$A$346,Decisiones!A146,Votaciones!$D$2:$D$346,"Disenso restrictivo")</f>
        <v>0</v>
      </c>
      <c r="D167" s="151">
        <f>COUNTIFS(Votaciones!$A$2:$A$346,Decisiones!A146,Votaciones!$D$2:$D$346,"Disenso acomodaticio")</f>
        <v>0</v>
      </c>
      <c r="E167" s="50" t="e">
        <f>NA()</f>
        <v>#N/A</v>
      </c>
      <c r="F167" s="50" t="e">
        <f>NA()</f>
        <v>#N/A</v>
      </c>
      <c r="G167" s="151" t="e">
        <f ca="1">IF(AND(Decisiones!A146&gt;=IFERROR(INDEX(Participacion_Junta!$A$2:$A$346,_xludf.AGGREGATE(15,6,(ROW(Participacion_Junta!$A$2:$A$346)-1)/(Participacion_Junta!$B$2:$B$346=$X$2),1)),"ZZZ"),Decisiones!A146&lt;=IFERROR(INDEX(Participacion_Junta!$A$2:$A$346,_xludf.AGGREGATE(14,6,(ROW(Participacion_Junta!$A$2:$A$346)-1)/(Participacion_Junta!$B$2:$B$346=$X$2),1)),"")),0.35,NA())</f>
        <v>#N/A</v>
      </c>
      <c r="H167" s="50"/>
      <c r="I167" s="50"/>
      <c r="J167" s="50"/>
      <c r="K167" s="50"/>
      <c r="L167" s="50"/>
      <c r="M167" s="50"/>
      <c r="AA167" s="94">
        <f>Decisiones!B167</f>
        <v>43048</v>
      </c>
    </row>
    <row r="168" spans="1:27" ht="12" customHeight="1">
      <c r="A168" s="66">
        <f>Decisiones!B147</f>
        <v>42159</v>
      </c>
      <c r="B168" s="50">
        <f>Decisiones!H147</f>
        <v>3</v>
      </c>
      <c r="C168" s="151">
        <f>COUNTIFS(Votaciones!$A$2:$A$346,Decisiones!A147,Votaciones!$D$2:$D$346,"Disenso restrictivo")</f>
        <v>0</v>
      </c>
      <c r="D168" s="151">
        <f>COUNTIFS(Votaciones!$A$2:$A$346,Decisiones!A147,Votaciones!$D$2:$D$346,"Disenso acomodaticio")</f>
        <v>0</v>
      </c>
      <c r="E168" s="50" t="e">
        <f>NA()</f>
        <v>#N/A</v>
      </c>
      <c r="F168" s="50" t="e">
        <f>NA()</f>
        <v>#N/A</v>
      </c>
      <c r="G168" s="151" t="e">
        <f ca="1">IF(AND(Decisiones!A147&gt;=IFERROR(INDEX(Participacion_Junta!$A$2:$A$346,_xludf.AGGREGATE(15,6,(ROW(Participacion_Junta!$A$2:$A$346)-1)/(Participacion_Junta!$B$2:$B$346=$X$2),1)),"ZZZ"),Decisiones!A147&lt;=IFERROR(INDEX(Participacion_Junta!$A$2:$A$346,_xludf.AGGREGATE(14,6,(ROW(Participacion_Junta!$A$2:$A$346)-1)/(Participacion_Junta!$B$2:$B$346=$X$2),1)),"")),0.35,NA())</f>
        <v>#N/A</v>
      </c>
      <c r="H168" s="50"/>
      <c r="I168" s="50"/>
      <c r="J168" s="50"/>
      <c r="K168" s="50"/>
      <c r="L168" s="50"/>
      <c r="M168" s="50"/>
      <c r="AA168" s="94">
        <f>Decisiones!B168</f>
        <v>43083</v>
      </c>
    </row>
    <row r="169" spans="1:27" ht="12" customHeight="1">
      <c r="A169" s="66">
        <f>Decisiones!B148</f>
        <v>42215</v>
      </c>
      <c r="B169" s="50">
        <f>Decisiones!H148</f>
        <v>3</v>
      </c>
      <c r="C169" s="151">
        <f>COUNTIFS(Votaciones!$A$2:$A$346,Decisiones!A148,Votaciones!$D$2:$D$346,"Disenso restrictivo")</f>
        <v>0</v>
      </c>
      <c r="D169" s="151">
        <f>COUNTIFS(Votaciones!$A$2:$A$346,Decisiones!A148,Votaciones!$D$2:$D$346,"Disenso acomodaticio")</f>
        <v>0</v>
      </c>
      <c r="E169" s="50" t="e">
        <f>NA()</f>
        <v>#N/A</v>
      </c>
      <c r="F169" s="50" t="e">
        <f>NA()</f>
        <v>#N/A</v>
      </c>
      <c r="G169" s="151" t="e">
        <f ca="1">IF(AND(Decisiones!A148&gt;=IFERROR(INDEX(Participacion_Junta!$A$2:$A$346,_xludf.AGGREGATE(15,6,(ROW(Participacion_Junta!$A$2:$A$346)-1)/(Participacion_Junta!$B$2:$B$346=$X$2),1)),"ZZZ"),Decisiones!A148&lt;=IFERROR(INDEX(Participacion_Junta!$A$2:$A$346,_xludf.AGGREGATE(14,6,(ROW(Participacion_Junta!$A$2:$A$346)-1)/(Participacion_Junta!$B$2:$B$346=$X$2),1)),"")),0.35,NA())</f>
        <v>#N/A</v>
      </c>
      <c r="H169" s="50"/>
      <c r="I169" s="50"/>
      <c r="J169" s="50"/>
      <c r="K169" s="50"/>
      <c r="L169" s="50"/>
      <c r="M169" s="50"/>
      <c r="AA169" s="94">
        <f>Decisiones!B169</f>
        <v>43139</v>
      </c>
    </row>
    <row r="170" spans="1:27" ht="12" customHeight="1">
      <c r="A170" s="66">
        <f>Decisiones!B149</f>
        <v>42268</v>
      </c>
      <c r="B170" s="50">
        <f>Decisiones!H149</f>
        <v>3</v>
      </c>
      <c r="C170" s="151">
        <f>COUNTIFS(Votaciones!$A$2:$A$346,Decisiones!A149,Votaciones!$D$2:$D$346,"Disenso restrictivo")</f>
        <v>0</v>
      </c>
      <c r="D170" s="151">
        <f>COUNTIFS(Votaciones!$A$2:$A$346,Decisiones!A149,Votaciones!$D$2:$D$346,"Disenso acomodaticio")</f>
        <v>0</v>
      </c>
      <c r="E170" s="50" t="e">
        <f>NA()</f>
        <v>#N/A</v>
      </c>
      <c r="F170" s="50" t="e">
        <f>NA()</f>
        <v>#N/A</v>
      </c>
      <c r="G170" s="151" t="e">
        <f ca="1">IF(AND(Decisiones!A149&gt;=IFERROR(INDEX(Participacion_Junta!$A$2:$A$346,_xludf.AGGREGATE(15,6,(ROW(Participacion_Junta!$A$2:$A$346)-1)/(Participacion_Junta!$B$2:$B$346=$X$2),1)),"ZZZ"),Decisiones!A149&lt;=IFERROR(INDEX(Participacion_Junta!$A$2:$A$346,_xludf.AGGREGATE(14,6,(ROW(Participacion_Junta!$A$2:$A$346)-1)/(Participacion_Junta!$B$2:$B$346=$X$2),1)),"")),0.35,NA())</f>
        <v>#N/A</v>
      </c>
      <c r="H170" s="50"/>
      <c r="I170" s="50"/>
      <c r="J170" s="50"/>
      <c r="K170" s="50"/>
      <c r="L170" s="50"/>
      <c r="M170" s="50"/>
      <c r="AA170" s="94">
        <f>Decisiones!B170</f>
        <v>43202</v>
      </c>
    </row>
    <row r="171" spans="1:27" ht="12" customHeight="1">
      <c r="A171" s="66">
        <f>Decisiones!B150</f>
        <v>42306</v>
      </c>
      <c r="B171" s="50">
        <f>Decisiones!H150</f>
        <v>3</v>
      </c>
      <c r="C171" s="151">
        <f>COUNTIFS(Votaciones!$A$2:$A$346,Decisiones!A150,Votaciones!$D$2:$D$346,"Disenso restrictivo")</f>
        <v>0</v>
      </c>
      <c r="D171" s="151">
        <f>COUNTIFS(Votaciones!$A$2:$A$346,Decisiones!A150,Votaciones!$D$2:$D$346,"Disenso acomodaticio")</f>
        <v>0</v>
      </c>
      <c r="E171" s="50" t="e">
        <f>NA()</f>
        <v>#N/A</v>
      </c>
      <c r="F171" s="50" t="e">
        <f>NA()</f>
        <v>#N/A</v>
      </c>
      <c r="G171" s="151" t="e">
        <f ca="1">IF(AND(Decisiones!A150&gt;=IFERROR(INDEX(Participacion_Junta!$A$2:$A$346,_xludf.AGGREGATE(15,6,(ROW(Participacion_Junta!$A$2:$A$346)-1)/(Participacion_Junta!$B$2:$B$346=$X$2),1)),"ZZZ"),Decisiones!A150&lt;=IFERROR(INDEX(Participacion_Junta!$A$2:$A$346,_xludf.AGGREGATE(14,6,(ROW(Participacion_Junta!$A$2:$A$346)-1)/(Participacion_Junta!$B$2:$B$346=$X$2),1)),"")),0.35,NA())</f>
        <v>#N/A</v>
      </c>
      <c r="H171" s="50"/>
      <c r="I171" s="50"/>
      <c r="J171" s="50"/>
      <c r="K171" s="50"/>
      <c r="L171" s="50"/>
      <c r="M171" s="50"/>
      <c r="AA171" s="94">
        <f>Decisiones!B171</f>
        <v>43237</v>
      </c>
    </row>
    <row r="172" spans="1:27" ht="12" customHeight="1">
      <c r="A172" s="66">
        <f>Decisiones!B151</f>
        <v>42355</v>
      </c>
      <c r="B172" s="50">
        <f>Decisiones!H151</f>
        <v>3.25</v>
      </c>
      <c r="C172" s="151">
        <f>COUNTIFS(Votaciones!$A$2:$A$346,Decisiones!A151,Votaciones!$D$2:$D$346,"Disenso restrictivo")</f>
        <v>0</v>
      </c>
      <c r="D172" s="151">
        <f>COUNTIFS(Votaciones!$A$2:$A$346,Decisiones!A151,Votaciones!$D$2:$D$346,"Disenso acomodaticio")</f>
        <v>0</v>
      </c>
      <c r="E172" s="50" t="e">
        <f>NA()</f>
        <v>#N/A</v>
      </c>
      <c r="F172" s="50" t="e">
        <f>NA()</f>
        <v>#N/A</v>
      </c>
      <c r="G172" s="151" t="e">
        <f ca="1">IF(AND(Decisiones!A151&gt;=IFERROR(INDEX(Participacion_Junta!$A$2:$A$346,_xludf.AGGREGATE(15,6,(ROW(Participacion_Junta!$A$2:$A$346)-1)/(Participacion_Junta!$B$2:$B$346=$X$2),1)),"ZZZ"),Decisiones!A151&lt;=IFERROR(INDEX(Participacion_Junta!$A$2:$A$346,_xludf.AGGREGATE(14,6,(ROW(Participacion_Junta!$A$2:$A$346)-1)/(Participacion_Junta!$B$2:$B$346=$X$2),1)),"")),0.35,NA())</f>
        <v>#N/A</v>
      </c>
      <c r="H172" s="50"/>
      <c r="I172" s="50"/>
      <c r="J172" s="50"/>
      <c r="K172" s="50"/>
      <c r="L172" s="50"/>
      <c r="M172" s="50"/>
      <c r="AA172" s="94">
        <f>Decisiones!B172</f>
        <v>43272</v>
      </c>
    </row>
    <row r="173" spans="1:27" ht="12" customHeight="1">
      <c r="A173" s="66">
        <f>Decisiones!B152</f>
        <v>42404</v>
      </c>
      <c r="B173" s="50">
        <f>Decisiones!H152</f>
        <v>3.25</v>
      </c>
      <c r="C173" s="151">
        <f>COUNTIFS(Votaciones!$A$2:$A$346,Decisiones!A152,Votaciones!$D$2:$D$346,"Disenso restrictivo")</f>
        <v>0</v>
      </c>
      <c r="D173" s="151">
        <f>COUNTIFS(Votaciones!$A$2:$A$346,Decisiones!A152,Votaciones!$D$2:$D$346,"Disenso acomodaticio")</f>
        <v>0</v>
      </c>
      <c r="E173" s="50" t="e">
        <f>NA()</f>
        <v>#N/A</v>
      </c>
      <c r="F173" s="50" t="e">
        <f>NA()</f>
        <v>#N/A</v>
      </c>
      <c r="G173" s="151" t="e">
        <f ca="1">IF(AND(Decisiones!A152&gt;=IFERROR(INDEX(Participacion_Junta!$A$2:$A$346,_xludf.AGGREGATE(15,6,(ROW(Participacion_Junta!$A$2:$A$346)-1)/(Participacion_Junta!$B$2:$B$346=$X$2),1)),"ZZZ"),Decisiones!A152&lt;=IFERROR(INDEX(Participacion_Junta!$A$2:$A$346,_xludf.AGGREGATE(14,6,(ROW(Participacion_Junta!$A$2:$A$346)-1)/(Participacion_Junta!$B$2:$B$346=$X$2),1)),"")),0.35,NA())</f>
        <v>#N/A</v>
      </c>
      <c r="H173" s="50"/>
      <c r="I173" s="50"/>
      <c r="J173" s="50"/>
      <c r="K173" s="50"/>
      <c r="L173" s="50"/>
      <c r="M173" s="50"/>
      <c r="AA173" s="94">
        <f>Decisiones!B173</f>
        <v>43314</v>
      </c>
    </row>
    <row r="174" spans="1:27" ht="12" customHeight="1">
      <c r="A174" s="66">
        <f>Decisiones!B153</f>
        <v>42417</v>
      </c>
      <c r="B174" s="50">
        <f>Decisiones!H153</f>
        <v>3.75</v>
      </c>
      <c r="C174" s="151">
        <f>COUNTIFS(Votaciones!$A$2:$A$346,Decisiones!A153,Votaciones!$D$2:$D$346,"Disenso restrictivo")</f>
        <v>0</v>
      </c>
      <c r="D174" s="151">
        <f>COUNTIFS(Votaciones!$A$2:$A$346,Decisiones!A153,Votaciones!$D$2:$D$346,"Disenso acomodaticio")</f>
        <v>0</v>
      </c>
      <c r="E174" s="50" t="e">
        <f>NA()</f>
        <v>#N/A</v>
      </c>
      <c r="F174" s="50" t="e">
        <f>NA()</f>
        <v>#N/A</v>
      </c>
      <c r="G174" s="151" t="e">
        <f ca="1">IF(AND(Decisiones!A153&gt;=IFERROR(INDEX(Participacion_Junta!$A$2:$A$346,_xludf.AGGREGATE(15,6,(ROW(Participacion_Junta!$A$2:$A$346)-1)/(Participacion_Junta!$B$2:$B$346=$X$2),1)),"ZZZ"),Decisiones!A153&lt;=IFERROR(INDEX(Participacion_Junta!$A$2:$A$346,_xludf.AGGREGATE(14,6,(ROW(Participacion_Junta!$A$2:$A$346)-1)/(Participacion_Junta!$B$2:$B$346=$X$2),1)),"")),0.35,NA())</f>
        <v>#N/A</v>
      </c>
      <c r="H174" s="50"/>
      <c r="I174" s="50"/>
      <c r="J174" s="50"/>
      <c r="K174" s="50"/>
      <c r="L174" s="50"/>
      <c r="M174" s="50"/>
      <c r="AA174" s="94">
        <f>Decisiones!B174</f>
        <v>43377</v>
      </c>
    </row>
    <row r="175" spans="1:27" ht="12" customHeight="1">
      <c r="A175" s="66">
        <f>Decisiones!B154</f>
        <v>42447</v>
      </c>
      <c r="B175" s="50">
        <f>Decisiones!H154</f>
        <v>3.75</v>
      </c>
      <c r="C175" s="151">
        <f>COUNTIFS(Votaciones!$A$2:$A$346,Decisiones!A154,Votaciones!$D$2:$D$346,"Disenso restrictivo")</f>
        <v>0</v>
      </c>
      <c r="D175" s="151">
        <f>COUNTIFS(Votaciones!$A$2:$A$346,Decisiones!A154,Votaciones!$D$2:$D$346,"Disenso acomodaticio")</f>
        <v>0</v>
      </c>
      <c r="E175" s="50" t="e">
        <f>NA()</f>
        <v>#N/A</v>
      </c>
      <c r="F175" s="50" t="e">
        <f>NA()</f>
        <v>#N/A</v>
      </c>
      <c r="G175" s="151" t="e">
        <f ca="1">IF(AND(Decisiones!A154&gt;=IFERROR(INDEX(Participacion_Junta!$A$2:$A$346,_xludf.AGGREGATE(15,6,(ROW(Participacion_Junta!$A$2:$A$346)-1)/(Participacion_Junta!$B$2:$B$346=$X$2),1)),"ZZZ"),Decisiones!A154&lt;=IFERROR(INDEX(Participacion_Junta!$A$2:$A$346,_xludf.AGGREGATE(14,6,(ROW(Participacion_Junta!$A$2:$A$346)-1)/(Participacion_Junta!$B$2:$B$346=$X$2),1)),"")),0.35,NA())</f>
        <v>#N/A</v>
      </c>
      <c r="H175" s="50"/>
      <c r="I175" s="50"/>
      <c r="J175" s="50"/>
      <c r="K175" s="50"/>
      <c r="L175" s="50"/>
      <c r="M175" s="50"/>
      <c r="AA175" s="94">
        <f>Decisiones!B175</f>
        <v>43419</v>
      </c>
    </row>
    <row r="176" spans="1:27" ht="12" customHeight="1">
      <c r="A176" s="66">
        <f>Decisiones!B155</f>
        <v>42495</v>
      </c>
      <c r="B176" s="50">
        <f>Decisiones!H155</f>
        <v>3.75</v>
      </c>
      <c r="C176" s="151">
        <f>COUNTIFS(Votaciones!$A$2:$A$346,Decisiones!A155,Votaciones!$D$2:$D$346,"Disenso restrictivo")</f>
        <v>0</v>
      </c>
      <c r="D176" s="151">
        <f>COUNTIFS(Votaciones!$A$2:$A$346,Decisiones!A155,Votaciones!$D$2:$D$346,"Disenso acomodaticio")</f>
        <v>0</v>
      </c>
      <c r="E176" s="50" t="e">
        <f>NA()</f>
        <v>#N/A</v>
      </c>
      <c r="F176" s="50" t="e">
        <f>NA()</f>
        <v>#N/A</v>
      </c>
      <c r="G176" s="151" t="e">
        <f ca="1">IF(AND(Decisiones!A155&gt;=IFERROR(INDEX(Participacion_Junta!$A$2:$A$346,_xludf.AGGREGATE(15,6,(ROW(Participacion_Junta!$A$2:$A$346)-1)/(Participacion_Junta!$B$2:$B$346=$X$2),1)),"ZZZ"),Decisiones!A155&lt;=IFERROR(INDEX(Participacion_Junta!$A$2:$A$346,_xludf.AGGREGATE(14,6,(ROW(Participacion_Junta!$A$2:$A$346)-1)/(Participacion_Junta!$B$2:$B$346=$X$2),1)),"")),0.35,NA())</f>
        <v>#N/A</v>
      </c>
      <c r="H176" s="50"/>
      <c r="I176" s="50"/>
      <c r="J176" s="50"/>
      <c r="K176" s="50"/>
      <c r="L176" s="50"/>
      <c r="M176" s="50"/>
      <c r="AA176" s="94">
        <f>Decisiones!B176</f>
        <v>43454</v>
      </c>
    </row>
    <row r="177" spans="1:27" ht="12" customHeight="1">
      <c r="A177" s="66">
        <f>Decisiones!B156</f>
        <v>42551</v>
      </c>
      <c r="B177" s="50">
        <f>Decisiones!H156</f>
        <v>4.25</v>
      </c>
      <c r="C177" s="151">
        <f>COUNTIFS(Votaciones!$A$2:$A$346,Decisiones!A156,Votaciones!$D$2:$D$346,"Disenso restrictivo")</f>
        <v>0</v>
      </c>
      <c r="D177" s="151">
        <f>COUNTIFS(Votaciones!$A$2:$A$346,Decisiones!A156,Votaciones!$D$2:$D$346,"Disenso acomodaticio")</f>
        <v>0</v>
      </c>
      <c r="E177" s="50" t="e">
        <f>NA()</f>
        <v>#N/A</v>
      </c>
      <c r="F177" s="50" t="e">
        <f>NA()</f>
        <v>#N/A</v>
      </c>
      <c r="G177" s="151" t="e">
        <f ca="1">IF(AND(Decisiones!A156&gt;=IFERROR(INDEX(Participacion_Junta!$A$2:$A$346,_xludf.AGGREGATE(15,6,(ROW(Participacion_Junta!$A$2:$A$346)-1)/(Participacion_Junta!$B$2:$B$346=$X$2),1)),"ZZZ"),Decisiones!A156&lt;=IFERROR(INDEX(Participacion_Junta!$A$2:$A$346,_xludf.AGGREGATE(14,6,(ROW(Participacion_Junta!$A$2:$A$346)-1)/(Participacion_Junta!$B$2:$B$346=$X$2),1)),"")),0.35,NA())</f>
        <v>#N/A</v>
      </c>
      <c r="H177" s="50"/>
      <c r="I177" s="50"/>
      <c r="J177" s="50"/>
      <c r="K177" s="50"/>
      <c r="L177" s="50"/>
      <c r="M177" s="50"/>
      <c r="AA177" s="94">
        <f>Decisiones!B177</f>
        <v>43503</v>
      </c>
    </row>
    <row r="178" spans="1:27" ht="12" customHeight="1">
      <c r="A178" s="66">
        <f>Decisiones!B157</f>
        <v>42593</v>
      </c>
      <c r="B178" s="50">
        <f>Decisiones!H157</f>
        <v>4.25</v>
      </c>
      <c r="C178" s="151">
        <f>COUNTIFS(Votaciones!$A$2:$A$346,Decisiones!A157,Votaciones!$D$2:$D$346,"Disenso restrictivo")</f>
        <v>0</v>
      </c>
      <c r="D178" s="151">
        <f>COUNTIFS(Votaciones!$A$2:$A$346,Decisiones!A157,Votaciones!$D$2:$D$346,"Disenso acomodaticio")</f>
        <v>0</v>
      </c>
      <c r="E178" s="50" t="e">
        <f>NA()</f>
        <v>#N/A</v>
      </c>
      <c r="F178" s="50" t="e">
        <f>NA()</f>
        <v>#N/A</v>
      </c>
      <c r="G178" s="151" t="e">
        <f ca="1">IF(AND(Decisiones!A157&gt;=IFERROR(INDEX(Participacion_Junta!$A$2:$A$346,_xludf.AGGREGATE(15,6,(ROW(Participacion_Junta!$A$2:$A$346)-1)/(Participacion_Junta!$B$2:$B$346=$X$2),1)),"ZZZ"),Decisiones!A157&lt;=IFERROR(INDEX(Participacion_Junta!$A$2:$A$346,_xludf.AGGREGATE(14,6,(ROW(Participacion_Junta!$A$2:$A$346)-1)/(Participacion_Junta!$B$2:$B$346=$X$2),1)),"")),0.35,NA())</f>
        <v>#N/A</v>
      </c>
      <c r="H178" s="50"/>
      <c r="I178" s="50"/>
      <c r="J178" s="50"/>
      <c r="K178" s="50"/>
      <c r="L178" s="50"/>
      <c r="M178" s="50"/>
      <c r="AA178" s="94">
        <f>Decisiones!B178</f>
        <v>43552</v>
      </c>
    </row>
    <row r="179" spans="1:27" ht="12" customHeight="1">
      <c r="A179" s="66">
        <f>Decisiones!B158</f>
        <v>42642</v>
      </c>
      <c r="B179" s="50">
        <f>Decisiones!H158</f>
        <v>4.75</v>
      </c>
      <c r="C179" s="151">
        <f>COUNTIFS(Votaciones!$A$2:$A$346,Decisiones!A158,Votaciones!$D$2:$D$346,"Disenso restrictivo")</f>
        <v>0</v>
      </c>
      <c r="D179" s="151">
        <f>COUNTIFS(Votaciones!$A$2:$A$346,Decisiones!A158,Votaciones!$D$2:$D$346,"Disenso acomodaticio")</f>
        <v>0</v>
      </c>
      <c r="E179" s="50" t="e">
        <f>NA()</f>
        <v>#N/A</v>
      </c>
      <c r="F179" s="50" t="e">
        <f>NA()</f>
        <v>#N/A</v>
      </c>
      <c r="G179" s="151" t="e">
        <f ca="1">IF(AND(Decisiones!A158&gt;=IFERROR(INDEX(Participacion_Junta!$A$2:$A$346,_xludf.AGGREGATE(15,6,(ROW(Participacion_Junta!$A$2:$A$346)-1)/(Participacion_Junta!$B$2:$B$346=$X$2),1)),"ZZZ"),Decisiones!A158&lt;=IFERROR(INDEX(Participacion_Junta!$A$2:$A$346,_xludf.AGGREGATE(14,6,(ROW(Participacion_Junta!$A$2:$A$346)-1)/(Participacion_Junta!$B$2:$B$346=$X$2),1)),"")),0.35,NA())</f>
        <v>#N/A</v>
      </c>
      <c r="H179" s="50"/>
      <c r="I179" s="50"/>
      <c r="J179" s="50"/>
      <c r="K179" s="50"/>
      <c r="L179" s="50"/>
      <c r="M179" s="50"/>
      <c r="AA179" s="94">
        <f>Decisiones!B179</f>
        <v>43601</v>
      </c>
    </row>
    <row r="180" spans="1:27" ht="12" customHeight="1">
      <c r="A180" s="66">
        <f>Decisiones!B159</f>
        <v>42691</v>
      </c>
      <c r="B180" s="50">
        <f>Decisiones!H159</f>
        <v>5.25</v>
      </c>
      <c r="C180" s="151">
        <f>COUNTIFS(Votaciones!$A$2:$A$346,Decisiones!A159,Votaciones!$D$2:$D$346,"Disenso restrictivo")</f>
        <v>0</v>
      </c>
      <c r="D180" s="151">
        <f>COUNTIFS(Votaciones!$A$2:$A$346,Decisiones!A159,Votaciones!$D$2:$D$346,"Disenso acomodaticio")</f>
        <v>0</v>
      </c>
      <c r="E180" s="50" t="e">
        <f>NA()</f>
        <v>#N/A</v>
      </c>
      <c r="F180" s="50" t="e">
        <f>NA()</f>
        <v>#N/A</v>
      </c>
      <c r="G180" s="151" t="e">
        <f ca="1">IF(AND(Decisiones!A159&gt;=IFERROR(INDEX(Participacion_Junta!$A$2:$A$346,_xludf.AGGREGATE(15,6,(ROW(Participacion_Junta!$A$2:$A$346)-1)/(Participacion_Junta!$B$2:$B$346=$X$2),1)),"ZZZ"),Decisiones!A159&lt;=IFERROR(INDEX(Participacion_Junta!$A$2:$A$346,_xludf.AGGREGATE(14,6,(ROW(Participacion_Junta!$A$2:$A$346)-1)/(Participacion_Junta!$B$2:$B$346=$X$2),1)),"")),0.35,NA())</f>
        <v>#N/A</v>
      </c>
      <c r="H180" s="50"/>
      <c r="I180" s="50"/>
      <c r="J180" s="50"/>
      <c r="K180" s="50"/>
      <c r="L180" s="50"/>
      <c r="M180" s="50"/>
      <c r="AA180" s="94">
        <f>Decisiones!B180</f>
        <v>43643</v>
      </c>
    </row>
    <row r="181" spans="1:27" ht="12" customHeight="1">
      <c r="A181" s="66">
        <f>Decisiones!B160</f>
        <v>42719</v>
      </c>
      <c r="B181" s="50">
        <f>Decisiones!H160</f>
        <v>5.75</v>
      </c>
      <c r="C181" s="151">
        <f>COUNTIFS(Votaciones!$A$2:$A$346,Decisiones!A160,Votaciones!$D$2:$D$346,"Disenso restrictivo")</f>
        <v>0</v>
      </c>
      <c r="D181" s="151">
        <f>COUNTIFS(Votaciones!$A$2:$A$346,Decisiones!A160,Votaciones!$D$2:$D$346,"Disenso acomodaticio")</f>
        <v>0</v>
      </c>
      <c r="E181" s="50" t="e">
        <f>NA()</f>
        <v>#N/A</v>
      </c>
      <c r="F181" s="50" t="e">
        <f>NA()</f>
        <v>#N/A</v>
      </c>
      <c r="G181" s="151" t="e">
        <f ca="1">IF(AND(Decisiones!A160&gt;=IFERROR(INDEX(Participacion_Junta!$A$2:$A$346,_xludf.AGGREGATE(15,6,(ROW(Participacion_Junta!$A$2:$A$346)-1)/(Participacion_Junta!$B$2:$B$346=$X$2),1)),"ZZZ"),Decisiones!A160&lt;=IFERROR(INDEX(Participacion_Junta!$A$2:$A$346,_xludf.AGGREGATE(14,6,(ROW(Participacion_Junta!$A$2:$A$346)-1)/(Participacion_Junta!$B$2:$B$346=$X$2),1)),"")),0.35,NA())</f>
        <v>#N/A</v>
      </c>
      <c r="H181" s="50"/>
      <c r="I181" s="50"/>
      <c r="J181" s="50"/>
      <c r="K181" s="50"/>
      <c r="L181" s="50"/>
      <c r="M181" s="50"/>
      <c r="AA181" s="94">
        <f>Decisiones!B181</f>
        <v>43692</v>
      </c>
    </row>
    <row r="182" spans="1:27" ht="12" customHeight="1">
      <c r="A182" s="66">
        <f>Decisiones!B161</f>
        <v>42775</v>
      </c>
      <c r="B182" s="50">
        <f>Decisiones!H161</f>
        <v>6.25</v>
      </c>
      <c r="C182" s="151">
        <f>COUNTIFS(Votaciones!$A$2:$A$346,Decisiones!A161,Votaciones!$D$2:$D$346,"Disenso restrictivo")</f>
        <v>0</v>
      </c>
      <c r="D182" s="151">
        <f>COUNTIFS(Votaciones!$A$2:$A$346,Decisiones!A161,Votaciones!$D$2:$D$346,"Disenso acomodaticio")</f>
        <v>0</v>
      </c>
      <c r="E182" s="50" t="e">
        <f>NA()</f>
        <v>#N/A</v>
      </c>
      <c r="F182" s="50" t="e">
        <f>NA()</f>
        <v>#N/A</v>
      </c>
      <c r="G182" s="151" t="e">
        <f ca="1">IF(AND(Decisiones!A161&gt;=IFERROR(INDEX(Participacion_Junta!$A$2:$A$346,_xludf.AGGREGATE(15,6,(ROW(Participacion_Junta!$A$2:$A$346)-1)/(Participacion_Junta!$B$2:$B$346=$X$2),1)),"ZZZ"),Decisiones!A161&lt;=IFERROR(INDEX(Participacion_Junta!$A$2:$A$346,_xludf.AGGREGATE(14,6,(ROW(Participacion_Junta!$A$2:$A$346)-1)/(Participacion_Junta!$B$2:$B$346=$X$2),1)),"")),0.35,NA())</f>
        <v>#N/A</v>
      </c>
      <c r="H182" s="50"/>
      <c r="I182" s="50"/>
      <c r="J182" s="50"/>
      <c r="K182" s="50"/>
      <c r="L182" s="50"/>
      <c r="M182" s="50"/>
      <c r="AA182" s="94">
        <f>Decisiones!B182</f>
        <v>43734</v>
      </c>
    </row>
    <row r="183" spans="1:27" ht="12" customHeight="1">
      <c r="A183" s="66">
        <f>Decisiones!B162</f>
        <v>42824</v>
      </c>
      <c r="B183" s="50">
        <f>Decisiones!H162</f>
        <v>6.5</v>
      </c>
      <c r="C183" s="151">
        <f>COUNTIFS(Votaciones!$A$2:$A$346,Decisiones!A162,Votaciones!$D$2:$D$346,"Disenso restrictivo")</f>
        <v>0</v>
      </c>
      <c r="D183" s="151">
        <f>COUNTIFS(Votaciones!$A$2:$A$346,Decisiones!A162,Votaciones!$D$2:$D$346,"Disenso acomodaticio")</f>
        <v>0</v>
      </c>
      <c r="E183" s="50" t="e">
        <f>NA()</f>
        <v>#N/A</v>
      </c>
      <c r="F183" s="50" t="e">
        <f>NA()</f>
        <v>#N/A</v>
      </c>
      <c r="G183" s="151" t="e">
        <f ca="1">IF(AND(Decisiones!A162&gt;=IFERROR(INDEX(Participacion_Junta!$A$2:$A$346,_xludf.AGGREGATE(15,6,(ROW(Participacion_Junta!$A$2:$A$346)-1)/(Participacion_Junta!$B$2:$B$346=$X$2),1)),"ZZZ"),Decisiones!A162&lt;=IFERROR(INDEX(Participacion_Junta!$A$2:$A$346,_xludf.AGGREGATE(14,6,(ROW(Participacion_Junta!$A$2:$A$346)-1)/(Participacion_Junta!$B$2:$B$346=$X$2),1)),"")),0.35,NA())</f>
        <v>#N/A</v>
      </c>
      <c r="H183" s="50"/>
      <c r="I183" s="50"/>
      <c r="J183" s="50"/>
      <c r="K183" s="50"/>
      <c r="L183" s="50"/>
      <c r="M183" s="50"/>
      <c r="AA183" s="94">
        <f>Decisiones!B183</f>
        <v>43783</v>
      </c>
    </row>
    <row r="184" spans="1:27" ht="12" customHeight="1">
      <c r="A184" s="66">
        <f>Decisiones!B163</f>
        <v>42873</v>
      </c>
      <c r="B184" s="50">
        <f>Decisiones!H163</f>
        <v>6.75</v>
      </c>
      <c r="C184" s="151">
        <f>COUNTIFS(Votaciones!$A$2:$A$346,Decisiones!A163,Votaciones!$D$2:$D$346,"Disenso restrictivo")</f>
        <v>0</v>
      </c>
      <c r="D184" s="151">
        <f>COUNTIFS(Votaciones!$A$2:$A$346,Decisiones!A163,Votaciones!$D$2:$D$346,"Disenso acomodaticio")</f>
        <v>0</v>
      </c>
      <c r="E184" s="50" t="e">
        <f>NA()</f>
        <v>#N/A</v>
      </c>
      <c r="F184" s="50" t="e">
        <f>NA()</f>
        <v>#N/A</v>
      </c>
      <c r="G184" s="151" t="e">
        <f ca="1">IF(AND(Decisiones!A163&gt;=IFERROR(INDEX(Participacion_Junta!$A$2:$A$346,_xludf.AGGREGATE(15,6,(ROW(Participacion_Junta!$A$2:$A$346)-1)/(Participacion_Junta!$B$2:$B$346=$X$2),1)),"ZZZ"),Decisiones!A163&lt;=IFERROR(INDEX(Participacion_Junta!$A$2:$A$346,_xludf.AGGREGATE(14,6,(ROW(Participacion_Junta!$A$2:$A$346)-1)/(Participacion_Junta!$B$2:$B$346=$X$2),1)),"")),0.35,NA())</f>
        <v>#N/A</v>
      </c>
      <c r="H184" s="50"/>
      <c r="I184" s="50"/>
      <c r="J184" s="50"/>
      <c r="K184" s="50"/>
      <c r="L184" s="50"/>
      <c r="M184" s="50"/>
      <c r="AA184" s="94">
        <f>Decisiones!B184</f>
        <v>43818</v>
      </c>
    </row>
    <row r="185" spans="1:27" ht="12" customHeight="1">
      <c r="A185" s="66">
        <f>Decisiones!B164</f>
        <v>42908</v>
      </c>
      <c r="B185" s="50">
        <f>Decisiones!H164</f>
        <v>7</v>
      </c>
      <c r="C185" s="151">
        <f>COUNTIFS(Votaciones!$A$2:$A$346,Decisiones!A164,Votaciones!$D$2:$D$346,"Disenso restrictivo")</f>
        <v>0</v>
      </c>
      <c r="D185" s="151">
        <f>COUNTIFS(Votaciones!$A$2:$A$346,Decisiones!A164,Votaciones!$D$2:$D$346,"Disenso acomodaticio")</f>
        <v>0</v>
      </c>
      <c r="E185" s="50" t="e">
        <f>NA()</f>
        <v>#N/A</v>
      </c>
      <c r="F185" s="50" t="e">
        <f>NA()</f>
        <v>#N/A</v>
      </c>
      <c r="G185" s="151" t="e">
        <f ca="1">IF(AND(Decisiones!A164&gt;=IFERROR(INDEX(Participacion_Junta!$A$2:$A$346,_xludf.AGGREGATE(15,6,(ROW(Participacion_Junta!$A$2:$A$346)-1)/(Participacion_Junta!$B$2:$B$346=$X$2),1)),"ZZZ"),Decisiones!A164&lt;=IFERROR(INDEX(Participacion_Junta!$A$2:$A$346,_xludf.AGGREGATE(14,6,(ROW(Participacion_Junta!$A$2:$A$346)-1)/(Participacion_Junta!$B$2:$B$346=$X$2),1)),"")),0.35,NA())</f>
        <v>#N/A</v>
      </c>
      <c r="H185" s="50"/>
      <c r="I185" s="50"/>
      <c r="J185" s="50"/>
      <c r="K185" s="50"/>
      <c r="L185" s="50"/>
      <c r="M185" s="50"/>
      <c r="AA185" s="94">
        <f>Decisiones!B185</f>
        <v>43874</v>
      </c>
    </row>
    <row r="186" spans="1:27" ht="12" customHeight="1">
      <c r="A186" s="66">
        <f>Decisiones!B165</f>
        <v>42957</v>
      </c>
      <c r="B186" s="50">
        <f>Decisiones!H165</f>
        <v>7</v>
      </c>
      <c r="C186" s="151">
        <f>COUNTIFS(Votaciones!$A$2:$A$346,Decisiones!A165,Votaciones!$D$2:$D$346,"Disenso restrictivo")</f>
        <v>0</v>
      </c>
      <c r="D186" s="151">
        <f>COUNTIFS(Votaciones!$A$2:$A$346,Decisiones!A165,Votaciones!$D$2:$D$346,"Disenso acomodaticio")</f>
        <v>0</v>
      </c>
      <c r="E186" s="50" t="e">
        <f>NA()</f>
        <v>#N/A</v>
      </c>
      <c r="F186" s="50" t="e">
        <f>NA()</f>
        <v>#N/A</v>
      </c>
      <c r="G186" s="151" t="e">
        <f ca="1">IF(AND(Decisiones!A165&gt;=IFERROR(INDEX(Participacion_Junta!$A$2:$A$346,_xludf.AGGREGATE(15,6,(ROW(Participacion_Junta!$A$2:$A$346)-1)/(Participacion_Junta!$B$2:$B$346=$X$2),1)),"ZZZ"),Decisiones!A165&lt;=IFERROR(INDEX(Participacion_Junta!$A$2:$A$346,_xludf.AGGREGATE(14,6,(ROW(Participacion_Junta!$A$2:$A$346)-1)/(Participacion_Junta!$B$2:$B$346=$X$2),1)),"")),0.35,NA())</f>
        <v>#N/A</v>
      </c>
      <c r="H186" s="50"/>
      <c r="I186" s="50"/>
      <c r="J186" s="50"/>
      <c r="K186" s="50"/>
      <c r="L186" s="50"/>
      <c r="M186" s="50"/>
      <c r="AA186" s="94">
        <f>Decisiones!B186</f>
        <v>43910</v>
      </c>
    </row>
    <row r="187" spans="1:27" ht="12" customHeight="1">
      <c r="A187" s="66">
        <f>Decisiones!B166</f>
        <v>43006</v>
      </c>
      <c r="B187" s="50">
        <f>Decisiones!H166</f>
        <v>7</v>
      </c>
      <c r="C187" s="151">
        <f>COUNTIFS(Votaciones!$A$2:$A$346,Decisiones!A166,Votaciones!$D$2:$D$346,"Disenso restrictivo")</f>
        <v>0</v>
      </c>
      <c r="D187" s="151">
        <f>COUNTIFS(Votaciones!$A$2:$A$346,Decisiones!A166,Votaciones!$D$2:$D$346,"Disenso acomodaticio")</f>
        <v>0</v>
      </c>
      <c r="E187" s="50" t="e">
        <f>NA()</f>
        <v>#N/A</v>
      </c>
      <c r="F187" s="50" t="e">
        <f>NA()</f>
        <v>#N/A</v>
      </c>
      <c r="G187" s="151" t="e">
        <f ca="1">IF(AND(Decisiones!A166&gt;=IFERROR(INDEX(Participacion_Junta!$A$2:$A$346,_xludf.AGGREGATE(15,6,(ROW(Participacion_Junta!$A$2:$A$346)-1)/(Participacion_Junta!$B$2:$B$346=$X$2),1)),"ZZZ"),Decisiones!A166&lt;=IFERROR(INDEX(Participacion_Junta!$A$2:$A$346,_xludf.AGGREGATE(14,6,(ROW(Participacion_Junta!$A$2:$A$346)-1)/(Participacion_Junta!$B$2:$B$346=$X$2),1)),"")),0.35,NA())</f>
        <v>#N/A</v>
      </c>
      <c r="H187" s="50"/>
      <c r="I187" s="50"/>
      <c r="J187" s="50"/>
      <c r="K187" s="50"/>
      <c r="L187" s="50"/>
      <c r="M187" s="50"/>
      <c r="AA187" s="94">
        <f>Decisiones!B187</f>
        <v>43942</v>
      </c>
    </row>
    <row r="188" spans="1:27" ht="12" customHeight="1">
      <c r="A188" s="66">
        <f>Decisiones!B167</f>
        <v>43048</v>
      </c>
      <c r="B188" s="50">
        <f>Decisiones!H167</f>
        <v>7</v>
      </c>
      <c r="C188" s="151">
        <f>COUNTIFS(Votaciones!$A$2:$A$346,Decisiones!A167,Votaciones!$D$2:$D$346,"Disenso restrictivo")</f>
        <v>0</v>
      </c>
      <c r="D188" s="151">
        <f>COUNTIFS(Votaciones!$A$2:$A$346,Decisiones!A167,Votaciones!$D$2:$D$346,"Disenso acomodaticio")</f>
        <v>0</v>
      </c>
      <c r="E188" s="50" t="e">
        <f>NA()</f>
        <v>#N/A</v>
      </c>
      <c r="F188" s="50" t="e">
        <f>NA()</f>
        <v>#N/A</v>
      </c>
      <c r="G188" s="151" t="e">
        <f ca="1">IF(AND(Decisiones!A167&gt;=IFERROR(INDEX(Participacion_Junta!$A$2:$A$346,_xludf.AGGREGATE(15,6,(ROW(Participacion_Junta!$A$2:$A$346)-1)/(Participacion_Junta!$B$2:$B$346=$X$2),1)),"ZZZ"),Decisiones!A167&lt;=IFERROR(INDEX(Participacion_Junta!$A$2:$A$346,_xludf.AGGREGATE(14,6,(ROW(Participacion_Junta!$A$2:$A$346)-1)/(Participacion_Junta!$B$2:$B$346=$X$2),1)),"")),0.35,NA())</f>
        <v>#N/A</v>
      </c>
      <c r="H188" s="50"/>
      <c r="I188" s="50"/>
      <c r="J188" s="50"/>
      <c r="K188" s="50"/>
      <c r="L188" s="50"/>
      <c r="M188" s="50"/>
      <c r="AA188" s="94">
        <f>Decisiones!B188</f>
        <v>43965</v>
      </c>
    </row>
    <row r="189" spans="1:27" ht="12" customHeight="1">
      <c r="A189" s="66">
        <f>Decisiones!B168</f>
        <v>43083</v>
      </c>
      <c r="B189" s="50">
        <f>Decisiones!H168</f>
        <v>7.25</v>
      </c>
      <c r="C189" s="151">
        <f>COUNTIFS(Votaciones!$A$2:$A$346,Decisiones!A168,Votaciones!$D$2:$D$346,"Disenso restrictivo")</f>
        <v>0</v>
      </c>
      <c r="D189" s="151">
        <f>COUNTIFS(Votaciones!$A$2:$A$346,Decisiones!A168,Votaciones!$D$2:$D$346,"Disenso acomodaticio")</f>
        <v>0</v>
      </c>
      <c r="E189" s="50" t="e">
        <f>NA()</f>
        <v>#N/A</v>
      </c>
      <c r="F189" s="50" t="e">
        <f>NA()</f>
        <v>#N/A</v>
      </c>
      <c r="G189" s="151" t="e">
        <f ca="1">IF(AND(Decisiones!A168&gt;=IFERROR(INDEX(Participacion_Junta!$A$2:$A$346,_xludf.AGGREGATE(15,6,(ROW(Participacion_Junta!$A$2:$A$346)-1)/(Participacion_Junta!$B$2:$B$346=$X$2),1)),"ZZZ"),Decisiones!A168&lt;=IFERROR(INDEX(Participacion_Junta!$A$2:$A$346,_xludf.AGGREGATE(14,6,(ROW(Participacion_Junta!$A$2:$A$346)-1)/(Participacion_Junta!$B$2:$B$346=$X$2),1)),"")),0.35,NA())</f>
        <v>#N/A</v>
      </c>
      <c r="H189" s="50"/>
      <c r="I189" s="50"/>
      <c r="J189" s="50"/>
      <c r="K189" s="50"/>
      <c r="L189" s="50"/>
      <c r="M189" s="50"/>
      <c r="AA189" s="94">
        <f>Decisiones!B189</f>
        <v>44007</v>
      </c>
    </row>
    <row r="190" spans="1:27" ht="12" customHeight="1">
      <c r="A190" s="66">
        <f>Decisiones!B169</f>
        <v>43139</v>
      </c>
      <c r="B190" s="50">
        <f>Decisiones!H169</f>
        <v>7.5</v>
      </c>
      <c r="C190" s="151">
        <f>COUNTIFS(Votaciones!$A$2:$A$346,Decisiones!A169,Votaciones!$D$2:$D$346,"Disenso restrictivo")</f>
        <v>0</v>
      </c>
      <c r="D190" s="151">
        <f>COUNTIFS(Votaciones!$A$2:$A$346,Decisiones!A169,Votaciones!$D$2:$D$346,"Disenso acomodaticio")</f>
        <v>0</v>
      </c>
      <c r="E190" s="50" t="e">
        <f>NA()</f>
        <v>#N/A</v>
      </c>
      <c r="F190" s="50" t="e">
        <f>NA()</f>
        <v>#N/A</v>
      </c>
      <c r="G190" s="151" t="e">
        <f ca="1">IF(AND(Decisiones!A169&gt;=IFERROR(INDEX(Participacion_Junta!$A$2:$A$346,_xludf.AGGREGATE(15,6,(ROW(Participacion_Junta!$A$2:$A$346)-1)/(Participacion_Junta!$B$2:$B$346=$X$2),1)),"ZZZ"),Decisiones!A169&lt;=IFERROR(INDEX(Participacion_Junta!$A$2:$A$346,_xludf.AGGREGATE(14,6,(ROW(Participacion_Junta!$A$2:$A$346)-1)/(Participacion_Junta!$B$2:$B$346=$X$2),1)),"")),0.35,NA())</f>
        <v>#N/A</v>
      </c>
      <c r="H190" s="50"/>
      <c r="I190" s="50"/>
      <c r="J190" s="50"/>
      <c r="K190" s="50"/>
      <c r="L190" s="50"/>
      <c r="M190" s="50"/>
      <c r="AA190" s="94">
        <f>Decisiones!B190</f>
        <v>44056</v>
      </c>
    </row>
    <row r="191" spans="1:27" ht="12" customHeight="1">
      <c r="A191" s="66">
        <f>Decisiones!B170</f>
        <v>43202</v>
      </c>
      <c r="B191" s="50">
        <f>Decisiones!H170</f>
        <v>7.5</v>
      </c>
      <c r="C191" s="151">
        <f>COUNTIFS(Votaciones!$A$2:$A$346,Decisiones!A170,Votaciones!$D$2:$D$346,"Disenso restrictivo")</f>
        <v>0</v>
      </c>
      <c r="D191" s="151">
        <f>COUNTIFS(Votaciones!$A$2:$A$346,Decisiones!A170,Votaciones!$D$2:$D$346,"Disenso acomodaticio")</f>
        <v>0</v>
      </c>
      <c r="E191" s="50" t="e">
        <f>NA()</f>
        <v>#N/A</v>
      </c>
      <c r="F191" s="50" t="e">
        <f>NA()</f>
        <v>#N/A</v>
      </c>
      <c r="G191" s="151" t="e">
        <f ca="1">IF(AND(Decisiones!A170&gt;=IFERROR(INDEX(Participacion_Junta!$A$2:$A$346,_xludf.AGGREGATE(15,6,(ROW(Participacion_Junta!$A$2:$A$346)-1)/(Participacion_Junta!$B$2:$B$346=$X$2),1)),"ZZZ"),Decisiones!A170&lt;=IFERROR(INDEX(Participacion_Junta!$A$2:$A$346,_xludf.AGGREGATE(14,6,(ROW(Participacion_Junta!$A$2:$A$346)-1)/(Participacion_Junta!$B$2:$B$346=$X$2),1)),"")),0.35,NA())</f>
        <v>#N/A</v>
      </c>
      <c r="H191" s="50"/>
      <c r="I191" s="50"/>
      <c r="J191" s="50"/>
      <c r="K191" s="50"/>
      <c r="L191" s="50"/>
      <c r="M191" s="50"/>
      <c r="AA191" s="94">
        <f>Decisiones!B191</f>
        <v>44098</v>
      </c>
    </row>
    <row r="192" spans="1:27" ht="12" customHeight="1">
      <c r="A192" s="66">
        <f>Decisiones!B171</f>
        <v>43237</v>
      </c>
      <c r="B192" s="50">
        <f>Decisiones!H171</f>
        <v>7.5</v>
      </c>
      <c r="C192" s="151">
        <f>COUNTIFS(Votaciones!$A$2:$A$346,Decisiones!A171,Votaciones!$D$2:$D$346,"Disenso restrictivo")</f>
        <v>0</v>
      </c>
      <c r="D192" s="151">
        <f>COUNTIFS(Votaciones!$A$2:$A$346,Decisiones!A171,Votaciones!$D$2:$D$346,"Disenso acomodaticio")</f>
        <v>0</v>
      </c>
      <c r="E192" s="50" t="e">
        <f>NA()</f>
        <v>#N/A</v>
      </c>
      <c r="F192" s="50" t="e">
        <f>NA()</f>
        <v>#N/A</v>
      </c>
      <c r="G192" s="151" t="e">
        <f ca="1">IF(AND(Decisiones!A171&gt;=IFERROR(INDEX(Participacion_Junta!$A$2:$A$346,_xludf.AGGREGATE(15,6,(ROW(Participacion_Junta!$A$2:$A$346)-1)/(Participacion_Junta!$B$2:$B$346=$X$2),1)),"ZZZ"),Decisiones!A171&lt;=IFERROR(INDEX(Participacion_Junta!$A$2:$A$346,_xludf.AGGREGATE(14,6,(ROW(Participacion_Junta!$A$2:$A$346)-1)/(Participacion_Junta!$B$2:$B$346=$X$2),1)),"")),0.35,NA())</f>
        <v>#N/A</v>
      </c>
      <c r="H192" s="50"/>
      <c r="I192" s="50"/>
      <c r="J192" s="50"/>
      <c r="K192" s="50"/>
      <c r="L192" s="50"/>
      <c r="M192" s="50"/>
      <c r="AA192" s="94">
        <f>Decisiones!B192</f>
        <v>44147</v>
      </c>
    </row>
    <row r="193" spans="1:27" ht="12" customHeight="1">
      <c r="A193" s="66">
        <f>Decisiones!B172</f>
        <v>43272</v>
      </c>
      <c r="B193" s="50">
        <f>Decisiones!H172</f>
        <v>7.75</v>
      </c>
      <c r="C193" s="151">
        <f>COUNTIFS(Votaciones!$A$2:$A$346,Decisiones!A172,Votaciones!$D$2:$D$346,"Disenso restrictivo")</f>
        <v>0</v>
      </c>
      <c r="D193" s="151">
        <f>COUNTIFS(Votaciones!$A$2:$A$346,Decisiones!A172,Votaciones!$D$2:$D$346,"Disenso acomodaticio")</f>
        <v>0</v>
      </c>
      <c r="E193" s="50" t="e">
        <f>NA()</f>
        <v>#N/A</v>
      </c>
      <c r="F193" s="50" t="e">
        <f>NA()</f>
        <v>#N/A</v>
      </c>
      <c r="G193" s="151" t="e">
        <f ca="1">IF(AND(Decisiones!A172&gt;=IFERROR(INDEX(Participacion_Junta!$A$2:$A$346,_xludf.AGGREGATE(15,6,(ROW(Participacion_Junta!$A$2:$A$346)-1)/(Participacion_Junta!$B$2:$B$346=$X$2),1)),"ZZZ"),Decisiones!A172&lt;=IFERROR(INDEX(Participacion_Junta!$A$2:$A$346,_xludf.AGGREGATE(14,6,(ROW(Participacion_Junta!$A$2:$A$346)-1)/(Participacion_Junta!$B$2:$B$346=$X$2),1)),"")),0.35,NA())</f>
        <v>#N/A</v>
      </c>
      <c r="H193" s="50"/>
      <c r="I193" s="50"/>
      <c r="J193" s="50"/>
      <c r="K193" s="50"/>
      <c r="L193" s="50"/>
      <c r="M193" s="50"/>
      <c r="AA193" s="94">
        <f>Decisiones!B193</f>
        <v>44182</v>
      </c>
    </row>
    <row r="194" spans="1:27" ht="12" customHeight="1">
      <c r="A194" s="66">
        <f>Decisiones!B173</f>
        <v>43314</v>
      </c>
      <c r="B194" s="50">
        <f>Decisiones!H173</f>
        <v>7.75</v>
      </c>
      <c r="C194" s="151">
        <f>COUNTIFS(Votaciones!$A$2:$A$346,Decisiones!A173,Votaciones!$D$2:$D$346,"Disenso restrictivo")</f>
        <v>0</v>
      </c>
      <c r="D194" s="151">
        <f>COUNTIFS(Votaciones!$A$2:$A$346,Decisiones!A173,Votaciones!$D$2:$D$346,"Disenso acomodaticio")</f>
        <v>0</v>
      </c>
      <c r="E194" s="50" t="e">
        <f>NA()</f>
        <v>#N/A</v>
      </c>
      <c r="F194" s="50" t="e">
        <f>NA()</f>
        <v>#N/A</v>
      </c>
      <c r="G194" s="151" t="e">
        <f ca="1">IF(AND(Decisiones!A173&gt;=IFERROR(INDEX(Participacion_Junta!$A$2:$A$346,_xludf.AGGREGATE(15,6,(ROW(Participacion_Junta!$A$2:$A$346)-1)/(Participacion_Junta!$B$2:$B$346=$X$2),1)),"ZZZ"),Decisiones!A173&lt;=IFERROR(INDEX(Participacion_Junta!$A$2:$A$346,_xludf.AGGREGATE(14,6,(ROW(Participacion_Junta!$A$2:$A$346)-1)/(Participacion_Junta!$B$2:$B$346=$X$2),1)),"")),0.35,NA())</f>
        <v>#N/A</v>
      </c>
      <c r="H194" s="50"/>
      <c r="I194" s="50"/>
      <c r="J194" s="50"/>
      <c r="K194" s="50"/>
      <c r="L194" s="50"/>
      <c r="M194" s="50"/>
      <c r="AA194" s="94">
        <f>Decisiones!B194</f>
        <v>44238</v>
      </c>
    </row>
    <row r="195" spans="1:27" ht="12" customHeight="1">
      <c r="A195" s="66">
        <f>Decisiones!B174</f>
        <v>43377</v>
      </c>
      <c r="B195" s="50">
        <f>Decisiones!H174</f>
        <v>7.75</v>
      </c>
      <c r="C195" s="151">
        <f>COUNTIFS(Votaciones!$A$2:$A$346,Decisiones!A174,Votaciones!$D$2:$D$346,"Disenso restrictivo")</f>
        <v>1</v>
      </c>
      <c r="D195" s="151">
        <f>COUNTIFS(Votaciones!$A$2:$A$346,Decisiones!A174,Votaciones!$D$2:$D$346,"Disenso acomodaticio")</f>
        <v>0</v>
      </c>
      <c r="E195" s="50" t="e">
        <f>NA()</f>
        <v>#N/A</v>
      </c>
      <c r="F195" s="50" t="e">
        <f>NA()</f>
        <v>#N/A</v>
      </c>
      <c r="G195" s="151" t="e">
        <f ca="1">IF(AND(Decisiones!A174&gt;=IFERROR(INDEX(Participacion_Junta!$A$2:$A$346,_xludf.AGGREGATE(15,6,(ROW(Participacion_Junta!$A$2:$A$346)-1)/(Participacion_Junta!$B$2:$B$346=$X$2),1)),"ZZZ"),Decisiones!A174&lt;=IFERROR(INDEX(Participacion_Junta!$A$2:$A$346,_xludf.AGGREGATE(14,6,(ROW(Participacion_Junta!$A$2:$A$346)-1)/(Participacion_Junta!$B$2:$B$346=$X$2),1)),"")),0.35,NA())</f>
        <v>#N/A</v>
      </c>
      <c r="H195" s="50"/>
      <c r="I195" s="50"/>
      <c r="J195" s="50"/>
      <c r="K195" s="50"/>
      <c r="L195" s="50"/>
      <c r="M195" s="50"/>
      <c r="AA195" s="94">
        <f>Decisiones!B195</f>
        <v>44280</v>
      </c>
    </row>
    <row r="196" spans="1:27" ht="12" customHeight="1">
      <c r="A196" s="66">
        <f>Decisiones!B175</f>
        <v>43419</v>
      </c>
      <c r="B196" s="50">
        <f>Decisiones!H175</f>
        <v>8</v>
      </c>
      <c r="C196" s="151">
        <f>COUNTIFS(Votaciones!$A$2:$A$346,Decisiones!A175,Votaciones!$D$2:$D$346,"Disenso restrictivo")</f>
        <v>1</v>
      </c>
      <c r="D196" s="151">
        <f>COUNTIFS(Votaciones!$A$2:$A$346,Decisiones!A175,Votaciones!$D$2:$D$346,"Disenso acomodaticio")</f>
        <v>0</v>
      </c>
      <c r="E196" s="50" t="e">
        <f>NA()</f>
        <v>#N/A</v>
      </c>
      <c r="F196" s="50" t="e">
        <f>NA()</f>
        <v>#N/A</v>
      </c>
      <c r="G196" s="151" t="e">
        <f ca="1">IF(AND(Decisiones!A175&gt;=IFERROR(INDEX(Participacion_Junta!$A$2:$A$346,_xludf.AGGREGATE(15,6,(ROW(Participacion_Junta!$A$2:$A$346)-1)/(Participacion_Junta!$B$2:$B$346=$X$2),1)),"ZZZ"),Decisiones!A175&lt;=IFERROR(INDEX(Participacion_Junta!$A$2:$A$346,_xludf.AGGREGATE(14,6,(ROW(Participacion_Junta!$A$2:$A$346)-1)/(Participacion_Junta!$B$2:$B$346=$X$2),1)),"")),0.35,NA())</f>
        <v>#N/A</v>
      </c>
      <c r="H196" s="50"/>
      <c r="I196" s="50"/>
      <c r="J196" s="50"/>
      <c r="K196" s="50"/>
      <c r="L196" s="50"/>
      <c r="M196" s="50"/>
      <c r="AA196" s="94">
        <f>Decisiones!B196</f>
        <v>44329</v>
      </c>
    </row>
    <row r="197" spans="1:27" ht="12" customHeight="1">
      <c r="A197" s="66">
        <f>Decisiones!B176</f>
        <v>43454</v>
      </c>
      <c r="B197" s="50">
        <f>Decisiones!H176</f>
        <v>8.25</v>
      </c>
      <c r="C197" s="151">
        <f>COUNTIFS(Votaciones!$A$2:$A$346,Decisiones!A176,Votaciones!$D$2:$D$346,"Disenso restrictivo")</f>
        <v>0</v>
      </c>
      <c r="D197" s="151">
        <f>COUNTIFS(Votaciones!$A$2:$A$346,Decisiones!A176,Votaciones!$D$2:$D$346,"Disenso acomodaticio")</f>
        <v>0</v>
      </c>
      <c r="E197" s="50" t="e">
        <f>NA()</f>
        <v>#N/A</v>
      </c>
      <c r="F197" s="50" t="e">
        <f>NA()</f>
        <v>#N/A</v>
      </c>
      <c r="G197" s="151" t="e">
        <f ca="1">IF(AND(Decisiones!A176&gt;=IFERROR(INDEX(Participacion_Junta!$A$2:$A$346,_xludf.AGGREGATE(15,6,(ROW(Participacion_Junta!$A$2:$A$346)-1)/(Participacion_Junta!$B$2:$B$346=$X$2),1)),"ZZZ"),Decisiones!A176&lt;=IFERROR(INDEX(Participacion_Junta!$A$2:$A$346,_xludf.AGGREGATE(14,6,(ROW(Participacion_Junta!$A$2:$A$346)-1)/(Participacion_Junta!$B$2:$B$346=$X$2),1)),"")),0.35,NA())</f>
        <v>#N/A</v>
      </c>
      <c r="H197" s="50"/>
      <c r="I197" s="50"/>
      <c r="J197" s="50"/>
      <c r="K197" s="50"/>
      <c r="L197" s="50"/>
      <c r="M197" s="50"/>
      <c r="AA197" s="94">
        <f>Decisiones!B197</f>
        <v>44371</v>
      </c>
    </row>
    <row r="198" spans="1:27" ht="12" customHeight="1">
      <c r="A198" s="66">
        <f>Decisiones!B177</f>
        <v>43503</v>
      </c>
      <c r="B198" s="50">
        <f>Decisiones!H177</f>
        <v>8.25</v>
      </c>
      <c r="C198" s="151">
        <f>COUNTIFS(Votaciones!$A$2:$A$346,Decisiones!A177,Votaciones!$D$2:$D$346,"Disenso restrictivo")</f>
        <v>0</v>
      </c>
      <c r="D198" s="151">
        <f>COUNTIFS(Votaciones!$A$2:$A$346,Decisiones!A177,Votaciones!$D$2:$D$346,"Disenso acomodaticio")</f>
        <v>0</v>
      </c>
      <c r="E198" s="50" t="e">
        <f>NA()</f>
        <v>#N/A</v>
      </c>
      <c r="F198" s="50" t="e">
        <f>NA()</f>
        <v>#N/A</v>
      </c>
      <c r="G198" s="151" t="e">
        <f ca="1">IF(AND(Decisiones!A177&gt;=IFERROR(INDEX(Participacion_Junta!$A$2:$A$346,_xludf.AGGREGATE(15,6,(ROW(Participacion_Junta!$A$2:$A$346)-1)/(Participacion_Junta!$B$2:$B$346=$X$2),1)),"ZZZ"),Decisiones!A177&lt;=IFERROR(INDEX(Participacion_Junta!$A$2:$A$346,_xludf.AGGREGATE(14,6,(ROW(Participacion_Junta!$A$2:$A$346)-1)/(Participacion_Junta!$B$2:$B$346=$X$2),1)),"")),0.35,NA())</f>
        <v>#N/A</v>
      </c>
      <c r="H198" s="50"/>
      <c r="I198" s="50"/>
      <c r="J198" s="50"/>
      <c r="K198" s="50"/>
      <c r="L198" s="50"/>
      <c r="M198" s="50"/>
      <c r="AA198" s="94">
        <f>Decisiones!B198</f>
        <v>44420</v>
      </c>
    </row>
    <row r="199" spans="1:27" ht="12" customHeight="1">
      <c r="A199" s="66">
        <f>Decisiones!B178</f>
        <v>43552</v>
      </c>
      <c r="B199" s="50">
        <f>Decisiones!H178</f>
        <v>8.25</v>
      </c>
      <c r="C199" s="151">
        <f>COUNTIFS(Votaciones!$A$2:$A$346,Decisiones!A178,Votaciones!$D$2:$D$346,"Disenso restrictivo")</f>
        <v>0</v>
      </c>
      <c r="D199" s="151">
        <f>COUNTIFS(Votaciones!$A$2:$A$346,Decisiones!A178,Votaciones!$D$2:$D$346,"Disenso acomodaticio")</f>
        <v>0</v>
      </c>
      <c r="E199" s="50" t="e">
        <f>NA()</f>
        <v>#N/A</v>
      </c>
      <c r="F199" s="50" t="e">
        <f>NA()</f>
        <v>#N/A</v>
      </c>
      <c r="G199" s="151" t="e">
        <f ca="1">IF(AND(Decisiones!A178&gt;=IFERROR(INDEX(Participacion_Junta!$A$2:$A$346,_xludf.AGGREGATE(15,6,(ROW(Participacion_Junta!$A$2:$A$346)-1)/(Participacion_Junta!$B$2:$B$346=$X$2),1)),"ZZZ"),Decisiones!A178&lt;=IFERROR(INDEX(Participacion_Junta!$A$2:$A$346,_xludf.AGGREGATE(14,6,(ROW(Participacion_Junta!$A$2:$A$346)-1)/(Participacion_Junta!$B$2:$B$346=$X$2),1)),"")),0.35,NA())</f>
        <v>#N/A</v>
      </c>
      <c r="H199" s="50"/>
      <c r="I199" s="50"/>
      <c r="J199" s="50"/>
      <c r="K199" s="50"/>
      <c r="L199" s="50"/>
      <c r="M199" s="50"/>
      <c r="AA199" s="94">
        <f>Decisiones!B199</f>
        <v>44469</v>
      </c>
    </row>
    <row r="200" spans="1:27" ht="12" customHeight="1">
      <c r="A200" s="66">
        <f>Decisiones!B179</f>
        <v>43601</v>
      </c>
      <c r="B200" s="50">
        <f>Decisiones!H179</f>
        <v>8.25</v>
      </c>
      <c r="C200" s="151">
        <f>COUNTIFS(Votaciones!$A$2:$A$346,Decisiones!A179,Votaciones!$D$2:$D$346,"Disenso restrictivo")</f>
        <v>0</v>
      </c>
      <c r="D200" s="151">
        <f>COUNTIFS(Votaciones!$A$2:$A$346,Decisiones!A179,Votaciones!$D$2:$D$346,"Disenso acomodaticio")</f>
        <v>0</v>
      </c>
      <c r="E200" s="50" t="e">
        <f>NA()</f>
        <v>#N/A</v>
      </c>
      <c r="F200" s="50" t="e">
        <f>NA()</f>
        <v>#N/A</v>
      </c>
      <c r="G200" s="151" t="e">
        <f ca="1">IF(AND(Decisiones!A179&gt;=IFERROR(INDEX(Participacion_Junta!$A$2:$A$346,_xludf.AGGREGATE(15,6,(ROW(Participacion_Junta!$A$2:$A$346)-1)/(Participacion_Junta!$B$2:$B$346=$X$2),1)),"ZZZ"),Decisiones!A179&lt;=IFERROR(INDEX(Participacion_Junta!$A$2:$A$346,_xludf.AGGREGATE(14,6,(ROW(Participacion_Junta!$A$2:$A$346)-1)/(Participacion_Junta!$B$2:$B$346=$X$2),1)),"")),0.35,NA())</f>
        <v>#N/A</v>
      </c>
      <c r="H200" s="50"/>
      <c r="I200" s="50"/>
      <c r="J200" s="50"/>
      <c r="K200" s="50"/>
      <c r="L200" s="50"/>
      <c r="M200" s="50"/>
      <c r="AA200" s="94">
        <f>Decisiones!B200</f>
        <v>44511</v>
      </c>
    </row>
    <row r="201" spans="1:27" ht="12" customHeight="1">
      <c r="A201" s="66">
        <f>Decisiones!B180</f>
        <v>43643</v>
      </c>
      <c r="B201" s="50">
        <f>Decisiones!H180</f>
        <v>8.25</v>
      </c>
      <c r="C201" s="151">
        <f>COUNTIFS(Votaciones!$A$2:$A$346,Decisiones!A180,Votaciones!$D$2:$D$346,"Disenso restrictivo")</f>
        <v>0</v>
      </c>
      <c r="D201" s="151">
        <f>COUNTIFS(Votaciones!$A$2:$A$346,Decisiones!A180,Votaciones!$D$2:$D$346,"Disenso acomodaticio")</f>
        <v>1</v>
      </c>
      <c r="E201" s="50">
        <f>Decisiones!H180-0.1</f>
        <v>8.15</v>
      </c>
      <c r="F201" s="50" t="e">
        <f>NA()</f>
        <v>#N/A</v>
      </c>
      <c r="G201" s="151" t="e">
        <f ca="1">IF(AND(Decisiones!A180&gt;=IFERROR(INDEX(Participacion_Junta!$A$2:$A$346,_xludf.AGGREGATE(15,6,(ROW(Participacion_Junta!$A$2:$A$346)-1)/(Participacion_Junta!$B$2:$B$346=$X$2),1)),"ZZZ"),Decisiones!A180&lt;=IFERROR(INDEX(Participacion_Junta!$A$2:$A$346,_xludf.AGGREGATE(14,6,(ROW(Participacion_Junta!$A$2:$A$346)-1)/(Participacion_Junta!$B$2:$B$346=$X$2),1)),"")),0.35,NA())</f>
        <v>#N/A</v>
      </c>
      <c r="H201" s="50"/>
      <c r="I201" s="50"/>
      <c r="J201" s="50"/>
      <c r="K201" s="50"/>
      <c r="L201" s="50"/>
      <c r="M201" s="50"/>
      <c r="AA201" s="94">
        <f>Decisiones!B201</f>
        <v>44546</v>
      </c>
    </row>
    <row r="202" spans="1:27" ht="12" customHeight="1">
      <c r="A202" s="66">
        <f>Decisiones!B181</f>
        <v>43692</v>
      </c>
      <c r="B202" s="50">
        <f>Decisiones!H181</f>
        <v>8</v>
      </c>
      <c r="C202" s="151">
        <f>COUNTIFS(Votaciones!$A$2:$A$346,Decisiones!A181,Votaciones!$D$2:$D$346,"Disenso restrictivo")</f>
        <v>1</v>
      </c>
      <c r="D202" s="151">
        <f>COUNTIFS(Votaciones!$A$2:$A$346,Decisiones!A181,Votaciones!$D$2:$D$346,"Disenso acomodaticio")</f>
        <v>0</v>
      </c>
      <c r="E202" s="50" t="e">
        <f>NA()</f>
        <v>#N/A</v>
      </c>
      <c r="F202" s="50" t="e">
        <f>NA()</f>
        <v>#N/A</v>
      </c>
      <c r="G202" s="151" t="e">
        <f ca="1">IF(AND(Decisiones!A181&gt;=IFERROR(INDEX(Participacion_Junta!$A$2:$A$346,_xludf.AGGREGATE(15,6,(ROW(Participacion_Junta!$A$2:$A$346)-1)/(Participacion_Junta!$B$2:$B$346=$X$2),1)),"ZZZ"),Decisiones!A181&lt;=IFERROR(INDEX(Participacion_Junta!$A$2:$A$346,_xludf.AGGREGATE(14,6,(ROW(Participacion_Junta!$A$2:$A$346)-1)/(Participacion_Junta!$B$2:$B$346=$X$2),1)),"")),0.35,NA())</f>
        <v>#N/A</v>
      </c>
      <c r="H202" s="50"/>
      <c r="I202" s="50"/>
      <c r="J202" s="50"/>
      <c r="K202" s="50"/>
      <c r="L202" s="50"/>
      <c r="M202" s="50"/>
      <c r="AA202" s="94">
        <f>Decisiones!B202</f>
        <v>44602</v>
      </c>
    </row>
    <row r="203" spans="1:27" ht="12" customHeight="1">
      <c r="A203" s="66">
        <f>Decisiones!B182</f>
        <v>43734</v>
      </c>
      <c r="B203" s="50">
        <f>Decisiones!H182</f>
        <v>7.75</v>
      </c>
      <c r="C203" s="151">
        <f>COUNTIFS(Votaciones!$A$2:$A$346,Decisiones!A182,Votaciones!$D$2:$D$346,"Disenso restrictivo")</f>
        <v>0</v>
      </c>
      <c r="D203" s="151">
        <f>COUNTIFS(Votaciones!$A$2:$A$346,Decisiones!A182,Votaciones!$D$2:$D$346,"Disenso acomodaticio")</f>
        <v>2</v>
      </c>
      <c r="E203" s="50">
        <f>Decisiones!H182-0.1</f>
        <v>7.65</v>
      </c>
      <c r="F203" s="50">
        <f>Decisiones!H182-0.2</f>
        <v>7.55</v>
      </c>
      <c r="G203" s="151" t="e">
        <f ca="1">IF(AND(Decisiones!A182&gt;=IFERROR(INDEX(Participacion_Junta!$A$2:$A$346,_xludf.AGGREGATE(15,6,(ROW(Participacion_Junta!$A$2:$A$346)-1)/(Participacion_Junta!$B$2:$B$346=$X$2),1)),"ZZZ"),Decisiones!A182&lt;=IFERROR(INDEX(Participacion_Junta!$A$2:$A$346,_xludf.AGGREGATE(14,6,(ROW(Participacion_Junta!$A$2:$A$346)-1)/(Participacion_Junta!$B$2:$B$346=$X$2),1)),"")),0.35,NA())</f>
        <v>#N/A</v>
      </c>
      <c r="H203" s="50"/>
      <c r="I203" s="50"/>
      <c r="J203" s="50"/>
      <c r="K203" s="50"/>
      <c r="L203" s="50"/>
      <c r="M203" s="50"/>
      <c r="AA203" s="94">
        <f>Decisiones!B203</f>
        <v>44644</v>
      </c>
    </row>
    <row r="204" spans="1:27" ht="12" customHeight="1">
      <c r="A204" s="66">
        <f>Decisiones!B183</f>
        <v>43783</v>
      </c>
      <c r="B204" s="50">
        <f>Decisiones!H183</f>
        <v>7.5</v>
      </c>
      <c r="C204" s="151">
        <f>COUNTIFS(Votaciones!$A$2:$A$346,Decisiones!A183,Votaciones!$D$2:$D$346,"Disenso restrictivo")</f>
        <v>0</v>
      </c>
      <c r="D204" s="151">
        <f>COUNTIFS(Votaciones!$A$2:$A$346,Decisiones!A183,Votaciones!$D$2:$D$346,"Disenso acomodaticio")</f>
        <v>2</v>
      </c>
      <c r="E204" s="50">
        <f>Decisiones!H183-0.1</f>
        <v>7.4</v>
      </c>
      <c r="F204" s="50">
        <f>Decisiones!H183-0.2</f>
        <v>7.3</v>
      </c>
      <c r="G204" s="151" t="e">
        <f ca="1">IF(AND(Decisiones!A183&gt;=IFERROR(INDEX(Participacion_Junta!$A$2:$A$346,_xludf.AGGREGATE(15,6,(ROW(Participacion_Junta!$A$2:$A$346)-1)/(Participacion_Junta!$B$2:$B$346=$X$2),1)),"ZZZ"),Decisiones!A183&lt;=IFERROR(INDEX(Participacion_Junta!$A$2:$A$346,_xludf.AGGREGATE(14,6,(ROW(Participacion_Junta!$A$2:$A$346)-1)/(Participacion_Junta!$B$2:$B$346=$X$2),1)),"")),0.35,NA())</f>
        <v>#N/A</v>
      </c>
      <c r="H204" s="50"/>
      <c r="I204" s="50"/>
      <c r="J204" s="50"/>
      <c r="K204" s="50"/>
      <c r="L204" s="50"/>
      <c r="M204" s="50"/>
      <c r="AA204" s="94">
        <f>Decisiones!B204</f>
        <v>44693</v>
      </c>
    </row>
    <row r="205" spans="1:27" ht="12" customHeight="1">
      <c r="A205" s="66">
        <f>Decisiones!B184</f>
        <v>43818</v>
      </c>
      <c r="B205" s="50">
        <f>Decisiones!H184</f>
        <v>7.25</v>
      </c>
      <c r="C205" s="151">
        <f>COUNTIFS(Votaciones!$A$2:$A$346,Decisiones!A184,Votaciones!$D$2:$D$346,"Disenso restrictivo")</f>
        <v>0</v>
      </c>
      <c r="D205" s="151">
        <f>COUNTIFS(Votaciones!$A$2:$A$346,Decisiones!A184,Votaciones!$D$2:$D$346,"Disenso acomodaticio")</f>
        <v>1</v>
      </c>
      <c r="E205" s="50">
        <f>Decisiones!H184-0.1</f>
        <v>7.15</v>
      </c>
      <c r="F205" s="50" t="e">
        <f>NA()</f>
        <v>#N/A</v>
      </c>
      <c r="G205" s="151" t="e">
        <f ca="1">IF(AND(Decisiones!A184&gt;=IFERROR(INDEX(Participacion_Junta!$A$2:$A$346,_xludf.AGGREGATE(15,6,(ROW(Participacion_Junta!$A$2:$A$346)-1)/(Participacion_Junta!$B$2:$B$346=$X$2),1)),"ZZZ"),Decisiones!A184&lt;=IFERROR(INDEX(Participacion_Junta!$A$2:$A$346,_xludf.AGGREGATE(14,6,(ROW(Participacion_Junta!$A$2:$A$346)-1)/(Participacion_Junta!$B$2:$B$346=$X$2),1)),"")),0.35,NA())</f>
        <v>#N/A</v>
      </c>
      <c r="H205" s="50"/>
      <c r="I205" s="50"/>
      <c r="J205" s="50"/>
      <c r="K205" s="50"/>
      <c r="L205" s="50"/>
      <c r="M205" s="50"/>
      <c r="AA205" s="94">
        <f>Decisiones!B205</f>
        <v>44735</v>
      </c>
    </row>
    <row r="206" spans="1:27" ht="12" customHeight="1">
      <c r="A206" s="66">
        <f>Decisiones!B185</f>
        <v>43874</v>
      </c>
      <c r="B206" s="50">
        <f>Decisiones!H185</f>
        <v>7</v>
      </c>
      <c r="C206" s="151">
        <f>COUNTIFS(Votaciones!$A$2:$A$346,Decisiones!A185,Votaciones!$D$2:$D$346,"Disenso restrictivo")</f>
        <v>0</v>
      </c>
      <c r="D206" s="151">
        <f>COUNTIFS(Votaciones!$A$2:$A$346,Decisiones!A185,Votaciones!$D$2:$D$346,"Disenso acomodaticio")</f>
        <v>0</v>
      </c>
      <c r="E206" s="50" t="e">
        <f>NA()</f>
        <v>#N/A</v>
      </c>
      <c r="F206" s="50" t="e">
        <f>NA()</f>
        <v>#N/A</v>
      </c>
      <c r="G206" s="151" t="e">
        <f ca="1">IF(AND(Decisiones!A185&gt;=IFERROR(INDEX(Participacion_Junta!$A$2:$A$346,_xludf.AGGREGATE(15,6,(ROW(Participacion_Junta!$A$2:$A$346)-1)/(Participacion_Junta!$B$2:$B$346=$X$2),1)),"ZZZ"),Decisiones!A185&lt;=IFERROR(INDEX(Participacion_Junta!$A$2:$A$346,_xludf.AGGREGATE(14,6,(ROW(Participacion_Junta!$A$2:$A$346)-1)/(Participacion_Junta!$B$2:$B$346=$X$2),1)),"")),0.35,NA())</f>
        <v>#N/A</v>
      </c>
      <c r="H206" s="50"/>
      <c r="I206" s="50"/>
      <c r="J206" s="50"/>
      <c r="K206" s="50"/>
      <c r="L206" s="50"/>
      <c r="M206" s="50"/>
      <c r="AA206" s="94">
        <f>Decisiones!B206</f>
        <v>44784</v>
      </c>
    </row>
    <row r="207" spans="1:27" ht="12" customHeight="1">
      <c r="A207" s="66">
        <f>Decisiones!B186</f>
        <v>43910</v>
      </c>
      <c r="B207" s="50">
        <f>Decisiones!H186</f>
        <v>6.5</v>
      </c>
      <c r="C207" s="151">
        <f>COUNTIFS(Votaciones!$A$2:$A$346,Decisiones!A186,Votaciones!$D$2:$D$346,"Disenso restrictivo")</f>
        <v>1</v>
      </c>
      <c r="D207" s="151">
        <f>COUNTIFS(Votaciones!$A$2:$A$346,Decisiones!A186,Votaciones!$D$2:$D$346,"Disenso acomodaticio")</f>
        <v>0</v>
      </c>
      <c r="E207" s="50" t="e">
        <f>NA()</f>
        <v>#N/A</v>
      </c>
      <c r="F207" s="50" t="e">
        <f>NA()</f>
        <v>#N/A</v>
      </c>
      <c r="G207" s="151" t="e">
        <f ca="1">IF(AND(Decisiones!A186&gt;=IFERROR(INDEX(Participacion_Junta!$A$2:$A$346,_xludf.AGGREGATE(15,6,(ROW(Participacion_Junta!$A$2:$A$346)-1)/(Participacion_Junta!$B$2:$B$346=$X$2),1)),"ZZZ"),Decisiones!A186&lt;=IFERROR(INDEX(Participacion_Junta!$A$2:$A$346,_xludf.AGGREGATE(14,6,(ROW(Participacion_Junta!$A$2:$A$346)-1)/(Participacion_Junta!$B$2:$B$346=$X$2),1)),"")),0.35,NA())</f>
        <v>#N/A</v>
      </c>
      <c r="H207" s="50"/>
      <c r="I207" s="50"/>
      <c r="J207" s="50"/>
      <c r="K207" s="50"/>
      <c r="L207" s="50"/>
      <c r="M207" s="50"/>
      <c r="AA207" s="94">
        <f>Decisiones!B207</f>
        <v>44833</v>
      </c>
    </row>
    <row r="208" spans="1:27" ht="12" customHeight="1">
      <c r="A208" s="66">
        <f>Decisiones!B187</f>
        <v>43942</v>
      </c>
      <c r="B208" s="50">
        <f>Decisiones!H187</f>
        <v>6</v>
      </c>
      <c r="C208" s="151">
        <f>COUNTIFS(Votaciones!$A$2:$A$346,Decisiones!A187,Votaciones!$D$2:$D$346,"Disenso restrictivo")</f>
        <v>0</v>
      </c>
      <c r="D208" s="151">
        <f>COUNTIFS(Votaciones!$A$2:$A$346,Decisiones!A187,Votaciones!$D$2:$D$346,"Disenso acomodaticio")</f>
        <v>0</v>
      </c>
      <c r="E208" s="50" t="e">
        <f>NA()</f>
        <v>#N/A</v>
      </c>
      <c r="F208" s="50" t="e">
        <f>NA()</f>
        <v>#N/A</v>
      </c>
      <c r="G208" s="151" t="e">
        <f ca="1">IF(AND(Decisiones!A187&gt;=IFERROR(INDEX(Participacion_Junta!$A$2:$A$346,_xludf.AGGREGATE(15,6,(ROW(Participacion_Junta!$A$2:$A$346)-1)/(Participacion_Junta!$B$2:$B$346=$X$2),1)),"ZZZ"),Decisiones!A187&lt;=IFERROR(INDEX(Participacion_Junta!$A$2:$A$346,_xludf.AGGREGATE(14,6,(ROW(Participacion_Junta!$A$2:$A$346)-1)/(Participacion_Junta!$B$2:$B$346=$X$2),1)),"")),0.35,NA())</f>
        <v>#N/A</v>
      </c>
      <c r="H208" s="50"/>
      <c r="I208" s="50"/>
      <c r="J208" s="50"/>
      <c r="K208" s="50"/>
      <c r="L208" s="50"/>
      <c r="M208" s="50"/>
      <c r="AA208" s="94">
        <f>Decisiones!B208</f>
        <v>44875</v>
      </c>
    </row>
    <row r="209" spans="1:27" ht="12" customHeight="1">
      <c r="A209" s="66">
        <f>Decisiones!B188</f>
        <v>43965</v>
      </c>
      <c r="B209" s="50">
        <f>Decisiones!H188</f>
        <v>5.5</v>
      </c>
      <c r="C209" s="151">
        <f>COUNTIFS(Votaciones!$A$2:$A$346,Decisiones!A188,Votaciones!$D$2:$D$346,"Disenso restrictivo")</f>
        <v>0</v>
      </c>
      <c r="D209" s="151">
        <f>COUNTIFS(Votaciones!$A$2:$A$346,Decisiones!A188,Votaciones!$D$2:$D$346,"Disenso acomodaticio")</f>
        <v>0</v>
      </c>
      <c r="E209" s="50" t="e">
        <f>NA()</f>
        <v>#N/A</v>
      </c>
      <c r="F209" s="50" t="e">
        <f>NA()</f>
        <v>#N/A</v>
      </c>
      <c r="G209" s="151" t="e">
        <f ca="1">IF(AND(Decisiones!A188&gt;=IFERROR(INDEX(Participacion_Junta!$A$2:$A$346,_xludf.AGGREGATE(15,6,(ROW(Participacion_Junta!$A$2:$A$346)-1)/(Participacion_Junta!$B$2:$B$346=$X$2),1)),"ZZZ"),Decisiones!A188&lt;=IFERROR(INDEX(Participacion_Junta!$A$2:$A$346,_xludf.AGGREGATE(14,6,(ROW(Participacion_Junta!$A$2:$A$346)-1)/(Participacion_Junta!$B$2:$B$346=$X$2),1)),"")),0.35,NA())</f>
        <v>#N/A</v>
      </c>
      <c r="H209" s="50"/>
      <c r="I209" s="50"/>
      <c r="J209" s="50"/>
      <c r="K209" s="50"/>
      <c r="L209" s="50"/>
      <c r="M209" s="50"/>
      <c r="AA209" s="94">
        <f>Decisiones!B209</f>
        <v>44910</v>
      </c>
    </row>
    <row r="210" spans="1:27" ht="12" customHeight="1">
      <c r="A210" s="66">
        <f>Decisiones!B189</f>
        <v>44007</v>
      </c>
      <c r="B210" s="50">
        <f>Decisiones!H189</f>
        <v>5</v>
      </c>
      <c r="C210" s="151">
        <f>COUNTIFS(Votaciones!$A$2:$A$346,Decisiones!A189,Votaciones!$D$2:$D$346,"Disenso restrictivo")</f>
        <v>0</v>
      </c>
      <c r="D210" s="151">
        <f>COUNTIFS(Votaciones!$A$2:$A$346,Decisiones!A189,Votaciones!$D$2:$D$346,"Disenso acomodaticio")</f>
        <v>0</v>
      </c>
      <c r="E210" s="50" t="e">
        <f>NA()</f>
        <v>#N/A</v>
      </c>
      <c r="F210" s="50" t="e">
        <f>NA()</f>
        <v>#N/A</v>
      </c>
      <c r="G210" s="151" t="e">
        <f ca="1">IF(AND(Decisiones!A189&gt;=IFERROR(INDEX(Participacion_Junta!$A$2:$A$346,_xludf.AGGREGATE(15,6,(ROW(Participacion_Junta!$A$2:$A$346)-1)/(Participacion_Junta!$B$2:$B$346=$X$2),1)),"ZZZ"),Decisiones!A189&lt;=IFERROR(INDEX(Participacion_Junta!$A$2:$A$346,_xludf.AGGREGATE(14,6,(ROW(Participacion_Junta!$A$2:$A$346)-1)/(Participacion_Junta!$B$2:$B$346=$X$2),1)),"")),0.35,NA())</f>
        <v>#N/A</v>
      </c>
      <c r="H210" s="50"/>
      <c r="I210" s="50"/>
      <c r="J210" s="50"/>
      <c r="K210" s="50"/>
      <c r="L210" s="50"/>
      <c r="M210" s="50"/>
      <c r="AA210" s="94">
        <f>Decisiones!B210</f>
        <v>44966</v>
      </c>
    </row>
    <row r="211" spans="1:27" ht="12" customHeight="1">
      <c r="A211" s="66">
        <f>Decisiones!B190</f>
        <v>44056</v>
      </c>
      <c r="B211" s="50">
        <f>Decisiones!H190</f>
        <v>4.5</v>
      </c>
      <c r="C211" s="151">
        <f>COUNTIFS(Votaciones!$A$2:$A$346,Decisiones!A190,Votaciones!$D$2:$D$346,"Disenso restrictivo")</f>
        <v>1</v>
      </c>
      <c r="D211" s="151">
        <f>COUNTIFS(Votaciones!$A$2:$A$346,Decisiones!A190,Votaciones!$D$2:$D$346,"Disenso acomodaticio")</f>
        <v>0</v>
      </c>
      <c r="E211" s="50" t="e">
        <f>NA()</f>
        <v>#N/A</v>
      </c>
      <c r="F211" s="50" t="e">
        <f>NA()</f>
        <v>#N/A</v>
      </c>
      <c r="G211" s="151" t="e">
        <f ca="1">IF(AND(Decisiones!A190&gt;=IFERROR(INDEX(Participacion_Junta!$A$2:$A$346,_xludf.AGGREGATE(15,6,(ROW(Participacion_Junta!$A$2:$A$346)-1)/(Participacion_Junta!$B$2:$B$346=$X$2),1)),"ZZZ"),Decisiones!A190&lt;=IFERROR(INDEX(Participacion_Junta!$A$2:$A$346,_xludf.AGGREGATE(14,6,(ROW(Participacion_Junta!$A$2:$A$346)-1)/(Participacion_Junta!$B$2:$B$346=$X$2),1)),"")),0.35,NA())</f>
        <v>#N/A</v>
      </c>
      <c r="H211" s="50"/>
      <c r="I211" s="50"/>
      <c r="J211" s="50"/>
      <c r="K211" s="50"/>
      <c r="L211" s="50"/>
      <c r="M211" s="50"/>
      <c r="AA211" s="94">
        <f>Decisiones!B211</f>
        <v>45015</v>
      </c>
    </row>
    <row r="212" spans="1:27" ht="12" customHeight="1">
      <c r="A212" s="66">
        <f>Decisiones!B191</f>
        <v>44098</v>
      </c>
      <c r="B212" s="50">
        <f>Decisiones!H191</f>
        <v>4.25</v>
      </c>
      <c r="C212" s="151">
        <f>COUNTIFS(Votaciones!$A$2:$A$346,Decisiones!A191,Votaciones!$D$2:$D$346,"Disenso restrictivo")</f>
        <v>0</v>
      </c>
      <c r="D212" s="151">
        <f>COUNTIFS(Votaciones!$A$2:$A$346,Decisiones!A191,Votaciones!$D$2:$D$346,"Disenso acomodaticio")</f>
        <v>0</v>
      </c>
      <c r="E212" s="50" t="e">
        <f>NA()</f>
        <v>#N/A</v>
      </c>
      <c r="F212" s="50" t="e">
        <f>NA()</f>
        <v>#N/A</v>
      </c>
      <c r="G212" s="151" t="e">
        <f ca="1">IF(AND(Decisiones!A191&gt;=IFERROR(INDEX(Participacion_Junta!$A$2:$A$346,_xludf.AGGREGATE(15,6,(ROW(Participacion_Junta!$A$2:$A$346)-1)/(Participacion_Junta!$B$2:$B$346=$X$2),1)),"ZZZ"),Decisiones!A191&lt;=IFERROR(INDEX(Participacion_Junta!$A$2:$A$346,_xludf.AGGREGATE(14,6,(ROW(Participacion_Junta!$A$2:$A$346)-1)/(Participacion_Junta!$B$2:$B$346=$X$2),1)),"")),0.35,NA())</f>
        <v>#N/A</v>
      </c>
      <c r="H212" s="50"/>
      <c r="I212" s="50"/>
      <c r="J212" s="50"/>
      <c r="K212" s="50"/>
      <c r="L212" s="50"/>
      <c r="M212" s="50"/>
      <c r="AA212" s="94">
        <f>Decisiones!B212</f>
        <v>45064</v>
      </c>
    </row>
    <row r="213" spans="1:27" ht="12" customHeight="1">
      <c r="A213" s="66">
        <f>Decisiones!B192</f>
        <v>44147</v>
      </c>
      <c r="B213" s="50">
        <f>Decisiones!H192</f>
        <v>4.25</v>
      </c>
      <c r="C213" s="151">
        <f>COUNTIFS(Votaciones!$A$2:$A$346,Decisiones!A192,Votaciones!$D$2:$D$346,"Disenso restrictivo")</f>
        <v>0</v>
      </c>
      <c r="D213" s="151">
        <f>COUNTIFS(Votaciones!$A$2:$A$346,Decisiones!A192,Votaciones!$D$2:$D$346,"Disenso acomodaticio")</f>
        <v>1</v>
      </c>
      <c r="E213" s="50">
        <f>Decisiones!H192-0.1</f>
        <v>4.1500000000000004</v>
      </c>
      <c r="F213" s="50" t="e">
        <f>NA()</f>
        <v>#N/A</v>
      </c>
      <c r="G213" s="151" t="e">
        <f ca="1">IF(AND(Decisiones!A192&gt;=IFERROR(INDEX(Participacion_Junta!$A$2:$A$346,_xludf.AGGREGATE(15,6,(ROW(Participacion_Junta!$A$2:$A$346)-1)/(Participacion_Junta!$B$2:$B$346=$X$2),1)),"ZZZ"),Decisiones!A192&lt;=IFERROR(INDEX(Participacion_Junta!$A$2:$A$346,_xludf.AGGREGATE(14,6,(ROW(Participacion_Junta!$A$2:$A$346)-1)/(Participacion_Junta!$B$2:$B$346=$X$2),1)),"")),0.35,NA())</f>
        <v>#N/A</v>
      </c>
      <c r="H213" s="50"/>
      <c r="I213" s="50"/>
      <c r="J213" s="50"/>
      <c r="K213" s="50"/>
      <c r="L213" s="50"/>
      <c r="M213" s="50"/>
      <c r="AA213" s="94">
        <f>Decisiones!B213</f>
        <v>45099</v>
      </c>
    </row>
    <row r="214" spans="1:27" ht="12" customHeight="1">
      <c r="A214" s="66">
        <f>Decisiones!B193</f>
        <v>44182</v>
      </c>
      <c r="B214" s="50">
        <f>Decisiones!H193</f>
        <v>4.25</v>
      </c>
      <c r="C214" s="151">
        <f>COUNTIFS(Votaciones!$A$2:$A$346,Decisiones!A193,Votaciones!$D$2:$D$346,"Disenso restrictivo")</f>
        <v>0</v>
      </c>
      <c r="D214" s="151">
        <f>COUNTIFS(Votaciones!$A$2:$A$346,Decisiones!A193,Votaciones!$D$2:$D$346,"Disenso acomodaticio")</f>
        <v>2</v>
      </c>
      <c r="E214" s="50">
        <f>Decisiones!H193-0.1</f>
        <v>4.1500000000000004</v>
      </c>
      <c r="F214" s="50">
        <f>Decisiones!H193-0.2</f>
        <v>4.05</v>
      </c>
      <c r="G214" s="151" t="e">
        <f ca="1">IF(AND(Decisiones!A193&gt;=IFERROR(INDEX(Participacion_Junta!$A$2:$A$346,_xludf.AGGREGATE(15,6,(ROW(Participacion_Junta!$A$2:$A$346)-1)/(Participacion_Junta!$B$2:$B$346=$X$2),1)),"ZZZ"),Decisiones!A193&lt;=IFERROR(INDEX(Participacion_Junta!$A$2:$A$346,_xludf.AGGREGATE(14,6,(ROW(Participacion_Junta!$A$2:$A$346)-1)/(Participacion_Junta!$B$2:$B$346=$X$2),1)),"")),0.35,NA())</f>
        <v>#N/A</v>
      </c>
      <c r="H214" s="50"/>
      <c r="I214" s="50"/>
      <c r="J214" s="50"/>
      <c r="K214" s="50"/>
      <c r="L214" s="50"/>
      <c r="M214" s="50"/>
      <c r="AA214" s="94">
        <f>Decisiones!B214</f>
        <v>45148</v>
      </c>
    </row>
    <row r="215" spans="1:27" ht="12" customHeight="1">
      <c r="A215" s="66">
        <f>Decisiones!B194</f>
        <v>44238</v>
      </c>
      <c r="B215" s="50">
        <f>Decisiones!H194</f>
        <v>4</v>
      </c>
      <c r="C215" s="151">
        <f>COUNTIFS(Votaciones!$A$2:$A$346,Decisiones!A194,Votaciones!$D$2:$D$346,"Disenso restrictivo")</f>
        <v>0</v>
      </c>
      <c r="D215" s="151">
        <f>COUNTIFS(Votaciones!$A$2:$A$346,Decisiones!A194,Votaciones!$D$2:$D$346,"Disenso acomodaticio")</f>
        <v>0</v>
      </c>
      <c r="E215" s="50" t="e">
        <f>NA()</f>
        <v>#N/A</v>
      </c>
      <c r="F215" s="50" t="e">
        <f>NA()</f>
        <v>#N/A</v>
      </c>
      <c r="G215" s="151" t="e">
        <f ca="1">IF(AND(Decisiones!A194&gt;=IFERROR(INDEX(Participacion_Junta!$A$2:$A$346,_xludf.AGGREGATE(15,6,(ROW(Participacion_Junta!$A$2:$A$346)-1)/(Participacion_Junta!$B$2:$B$346=$X$2),1)),"ZZZ"),Decisiones!A194&lt;=IFERROR(INDEX(Participacion_Junta!$A$2:$A$346,_xludf.AGGREGATE(14,6,(ROW(Participacion_Junta!$A$2:$A$346)-1)/(Participacion_Junta!$B$2:$B$346=$X$2),1)),"")),0.35,NA())</f>
        <v>#N/A</v>
      </c>
      <c r="H215" s="50"/>
      <c r="I215" s="50"/>
      <c r="J215" s="50"/>
      <c r="K215" s="50"/>
      <c r="L215" s="50"/>
      <c r="M215" s="50"/>
      <c r="AA215" s="94">
        <f>Decisiones!B215</f>
        <v>45197</v>
      </c>
    </row>
    <row r="216" spans="1:27" ht="12" customHeight="1">
      <c r="A216" s="66">
        <f>Decisiones!B195</f>
        <v>44280</v>
      </c>
      <c r="B216" s="50">
        <f>Decisiones!H195</f>
        <v>4</v>
      </c>
      <c r="C216" s="151">
        <f>COUNTIFS(Votaciones!$A$2:$A$346,Decisiones!A195,Votaciones!$D$2:$D$346,"Disenso restrictivo")</f>
        <v>0</v>
      </c>
      <c r="D216" s="151">
        <f>COUNTIFS(Votaciones!$A$2:$A$346,Decisiones!A195,Votaciones!$D$2:$D$346,"Disenso acomodaticio")</f>
        <v>0</v>
      </c>
      <c r="E216" s="50" t="e">
        <f>NA()</f>
        <v>#N/A</v>
      </c>
      <c r="F216" s="50" t="e">
        <f>NA()</f>
        <v>#N/A</v>
      </c>
      <c r="G216" s="151" t="e">
        <f ca="1">IF(AND(Decisiones!A195&gt;=IFERROR(INDEX(Participacion_Junta!$A$2:$A$346,_xludf.AGGREGATE(15,6,(ROW(Participacion_Junta!$A$2:$A$346)-1)/(Participacion_Junta!$B$2:$B$346=$X$2),1)),"ZZZ"),Decisiones!A195&lt;=IFERROR(INDEX(Participacion_Junta!$A$2:$A$346,_xludf.AGGREGATE(14,6,(ROW(Participacion_Junta!$A$2:$A$346)-1)/(Participacion_Junta!$B$2:$B$346=$X$2),1)),"")),0.35,NA())</f>
        <v>#N/A</v>
      </c>
      <c r="H216" s="50"/>
      <c r="I216" s="50"/>
      <c r="J216" s="50"/>
      <c r="K216" s="50"/>
      <c r="L216" s="50"/>
      <c r="M216" s="50"/>
      <c r="AA216" s="94">
        <f>Decisiones!B216</f>
        <v>45239</v>
      </c>
    </row>
    <row r="217" spans="1:27" ht="12" customHeight="1">
      <c r="A217" s="66">
        <f>Decisiones!B196</f>
        <v>44329</v>
      </c>
      <c r="B217" s="50">
        <f>Decisiones!H196</f>
        <v>4</v>
      </c>
      <c r="C217" s="151">
        <f>COUNTIFS(Votaciones!$A$2:$A$346,Decisiones!A196,Votaciones!$D$2:$D$346,"Disenso restrictivo")</f>
        <v>0</v>
      </c>
      <c r="D217" s="151">
        <f>COUNTIFS(Votaciones!$A$2:$A$346,Decisiones!A196,Votaciones!$D$2:$D$346,"Disenso acomodaticio")</f>
        <v>0</v>
      </c>
      <c r="E217" s="50" t="e">
        <f>NA()</f>
        <v>#N/A</v>
      </c>
      <c r="F217" s="50" t="e">
        <f>NA()</f>
        <v>#N/A</v>
      </c>
      <c r="G217" s="151" t="e">
        <f ca="1">IF(AND(Decisiones!A196&gt;=IFERROR(INDEX(Participacion_Junta!$A$2:$A$346,_xludf.AGGREGATE(15,6,(ROW(Participacion_Junta!$A$2:$A$346)-1)/(Participacion_Junta!$B$2:$B$346=$X$2),1)),"ZZZ"),Decisiones!A196&lt;=IFERROR(INDEX(Participacion_Junta!$A$2:$A$346,_xludf.AGGREGATE(14,6,(ROW(Participacion_Junta!$A$2:$A$346)-1)/(Participacion_Junta!$B$2:$B$346=$X$2),1)),"")),0.35,NA())</f>
        <v>#N/A</v>
      </c>
      <c r="H217" s="50"/>
      <c r="I217" s="50"/>
      <c r="J217" s="50"/>
      <c r="K217" s="50"/>
      <c r="L217" s="50"/>
      <c r="M217" s="50"/>
      <c r="AA217" s="94">
        <f>Decisiones!B217</f>
        <v>45274</v>
      </c>
    </row>
    <row r="218" spans="1:27" ht="12" customHeight="1">
      <c r="A218" s="66">
        <f>Decisiones!B197</f>
        <v>44371</v>
      </c>
      <c r="B218" s="50">
        <f>Decisiones!H197</f>
        <v>4.25</v>
      </c>
      <c r="C218" s="151">
        <f>COUNTIFS(Votaciones!$A$2:$A$346,Decisiones!A197,Votaciones!$D$2:$D$346,"Disenso restrictivo")</f>
        <v>0</v>
      </c>
      <c r="D218" s="151">
        <f>COUNTIFS(Votaciones!$A$2:$A$346,Decisiones!A197,Votaciones!$D$2:$D$346,"Disenso acomodaticio")</f>
        <v>2</v>
      </c>
      <c r="E218" s="50">
        <f>Decisiones!H197-0.1</f>
        <v>4.1500000000000004</v>
      </c>
      <c r="F218" s="50">
        <f>Decisiones!H197-0.2</f>
        <v>4.05</v>
      </c>
      <c r="G218" s="151" t="e">
        <f ca="1">IF(AND(Decisiones!A197&gt;=IFERROR(INDEX(Participacion_Junta!$A$2:$A$346,_xludf.AGGREGATE(15,6,(ROW(Participacion_Junta!$A$2:$A$346)-1)/(Participacion_Junta!$B$2:$B$346=$X$2),1)),"ZZZ"),Decisiones!A197&lt;=IFERROR(INDEX(Participacion_Junta!$A$2:$A$346,_xludf.AGGREGATE(14,6,(ROW(Participacion_Junta!$A$2:$A$346)-1)/(Participacion_Junta!$B$2:$B$346=$X$2),1)),"")),0.35,NA())</f>
        <v>#N/A</v>
      </c>
      <c r="H218" s="50"/>
      <c r="I218" s="50"/>
      <c r="J218" s="50"/>
      <c r="K218" s="50"/>
      <c r="L218" s="50"/>
      <c r="M218" s="50"/>
      <c r="AA218" s="94">
        <f>Decisiones!B218</f>
        <v>45330</v>
      </c>
    </row>
    <row r="219" spans="1:27" ht="12" customHeight="1">
      <c r="A219" s="66">
        <f>Decisiones!B198</f>
        <v>44420</v>
      </c>
      <c r="B219" s="50">
        <f>Decisiones!H198</f>
        <v>4.5</v>
      </c>
      <c r="C219" s="151">
        <f>COUNTIFS(Votaciones!$A$2:$A$346,Decisiones!A198,Votaciones!$D$2:$D$346,"Disenso restrictivo")</f>
        <v>0</v>
      </c>
      <c r="D219" s="151">
        <f>COUNTIFS(Votaciones!$A$2:$A$346,Decisiones!A198,Votaciones!$D$2:$D$346,"Disenso acomodaticio")</f>
        <v>2</v>
      </c>
      <c r="E219" s="50">
        <f>Decisiones!H198-0.1</f>
        <v>4.4000000000000004</v>
      </c>
      <c r="F219" s="50">
        <f>Decisiones!H198-0.2</f>
        <v>4.3</v>
      </c>
      <c r="G219" s="151" t="e">
        <f ca="1">IF(AND(Decisiones!A198&gt;=IFERROR(INDEX(Participacion_Junta!$A$2:$A$346,_xludf.AGGREGATE(15,6,(ROW(Participacion_Junta!$A$2:$A$346)-1)/(Participacion_Junta!$B$2:$B$346=$X$2),1)),"ZZZ"),Decisiones!A198&lt;=IFERROR(INDEX(Participacion_Junta!$A$2:$A$346,_xludf.AGGREGATE(14,6,(ROW(Participacion_Junta!$A$2:$A$346)-1)/(Participacion_Junta!$B$2:$B$346=$X$2),1)),"")),0.35,NA())</f>
        <v>#N/A</v>
      </c>
      <c r="H219" s="50"/>
      <c r="I219" s="50"/>
      <c r="J219" s="50"/>
      <c r="K219" s="50"/>
      <c r="L219" s="50"/>
      <c r="M219" s="50"/>
      <c r="AA219" s="94">
        <f>Decisiones!B219</f>
        <v>45372</v>
      </c>
    </row>
    <row r="220" spans="1:27" ht="12" customHeight="1">
      <c r="A220" s="66">
        <f>Decisiones!B199</f>
        <v>44469</v>
      </c>
      <c r="B220" s="50">
        <f>Decisiones!H199</f>
        <v>4.75</v>
      </c>
      <c r="C220" s="151">
        <f>COUNTIFS(Votaciones!$A$2:$A$346,Decisiones!A199,Votaciones!$D$2:$D$346,"Disenso restrictivo")</f>
        <v>0</v>
      </c>
      <c r="D220" s="151">
        <f>COUNTIFS(Votaciones!$A$2:$A$346,Decisiones!A199,Votaciones!$D$2:$D$346,"Disenso acomodaticio")</f>
        <v>1</v>
      </c>
      <c r="E220" s="50">
        <f>Decisiones!H199-0.1</f>
        <v>4.6500000000000004</v>
      </c>
      <c r="F220" s="50" t="e">
        <f>NA()</f>
        <v>#N/A</v>
      </c>
      <c r="G220" s="151" t="e">
        <f ca="1">IF(AND(Decisiones!A199&gt;=IFERROR(INDEX(Participacion_Junta!$A$2:$A$346,_xludf.AGGREGATE(15,6,(ROW(Participacion_Junta!$A$2:$A$346)-1)/(Participacion_Junta!$B$2:$B$346=$X$2),1)),"ZZZ"),Decisiones!A199&lt;=IFERROR(INDEX(Participacion_Junta!$A$2:$A$346,_xludf.AGGREGATE(14,6,(ROW(Participacion_Junta!$A$2:$A$346)-1)/(Participacion_Junta!$B$2:$B$346=$X$2),1)),"")),0.35,NA())</f>
        <v>#N/A</v>
      </c>
      <c r="H220" s="50"/>
      <c r="I220" s="50"/>
      <c r="J220" s="50"/>
      <c r="K220" s="50"/>
      <c r="L220" s="50"/>
      <c r="M220" s="50"/>
      <c r="AA220" s="94">
        <f>Decisiones!B220</f>
        <v>45421</v>
      </c>
    </row>
    <row r="221" spans="1:27" ht="12" customHeight="1">
      <c r="A221" s="66">
        <f>Decisiones!B200</f>
        <v>44511</v>
      </c>
      <c r="B221" s="50">
        <f>Decisiones!H200</f>
        <v>5</v>
      </c>
      <c r="C221" s="151">
        <f>COUNTIFS(Votaciones!$A$2:$A$346,Decisiones!A200,Votaciones!$D$2:$D$346,"Disenso restrictivo")</f>
        <v>0</v>
      </c>
      <c r="D221" s="151">
        <f>COUNTIFS(Votaciones!$A$2:$A$346,Decisiones!A200,Votaciones!$D$2:$D$346,"Disenso acomodaticio")</f>
        <v>1</v>
      </c>
      <c r="E221" s="50">
        <f>Decisiones!H200-0.1</f>
        <v>4.9000000000000004</v>
      </c>
      <c r="F221" s="50" t="e">
        <f>NA()</f>
        <v>#N/A</v>
      </c>
      <c r="G221" s="151" t="e">
        <f ca="1">IF(AND(Decisiones!A200&gt;=IFERROR(INDEX(Participacion_Junta!$A$2:$A$346,_xludf.AGGREGATE(15,6,(ROW(Participacion_Junta!$A$2:$A$346)-1)/(Participacion_Junta!$B$2:$B$346=$X$2),1)),"ZZZ"),Decisiones!A200&lt;=IFERROR(INDEX(Participacion_Junta!$A$2:$A$346,_xludf.AGGREGATE(14,6,(ROW(Participacion_Junta!$A$2:$A$346)-1)/(Participacion_Junta!$B$2:$B$346=$X$2),1)),"")),0.35,NA())</f>
        <v>#N/A</v>
      </c>
      <c r="H221" s="50"/>
      <c r="I221" s="50"/>
      <c r="J221" s="50"/>
      <c r="K221" s="50"/>
      <c r="L221" s="50"/>
      <c r="M221" s="50"/>
      <c r="AA221" s="94">
        <f>Decisiones!B221</f>
        <v>45470</v>
      </c>
    </row>
    <row r="222" spans="1:27" ht="12" customHeight="1">
      <c r="A222" s="66">
        <f>Decisiones!B201</f>
        <v>44546</v>
      </c>
      <c r="B222" s="50">
        <f>Decisiones!H201</f>
        <v>5.5</v>
      </c>
      <c r="C222" s="151">
        <f>COUNTIFS(Votaciones!$A$2:$A$346,Decisiones!A201,Votaciones!$D$2:$D$346,"Disenso restrictivo")</f>
        <v>0</v>
      </c>
      <c r="D222" s="151">
        <f>COUNTIFS(Votaciones!$A$2:$A$346,Decisiones!A201,Votaciones!$D$2:$D$346,"Disenso acomodaticio")</f>
        <v>1</v>
      </c>
      <c r="E222" s="50">
        <f>Decisiones!H201-0.1</f>
        <v>5.4</v>
      </c>
      <c r="F222" s="50" t="e">
        <f>NA()</f>
        <v>#N/A</v>
      </c>
      <c r="G222" s="151" t="e">
        <f ca="1">IF(AND(Decisiones!A201&gt;=IFERROR(INDEX(Participacion_Junta!$A$2:$A$346,_xludf.AGGREGATE(15,6,(ROW(Participacion_Junta!$A$2:$A$346)-1)/(Participacion_Junta!$B$2:$B$346=$X$2),1)),"ZZZ"),Decisiones!A201&lt;=IFERROR(INDEX(Participacion_Junta!$A$2:$A$346,_xludf.AGGREGATE(14,6,(ROW(Participacion_Junta!$A$2:$A$346)-1)/(Participacion_Junta!$B$2:$B$346=$X$2),1)),"")),0.35,NA())</f>
        <v>#N/A</v>
      </c>
      <c r="H222" s="50"/>
      <c r="I222" s="50"/>
      <c r="J222" s="50"/>
      <c r="K222" s="50"/>
      <c r="L222" s="50"/>
      <c r="M222" s="50"/>
      <c r="AA222" s="94">
        <f>Decisiones!B222</f>
        <v>45512</v>
      </c>
    </row>
    <row r="223" spans="1:27" ht="12" customHeight="1">
      <c r="A223" s="66">
        <f>Decisiones!B202</f>
        <v>44602</v>
      </c>
      <c r="B223" s="50">
        <f>Decisiones!H202</f>
        <v>6</v>
      </c>
      <c r="C223" s="151">
        <f>COUNTIFS(Votaciones!$A$2:$A$346,Decisiones!A202,Votaciones!$D$2:$D$346,"Disenso restrictivo")</f>
        <v>0</v>
      </c>
      <c r="D223" s="151">
        <f>COUNTIFS(Votaciones!$A$2:$A$346,Decisiones!A202,Votaciones!$D$2:$D$346,"Disenso acomodaticio")</f>
        <v>1</v>
      </c>
      <c r="E223" s="50">
        <f>Decisiones!H202-0.1</f>
        <v>5.9</v>
      </c>
      <c r="F223" s="50" t="e">
        <f>NA()</f>
        <v>#N/A</v>
      </c>
      <c r="G223" s="151" t="e">
        <f ca="1">IF(AND(Decisiones!A202&gt;=IFERROR(INDEX(Participacion_Junta!$A$2:$A$346,_xludf.AGGREGATE(15,6,(ROW(Participacion_Junta!$A$2:$A$346)-1)/(Participacion_Junta!$B$2:$B$346=$X$2),1)),"ZZZ"),Decisiones!A202&lt;=IFERROR(INDEX(Participacion_Junta!$A$2:$A$346,_xludf.AGGREGATE(14,6,(ROW(Participacion_Junta!$A$2:$A$346)-1)/(Participacion_Junta!$B$2:$B$346=$X$2),1)),"")),0.35,NA())</f>
        <v>#N/A</v>
      </c>
      <c r="H223" s="50"/>
      <c r="I223" s="50"/>
      <c r="J223" s="50"/>
      <c r="K223" s="50"/>
      <c r="L223" s="50"/>
      <c r="M223" s="50"/>
      <c r="AA223" s="94">
        <f>Decisiones!B223</f>
        <v>45561</v>
      </c>
    </row>
    <row r="224" spans="1:27" ht="12" customHeight="1">
      <c r="A224" s="66">
        <f>Decisiones!B203</f>
        <v>44644</v>
      </c>
      <c r="B224" s="50">
        <f>Decisiones!H203</f>
        <v>6.5</v>
      </c>
      <c r="C224" s="151">
        <f>COUNTIFS(Votaciones!$A$2:$A$346,Decisiones!A203,Votaciones!$D$2:$D$346,"Disenso restrictivo")</f>
        <v>0</v>
      </c>
      <c r="D224" s="151">
        <f>COUNTIFS(Votaciones!$A$2:$A$346,Decisiones!A203,Votaciones!$D$2:$D$346,"Disenso acomodaticio")</f>
        <v>0</v>
      </c>
      <c r="E224" s="50" t="e">
        <f>NA()</f>
        <v>#N/A</v>
      </c>
      <c r="F224" s="50" t="e">
        <f>NA()</f>
        <v>#N/A</v>
      </c>
      <c r="G224" s="151" t="e">
        <f ca="1">IF(AND(Decisiones!A203&gt;=IFERROR(INDEX(Participacion_Junta!$A$2:$A$346,_xludf.AGGREGATE(15,6,(ROW(Participacion_Junta!$A$2:$A$346)-1)/(Participacion_Junta!$B$2:$B$346=$X$2),1)),"ZZZ"),Decisiones!A203&lt;=IFERROR(INDEX(Participacion_Junta!$A$2:$A$346,_xludf.AGGREGATE(14,6,(ROW(Participacion_Junta!$A$2:$A$346)-1)/(Participacion_Junta!$B$2:$B$346=$X$2),1)),"")),0.35,NA())</f>
        <v>#N/A</v>
      </c>
      <c r="H224" s="50"/>
      <c r="I224" s="50"/>
      <c r="J224" s="50"/>
      <c r="K224" s="50"/>
      <c r="L224" s="50"/>
      <c r="M224" s="50"/>
      <c r="AA224" s="94">
        <f>Decisiones!B224</f>
        <v>45610</v>
      </c>
    </row>
    <row r="225" spans="1:27" ht="12" customHeight="1">
      <c r="A225" s="66">
        <f>Decisiones!B204</f>
        <v>44693</v>
      </c>
      <c r="B225" s="50">
        <f>Decisiones!H204</f>
        <v>7</v>
      </c>
      <c r="C225" s="151">
        <f>COUNTIFS(Votaciones!$A$2:$A$346,Decisiones!A204,Votaciones!$D$2:$D$346,"Disenso restrictivo")</f>
        <v>1</v>
      </c>
      <c r="D225" s="151">
        <f>COUNTIFS(Votaciones!$A$2:$A$346,Decisiones!A204,Votaciones!$D$2:$D$346,"Disenso acomodaticio")</f>
        <v>0</v>
      </c>
      <c r="E225" s="50" t="e">
        <f>NA()</f>
        <v>#N/A</v>
      </c>
      <c r="F225" s="50" t="e">
        <f>NA()</f>
        <v>#N/A</v>
      </c>
      <c r="G225" s="151" t="e">
        <f ca="1">IF(AND(Decisiones!A204&gt;=IFERROR(INDEX(Participacion_Junta!$A$2:$A$346,_xludf.AGGREGATE(15,6,(ROW(Participacion_Junta!$A$2:$A$346)-1)/(Participacion_Junta!$B$2:$B$346=$X$2),1)),"ZZZ"),Decisiones!A204&lt;=IFERROR(INDEX(Participacion_Junta!$A$2:$A$346,_xludf.AGGREGATE(14,6,(ROW(Participacion_Junta!$A$2:$A$346)-1)/(Participacion_Junta!$B$2:$B$346=$X$2),1)),"")),0.35,NA())</f>
        <v>#N/A</v>
      </c>
      <c r="H225" s="50"/>
      <c r="I225" s="50"/>
      <c r="J225" s="50"/>
      <c r="K225" s="50"/>
      <c r="L225" s="50"/>
      <c r="M225" s="50"/>
      <c r="AA225" s="94">
        <f>Decisiones!B225</f>
        <v>45645</v>
      </c>
    </row>
    <row r="226" spans="1:27" ht="12" customHeight="1">
      <c r="A226" s="66">
        <f>Decisiones!B205</f>
        <v>44735</v>
      </c>
      <c r="B226" s="50">
        <f>Decisiones!H205</f>
        <v>7.75</v>
      </c>
      <c r="C226" s="151">
        <f>COUNTIFS(Votaciones!$A$2:$A$346,Decisiones!A205,Votaciones!$D$2:$D$346,"Disenso restrictivo")</f>
        <v>0</v>
      </c>
      <c r="D226" s="151">
        <f>COUNTIFS(Votaciones!$A$2:$A$346,Decisiones!A205,Votaciones!$D$2:$D$346,"Disenso acomodaticio")</f>
        <v>0</v>
      </c>
      <c r="E226" s="50" t="e">
        <f>NA()</f>
        <v>#N/A</v>
      </c>
      <c r="F226" s="50" t="e">
        <f>NA()</f>
        <v>#N/A</v>
      </c>
      <c r="G226" s="151" t="e">
        <f ca="1">IF(AND(Decisiones!A205&gt;=IFERROR(INDEX(Participacion_Junta!$A$2:$A$346,_xludf.AGGREGATE(15,6,(ROW(Participacion_Junta!$A$2:$A$346)-1)/(Participacion_Junta!$B$2:$B$346=$X$2),1)),"ZZZ"),Decisiones!A205&lt;=IFERROR(INDEX(Participacion_Junta!$A$2:$A$346,_xludf.AGGREGATE(14,6,(ROW(Participacion_Junta!$A$2:$A$346)-1)/(Participacion_Junta!$B$2:$B$346=$X$2),1)),"")),0.35,NA())</f>
        <v>#N/A</v>
      </c>
      <c r="H226" s="50"/>
      <c r="I226" s="50"/>
      <c r="J226" s="50"/>
      <c r="K226" s="50"/>
      <c r="L226" s="50"/>
      <c r="M226" s="50"/>
      <c r="AA226" s="94">
        <f>Decisiones!B226</f>
        <v>45694</v>
      </c>
    </row>
    <row r="227" spans="1:27" ht="12" customHeight="1">
      <c r="A227" s="66">
        <f>Decisiones!B206</f>
        <v>44784</v>
      </c>
      <c r="B227" s="50">
        <f>Decisiones!H206</f>
        <v>8.5</v>
      </c>
      <c r="C227" s="151">
        <f>COUNTIFS(Votaciones!$A$2:$A$346,Decisiones!A206,Votaciones!$D$2:$D$346,"Disenso restrictivo")</f>
        <v>0</v>
      </c>
      <c r="D227" s="151">
        <f>COUNTIFS(Votaciones!$A$2:$A$346,Decisiones!A206,Votaciones!$D$2:$D$346,"Disenso acomodaticio")</f>
        <v>0</v>
      </c>
      <c r="E227" s="50" t="e">
        <f>NA()</f>
        <v>#N/A</v>
      </c>
      <c r="F227" s="50" t="e">
        <f>NA()</f>
        <v>#N/A</v>
      </c>
      <c r="G227" s="151" t="e">
        <f ca="1">IF(AND(Decisiones!A206&gt;=IFERROR(INDEX(Participacion_Junta!$A$2:$A$346,_xludf.AGGREGATE(15,6,(ROW(Participacion_Junta!$A$2:$A$346)-1)/(Participacion_Junta!$B$2:$B$346=$X$2),1)),"ZZZ"),Decisiones!A206&lt;=IFERROR(INDEX(Participacion_Junta!$A$2:$A$346,_xludf.AGGREGATE(14,6,(ROW(Participacion_Junta!$A$2:$A$346)-1)/(Participacion_Junta!$B$2:$B$346=$X$2),1)),"")),0.35,NA())</f>
        <v>#N/A</v>
      </c>
      <c r="H227" s="50"/>
      <c r="I227" s="50"/>
      <c r="J227" s="50"/>
      <c r="K227" s="50"/>
      <c r="L227" s="50"/>
      <c r="M227" s="50"/>
      <c r="AA227" s="94">
        <f>Decisiones!B227</f>
        <v>45743</v>
      </c>
    </row>
    <row r="228" spans="1:27" ht="12" customHeight="1">
      <c r="A228" s="66">
        <f>Decisiones!B207</f>
        <v>44833</v>
      </c>
      <c r="B228" s="50">
        <f>Decisiones!H207</f>
        <v>9.25</v>
      </c>
      <c r="C228" s="151">
        <f>COUNTIFS(Votaciones!$A$2:$A$346,Decisiones!A207,Votaciones!$D$2:$D$346,"Disenso restrictivo")</f>
        <v>0</v>
      </c>
      <c r="D228" s="151">
        <f>COUNTIFS(Votaciones!$A$2:$A$346,Decisiones!A207,Votaciones!$D$2:$D$346,"Disenso acomodaticio")</f>
        <v>0</v>
      </c>
      <c r="E228" s="50" t="e">
        <f>NA()</f>
        <v>#N/A</v>
      </c>
      <c r="F228" s="50" t="e">
        <f>NA()</f>
        <v>#N/A</v>
      </c>
      <c r="G228" s="151" t="e">
        <f ca="1">IF(AND(Decisiones!A207&gt;=IFERROR(INDEX(Participacion_Junta!$A$2:$A$346,_xludf.AGGREGATE(15,6,(ROW(Participacion_Junta!$A$2:$A$346)-1)/(Participacion_Junta!$B$2:$B$346=$X$2),1)),"ZZZ"),Decisiones!A207&lt;=IFERROR(INDEX(Participacion_Junta!$A$2:$A$346,_xludf.AGGREGATE(14,6,(ROW(Participacion_Junta!$A$2:$A$346)-1)/(Participacion_Junta!$B$2:$B$346=$X$2),1)),"")),0.35,NA())</f>
        <v>#N/A</v>
      </c>
      <c r="H228" s="50"/>
      <c r="I228" s="50"/>
      <c r="J228" s="50"/>
      <c r="K228" s="50"/>
      <c r="L228" s="50"/>
      <c r="M228" s="50"/>
      <c r="AA228" s="94">
        <f>Decisiones!B228</f>
        <v>45792</v>
      </c>
    </row>
    <row r="229" spans="1:27" ht="12" customHeight="1">
      <c r="A229" s="66">
        <f>Decisiones!B208</f>
        <v>44875</v>
      </c>
      <c r="B229" s="50">
        <f>Decisiones!H208</f>
        <v>10</v>
      </c>
      <c r="C229" s="151">
        <f>COUNTIFS(Votaciones!$A$2:$A$346,Decisiones!A208,Votaciones!$D$2:$D$346,"Disenso restrictivo")</f>
        <v>0</v>
      </c>
      <c r="D229" s="151">
        <f>COUNTIFS(Votaciones!$A$2:$A$346,Decisiones!A208,Votaciones!$D$2:$D$346,"Disenso acomodaticio")</f>
        <v>1</v>
      </c>
      <c r="E229" s="50">
        <f>Decisiones!H208-0.1</f>
        <v>9.9</v>
      </c>
      <c r="F229" s="50" t="e">
        <f>NA()</f>
        <v>#N/A</v>
      </c>
      <c r="G229" s="151" t="e">
        <f ca="1">IF(AND(Decisiones!A208&gt;=IFERROR(INDEX(Participacion_Junta!$A$2:$A$346,_xludf.AGGREGATE(15,6,(ROW(Participacion_Junta!$A$2:$A$346)-1)/(Participacion_Junta!$B$2:$B$346=$X$2),1)),"ZZZ"),Decisiones!A208&lt;=IFERROR(INDEX(Participacion_Junta!$A$2:$A$346,_xludf.AGGREGATE(14,6,(ROW(Participacion_Junta!$A$2:$A$346)-1)/(Participacion_Junta!$B$2:$B$346=$X$2),1)),"")),0.35,NA())</f>
        <v>#N/A</v>
      </c>
      <c r="H229" s="50"/>
      <c r="I229" s="50"/>
      <c r="J229" s="50"/>
      <c r="K229" s="50"/>
      <c r="L229" s="50"/>
      <c r="M229" s="50"/>
      <c r="AA229" s="94">
        <f>Decisiones!B229</f>
        <v>45834</v>
      </c>
    </row>
    <row r="230" spans="1:27" ht="12" customHeight="1">
      <c r="A230" s="66">
        <f>Decisiones!B209</f>
        <v>44910</v>
      </c>
      <c r="B230" s="50">
        <f>Decisiones!H209</f>
        <v>10.5</v>
      </c>
      <c r="C230" s="151">
        <f>COUNTIFS(Votaciones!$A$2:$A$346,Decisiones!A209,Votaciones!$D$2:$D$346,"Disenso restrictivo")</f>
        <v>0</v>
      </c>
      <c r="D230" s="151">
        <f>COUNTIFS(Votaciones!$A$2:$A$346,Decisiones!A209,Votaciones!$D$2:$D$346,"Disenso acomodaticio")</f>
        <v>1</v>
      </c>
      <c r="E230" s="50">
        <f>Decisiones!H209-0.1</f>
        <v>10.4</v>
      </c>
      <c r="F230" s="50" t="e">
        <f>NA()</f>
        <v>#N/A</v>
      </c>
      <c r="G230" s="151" t="e">
        <f ca="1">IF(AND(Decisiones!A209&gt;=IFERROR(INDEX(Participacion_Junta!$A$2:$A$346,_xludf.AGGREGATE(15,6,(ROW(Participacion_Junta!$A$2:$A$346)-1)/(Participacion_Junta!$B$2:$B$346=$X$2),1)),"ZZZ"),Decisiones!A209&lt;=IFERROR(INDEX(Participacion_Junta!$A$2:$A$346,_xludf.AGGREGATE(14,6,(ROW(Participacion_Junta!$A$2:$A$346)-1)/(Participacion_Junta!$B$2:$B$346=$X$2),1)),"")),0.35,NA())</f>
        <v>#N/A</v>
      </c>
      <c r="H230" s="50"/>
      <c r="I230" s="50"/>
      <c r="J230" s="50"/>
      <c r="K230" s="50"/>
      <c r="L230" s="50"/>
      <c r="M230" s="50"/>
      <c r="AA230" s="94">
        <f>Decisiones!B230</f>
        <v>45876</v>
      </c>
    </row>
    <row r="231" spans="1:27" ht="12" customHeight="1">
      <c r="A231" s="66">
        <f>Decisiones!B210</f>
        <v>44966</v>
      </c>
      <c r="B231" s="50">
        <f>Decisiones!H210</f>
        <v>11</v>
      </c>
      <c r="C231" s="151">
        <f>COUNTIFS(Votaciones!$A$2:$A$346,Decisiones!A210,Votaciones!$D$2:$D$346,"Disenso restrictivo")</f>
        <v>0</v>
      </c>
      <c r="D231" s="151">
        <f>COUNTIFS(Votaciones!$A$2:$A$346,Decisiones!A210,Votaciones!$D$2:$D$346,"Disenso acomodaticio")</f>
        <v>0</v>
      </c>
      <c r="E231" s="50" t="e">
        <f>NA()</f>
        <v>#N/A</v>
      </c>
      <c r="F231" s="50" t="e">
        <f>NA()</f>
        <v>#N/A</v>
      </c>
      <c r="G231" s="151" t="e">
        <f ca="1">IF(AND(Decisiones!A210&gt;=IFERROR(INDEX(Participacion_Junta!$A$2:$A$346,_xludf.AGGREGATE(15,6,(ROW(Participacion_Junta!$A$2:$A$346)-1)/(Participacion_Junta!$B$2:$B$346=$X$2),1)),"ZZZ"),Decisiones!A210&lt;=IFERROR(INDEX(Participacion_Junta!$A$2:$A$346,_xludf.AGGREGATE(14,6,(ROW(Participacion_Junta!$A$2:$A$346)-1)/(Participacion_Junta!$B$2:$B$346=$X$2),1)),"")),0.35,NA())</f>
        <v>#N/A</v>
      </c>
      <c r="H231" s="50"/>
      <c r="I231" s="50"/>
      <c r="J231" s="50"/>
      <c r="K231" s="50"/>
      <c r="L231" s="50"/>
      <c r="M231" s="50"/>
      <c r="AA231" s="94">
        <f>Decisiones!B231</f>
        <v>45925</v>
      </c>
    </row>
    <row r="232" spans="1:27" ht="12" customHeight="1">
      <c r="A232" s="66">
        <f>Decisiones!B211</f>
        <v>45015</v>
      </c>
      <c r="B232" s="50">
        <f>Decisiones!H211</f>
        <v>11.25</v>
      </c>
      <c r="C232" s="151">
        <f>COUNTIFS(Votaciones!$A$2:$A$346,Decisiones!A211,Votaciones!$D$2:$D$346,"Disenso restrictivo")</f>
        <v>0</v>
      </c>
      <c r="D232" s="151">
        <f>COUNTIFS(Votaciones!$A$2:$A$346,Decisiones!A211,Votaciones!$D$2:$D$346,"Disenso acomodaticio")</f>
        <v>0</v>
      </c>
      <c r="E232" s="50" t="e">
        <f>NA()</f>
        <v>#N/A</v>
      </c>
      <c r="F232" s="50" t="e">
        <f>NA()</f>
        <v>#N/A</v>
      </c>
      <c r="G232" s="151" t="e">
        <f ca="1">IF(AND(Decisiones!A211&gt;=IFERROR(INDEX(Participacion_Junta!$A$2:$A$346,_xludf.AGGREGATE(15,6,(ROW(Participacion_Junta!$A$2:$A$346)-1)/(Participacion_Junta!$B$2:$B$346=$X$2),1)),"ZZZ"),Decisiones!A211&lt;=IFERROR(INDEX(Participacion_Junta!$A$2:$A$346,_xludf.AGGREGATE(14,6,(ROW(Participacion_Junta!$A$2:$A$346)-1)/(Participacion_Junta!$B$2:$B$346=$X$2),1)),"")),0.35,NA())</f>
        <v>#N/A</v>
      </c>
      <c r="H232" s="50"/>
      <c r="I232" s="50"/>
      <c r="J232" s="50"/>
      <c r="K232" s="50"/>
      <c r="L232" s="50"/>
      <c r="M232" s="50"/>
      <c r="AA232" s="94">
        <f>Decisiones!B232</f>
        <v>45967</v>
      </c>
    </row>
    <row r="233" spans="1:27" ht="12" customHeight="1">
      <c r="A233" s="66">
        <f>Decisiones!B212</f>
        <v>45064</v>
      </c>
      <c r="B233" s="50">
        <f>Decisiones!H212</f>
        <v>11.25</v>
      </c>
      <c r="C233" s="151">
        <f>COUNTIFS(Votaciones!$A$2:$A$346,Decisiones!A212,Votaciones!$D$2:$D$346,"Disenso restrictivo")</f>
        <v>0</v>
      </c>
      <c r="D233" s="151">
        <f>COUNTIFS(Votaciones!$A$2:$A$346,Decisiones!A212,Votaciones!$D$2:$D$346,"Disenso acomodaticio")</f>
        <v>0</v>
      </c>
      <c r="E233" s="50" t="e">
        <f>NA()</f>
        <v>#N/A</v>
      </c>
      <c r="F233" s="50" t="e">
        <f>NA()</f>
        <v>#N/A</v>
      </c>
      <c r="G233" s="151" t="e">
        <f ca="1">IF(AND(Decisiones!A212&gt;=IFERROR(INDEX(Participacion_Junta!$A$2:$A$346,_xludf.AGGREGATE(15,6,(ROW(Participacion_Junta!$A$2:$A$346)-1)/(Participacion_Junta!$B$2:$B$346=$X$2),1)),"ZZZ"),Decisiones!A212&lt;=IFERROR(INDEX(Participacion_Junta!$A$2:$A$346,_xludf.AGGREGATE(14,6,(ROW(Participacion_Junta!$A$2:$A$346)-1)/(Participacion_Junta!$B$2:$B$346=$X$2),1)),"")),0.35,NA())</f>
        <v>#N/A</v>
      </c>
      <c r="H233" s="50"/>
      <c r="I233" s="50"/>
      <c r="J233" s="50"/>
      <c r="K233" s="50"/>
      <c r="L233" s="50"/>
      <c r="M233" s="50"/>
      <c r="AA233" s="94">
        <f>Decisiones!B233</f>
        <v>46009</v>
      </c>
    </row>
    <row r="234" spans="1:27" ht="12" customHeight="1">
      <c r="A234" s="66">
        <f>Decisiones!B213</f>
        <v>45099</v>
      </c>
      <c r="B234" s="50">
        <f>Decisiones!H213</f>
        <v>11.25</v>
      </c>
      <c r="C234" s="151">
        <f>COUNTIFS(Votaciones!$A$2:$A$346,Decisiones!A213,Votaciones!$D$2:$D$346,"Disenso restrictivo")</f>
        <v>0</v>
      </c>
      <c r="D234" s="151">
        <f>COUNTIFS(Votaciones!$A$2:$A$346,Decisiones!A213,Votaciones!$D$2:$D$346,"Disenso acomodaticio")</f>
        <v>0</v>
      </c>
      <c r="E234" s="50" t="e">
        <f>NA()</f>
        <v>#N/A</v>
      </c>
      <c r="F234" s="50" t="e">
        <f>NA()</f>
        <v>#N/A</v>
      </c>
      <c r="G234" s="151" t="e">
        <f ca="1">IF(AND(Decisiones!A213&gt;=IFERROR(INDEX(Participacion_Junta!$A$2:$A$346,_xludf.AGGREGATE(15,6,(ROW(Participacion_Junta!$A$2:$A$346)-1)/(Participacion_Junta!$B$2:$B$346=$X$2),1)),"ZZZ"),Decisiones!A213&lt;=IFERROR(INDEX(Participacion_Junta!$A$2:$A$346,_xludf.AGGREGATE(14,6,(ROW(Participacion_Junta!$A$2:$A$346)-1)/(Participacion_Junta!$B$2:$B$346=$X$2),1)),"")),0.35,NA())</f>
        <v>#N/A</v>
      </c>
      <c r="H234" s="50"/>
      <c r="I234" s="50"/>
      <c r="J234" s="50"/>
      <c r="K234" s="50"/>
      <c r="L234" s="50"/>
      <c r="M234" s="50"/>
      <c r="AA234" s="94">
        <f>Decisiones!B234</f>
        <v>46058</v>
      </c>
    </row>
    <row r="235" spans="1:27" ht="12" customHeight="1">
      <c r="A235" s="66">
        <f>Decisiones!B214</f>
        <v>45148</v>
      </c>
      <c r="B235" s="50">
        <f>Decisiones!H214</f>
        <v>11.25</v>
      </c>
      <c r="C235" s="151">
        <f>COUNTIFS(Votaciones!$A$2:$A$346,Decisiones!A214,Votaciones!$D$2:$D$346,"Disenso restrictivo")</f>
        <v>0</v>
      </c>
      <c r="D235" s="151">
        <f>COUNTIFS(Votaciones!$A$2:$A$346,Decisiones!A214,Votaciones!$D$2:$D$346,"Disenso acomodaticio")</f>
        <v>0</v>
      </c>
      <c r="E235" s="50" t="e">
        <f>NA()</f>
        <v>#N/A</v>
      </c>
      <c r="F235" s="50" t="e">
        <f>NA()</f>
        <v>#N/A</v>
      </c>
      <c r="G235" s="151" t="e">
        <f ca="1">IF(AND(Decisiones!A214&gt;=IFERROR(INDEX(Participacion_Junta!$A$2:$A$346,_xludf.AGGREGATE(15,6,(ROW(Participacion_Junta!$A$2:$A$346)-1)/(Participacion_Junta!$B$2:$B$346=$X$2),1)),"ZZZ"),Decisiones!A214&lt;=IFERROR(INDEX(Participacion_Junta!$A$2:$A$346,_xludf.AGGREGATE(14,6,(ROW(Participacion_Junta!$A$2:$A$346)-1)/(Participacion_Junta!$B$2:$B$346=$X$2),1)),"")),0.35,NA())</f>
        <v>#N/A</v>
      </c>
      <c r="H235" s="50"/>
      <c r="I235" s="50"/>
      <c r="J235" s="50"/>
      <c r="K235" s="50"/>
      <c r="L235" s="50"/>
      <c r="M235" s="50"/>
      <c r="AA235" s="94">
        <f>Decisiones!B235</f>
        <v>46107</v>
      </c>
    </row>
    <row r="236" spans="1:27" ht="12" customHeight="1">
      <c r="A236" s="66">
        <f>Decisiones!B215</f>
        <v>45197</v>
      </c>
      <c r="B236" s="50">
        <f>Decisiones!H215</f>
        <v>11.25</v>
      </c>
      <c r="C236" s="151">
        <f>COUNTIFS(Votaciones!$A$2:$A$346,Decisiones!A215,Votaciones!$D$2:$D$346,"Disenso restrictivo")</f>
        <v>0</v>
      </c>
      <c r="D236" s="151">
        <f>COUNTIFS(Votaciones!$A$2:$A$346,Decisiones!A215,Votaciones!$D$2:$D$346,"Disenso acomodaticio")</f>
        <v>0</v>
      </c>
      <c r="E236" s="50" t="e">
        <f>NA()</f>
        <v>#N/A</v>
      </c>
      <c r="F236" s="50" t="e">
        <f>NA()</f>
        <v>#N/A</v>
      </c>
      <c r="G236" s="151" t="e">
        <f ca="1">IF(AND(Decisiones!A215&gt;=IFERROR(INDEX(Participacion_Junta!$A$2:$A$346,_xludf.AGGREGATE(15,6,(ROW(Participacion_Junta!$A$2:$A$346)-1)/(Participacion_Junta!$B$2:$B$346=$X$2),1)),"ZZZ"),Decisiones!A215&lt;=IFERROR(INDEX(Participacion_Junta!$A$2:$A$346,_xludf.AGGREGATE(14,6,(ROW(Participacion_Junta!$A$2:$A$346)-1)/(Participacion_Junta!$B$2:$B$346=$X$2),1)),"")),0.35,NA())</f>
        <v>#N/A</v>
      </c>
      <c r="H236" s="50"/>
      <c r="I236" s="50"/>
      <c r="J236" s="50"/>
      <c r="K236" s="50"/>
      <c r="L236" s="50"/>
      <c r="M236" s="50"/>
      <c r="AA236" s="94">
        <f>Decisiones!B236</f>
        <v>46149</v>
      </c>
    </row>
    <row r="237" spans="1:27" ht="12" customHeight="1">
      <c r="A237" s="66">
        <f>Decisiones!B216</f>
        <v>45239</v>
      </c>
      <c r="B237" s="50">
        <f>Decisiones!H216</f>
        <v>11.25</v>
      </c>
      <c r="C237" s="151">
        <f>COUNTIFS(Votaciones!$A$2:$A$346,Decisiones!A216,Votaciones!$D$2:$D$346,"Disenso restrictivo")</f>
        <v>0</v>
      </c>
      <c r="D237" s="151">
        <f>COUNTIFS(Votaciones!$A$2:$A$346,Decisiones!A216,Votaciones!$D$2:$D$346,"Disenso acomodaticio")</f>
        <v>0</v>
      </c>
      <c r="E237" s="50" t="e">
        <f>NA()</f>
        <v>#N/A</v>
      </c>
      <c r="F237" s="50" t="e">
        <f>NA()</f>
        <v>#N/A</v>
      </c>
      <c r="G237" s="151" t="e">
        <f ca="1">IF(AND(Decisiones!A216&gt;=IFERROR(INDEX(Participacion_Junta!$A$2:$A$346,_xludf.AGGREGATE(15,6,(ROW(Participacion_Junta!$A$2:$A$346)-1)/(Participacion_Junta!$B$2:$B$346=$X$2),1)),"ZZZ"),Decisiones!A216&lt;=IFERROR(INDEX(Participacion_Junta!$A$2:$A$346,_xludf.AGGREGATE(14,6,(ROW(Participacion_Junta!$A$2:$A$346)-1)/(Participacion_Junta!$B$2:$B$346=$X$2),1)),"")),0.35,NA())</f>
        <v>#N/A</v>
      </c>
      <c r="H237" s="50"/>
      <c r="I237" s="50"/>
      <c r="J237" s="50"/>
      <c r="K237" s="50"/>
      <c r="L237" s="50"/>
      <c r="M237" s="50"/>
      <c r="AA237" s="94">
        <f>Decisiones!B237</f>
        <v>46198</v>
      </c>
    </row>
    <row r="238" spans="1:27" ht="12" customHeight="1">
      <c r="A238" s="66">
        <f>Decisiones!B217</f>
        <v>45274</v>
      </c>
      <c r="B238" s="50">
        <f>Decisiones!H217</f>
        <v>11.25</v>
      </c>
      <c r="C238" s="151">
        <f>COUNTIFS(Votaciones!$A$2:$A$346,Decisiones!A217,Votaciones!$D$2:$D$346,"Disenso restrictivo")</f>
        <v>0</v>
      </c>
      <c r="D238" s="151">
        <f>COUNTIFS(Votaciones!$A$2:$A$346,Decisiones!A217,Votaciones!$D$2:$D$346,"Disenso acomodaticio")</f>
        <v>0</v>
      </c>
      <c r="E238" s="50" t="e">
        <f>NA()</f>
        <v>#N/A</v>
      </c>
      <c r="F238" s="50" t="e">
        <f>NA()</f>
        <v>#N/A</v>
      </c>
      <c r="G238" s="151" t="e">
        <f ca="1">IF(AND(Decisiones!A217&gt;=IFERROR(INDEX(Participacion_Junta!$A$2:$A$346,_xludf.AGGREGATE(15,6,(ROW(Participacion_Junta!$A$2:$A$346)-1)/(Participacion_Junta!$B$2:$B$346=$X$2),1)),"ZZZ"),Decisiones!A217&lt;=IFERROR(INDEX(Participacion_Junta!$A$2:$A$346,_xludf.AGGREGATE(14,6,(ROW(Participacion_Junta!$A$2:$A$346)-1)/(Participacion_Junta!$B$2:$B$346=$X$2),1)),"")),0.35,NA())</f>
        <v>#N/A</v>
      </c>
      <c r="H238" s="50"/>
      <c r="I238" s="50"/>
      <c r="J238" s="50"/>
      <c r="K238" s="50"/>
      <c r="L238" s="50"/>
      <c r="M238" s="50"/>
    </row>
    <row r="239" spans="1:27" ht="12" customHeight="1">
      <c r="A239" s="66">
        <f>Decisiones!B218</f>
        <v>45330</v>
      </c>
      <c r="B239" s="50">
        <f>Decisiones!H218</f>
        <v>11.25</v>
      </c>
      <c r="C239" s="151">
        <f>COUNTIFS(Votaciones!$A$2:$A$346,Decisiones!A218,Votaciones!$D$2:$D$346,"Disenso restrictivo")</f>
        <v>0</v>
      </c>
      <c r="D239" s="151">
        <f>COUNTIFS(Votaciones!$A$2:$A$346,Decisiones!A218,Votaciones!$D$2:$D$346,"Disenso acomodaticio")</f>
        <v>0</v>
      </c>
      <c r="E239" s="50" t="e">
        <f>NA()</f>
        <v>#N/A</v>
      </c>
      <c r="F239" s="50" t="e">
        <f>NA()</f>
        <v>#N/A</v>
      </c>
      <c r="G239" s="151" t="e">
        <f ca="1">IF(AND(Decisiones!A218&gt;=IFERROR(INDEX(Participacion_Junta!$A$2:$A$346,_xludf.AGGREGATE(15,6,(ROW(Participacion_Junta!$A$2:$A$346)-1)/(Participacion_Junta!$B$2:$B$346=$X$2),1)),"ZZZ"),Decisiones!A218&lt;=IFERROR(INDEX(Participacion_Junta!$A$2:$A$346,_xludf.AGGREGATE(14,6,(ROW(Participacion_Junta!$A$2:$A$346)-1)/(Participacion_Junta!$B$2:$B$346=$X$2),1)),"")),0.35,NA())</f>
        <v>#N/A</v>
      </c>
      <c r="H239" s="50"/>
      <c r="I239" s="50"/>
      <c r="J239" s="50"/>
      <c r="K239" s="50"/>
      <c r="L239" s="50"/>
      <c r="M239" s="50"/>
    </row>
    <row r="240" spans="1:27" ht="12" customHeight="1">
      <c r="A240" s="66">
        <f>Decisiones!B219</f>
        <v>45372</v>
      </c>
      <c r="B240" s="50">
        <f>Decisiones!H219</f>
        <v>11</v>
      </c>
      <c r="C240" s="151">
        <f>COUNTIFS(Votaciones!$A$2:$A$346,Decisiones!A219,Votaciones!$D$2:$D$346,"Disenso restrictivo")</f>
        <v>1</v>
      </c>
      <c r="D240" s="151">
        <f>COUNTIFS(Votaciones!$A$2:$A$346,Decisiones!A219,Votaciones!$D$2:$D$346,"Disenso acomodaticio")</f>
        <v>0</v>
      </c>
      <c r="E240" s="50" t="e">
        <f>NA()</f>
        <v>#N/A</v>
      </c>
      <c r="F240" s="50" t="e">
        <f>NA()</f>
        <v>#N/A</v>
      </c>
      <c r="G240" s="151" t="e">
        <f ca="1">IF(AND(Decisiones!A219&gt;=IFERROR(INDEX(Participacion_Junta!$A$2:$A$346,_xludf.AGGREGATE(15,6,(ROW(Participacion_Junta!$A$2:$A$346)-1)/(Participacion_Junta!$B$2:$B$346=$X$2),1)),"ZZZ"),Decisiones!A219&lt;=IFERROR(INDEX(Participacion_Junta!$A$2:$A$346,_xludf.AGGREGATE(14,6,(ROW(Participacion_Junta!$A$2:$A$346)-1)/(Participacion_Junta!$B$2:$B$346=$X$2),1)),"")),0.35,NA())</f>
        <v>#N/A</v>
      </c>
      <c r="H240" s="50"/>
      <c r="I240" s="50"/>
      <c r="J240" s="50"/>
      <c r="K240" s="50"/>
      <c r="L240" s="50"/>
      <c r="M240" s="50"/>
    </row>
    <row r="241" spans="1:13" ht="12" customHeight="1">
      <c r="A241" s="66">
        <f>Decisiones!B220</f>
        <v>45421</v>
      </c>
      <c r="B241" s="50">
        <f>Decisiones!H220</f>
        <v>11</v>
      </c>
      <c r="C241" s="151">
        <f>COUNTIFS(Votaciones!$A$2:$A$346,Decisiones!A220,Votaciones!$D$2:$D$346,"Disenso restrictivo")</f>
        <v>0</v>
      </c>
      <c r="D241" s="151">
        <f>COUNTIFS(Votaciones!$A$2:$A$346,Decisiones!A220,Votaciones!$D$2:$D$346,"Disenso acomodaticio")</f>
        <v>0</v>
      </c>
      <c r="E241" s="50" t="e">
        <f>NA()</f>
        <v>#N/A</v>
      </c>
      <c r="F241" s="50" t="e">
        <f>NA()</f>
        <v>#N/A</v>
      </c>
      <c r="G241" s="151" t="e">
        <f ca="1">IF(AND(Decisiones!A220&gt;=IFERROR(INDEX(Participacion_Junta!$A$2:$A$346,_xludf.AGGREGATE(15,6,(ROW(Participacion_Junta!$A$2:$A$346)-1)/(Participacion_Junta!$B$2:$B$346=$X$2),1)),"ZZZ"),Decisiones!A220&lt;=IFERROR(INDEX(Participacion_Junta!$A$2:$A$346,_xludf.AGGREGATE(14,6,(ROW(Participacion_Junta!$A$2:$A$346)-1)/(Participacion_Junta!$B$2:$B$346=$X$2),1)),"")),0.35,NA())</f>
        <v>#N/A</v>
      </c>
      <c r="H241" s="50"/>
      <c r="I241" s="50"/>
      <c r="J241" s="50"/>
      <c r="K241" s="50"/>
      <c r="L241" s="50"/>
      <c r="M241" s="50"/>
    </row>
    <row r="242" spans="1:13" ht="12" customHeight="1">
      <c r="A242" s="66">
        <f>Decisiones!B221</f>
        <v>45470</v>
      </c>
      <c r="B242" s="50">
        <f>Decisiones!H221</f>
        <v>11</v>
      </c>
      <c r="C242" s="151">
        <f>COUNTIFS(Votaciones!$A$2:$A$346,Decisiones!A221,Votaciones!$D$2:$D$346,"Disenso restrictivo")</f>
        <v>0</v>
      </c>
      <c r="D242" s="151">
        <f>COUNTIFS(Votaciones!$A$2:$A$346,Decisiones!A221,Votaciones!$D$2:$D$346,"Disenso acomodaticio")</f>
        <v>1</v>
      </c>
      <c r="E242" s="50">
        <f>Decisiones!H221-0.1</f>
        <v>10.9</v>
      </c>
      <c r="F242" s="50" t="e">
        <f>NA()</f>
        <v>#N/A</v>
      </c>
      <c r="G242" s="151" t="e">
        <f ca="1">IF(AND(Decisiones!A221&gt;=IFERROR(INDEX(Participacion_Junta!$A$2:$A$346,_xludf.AGGREGATE(15,6,(ROW(Participacion_Junta!$A$2:$A$346)-1)/(Participacion_Junta!$B$2:$B$346=$X$2),1)),"ZZZ"),Decisiones!A221&lt;=IFERROR(INDEX(Participacion_Junta!$A$2:$A$346,_xludf.AGGREGATE(14,6,(ROW(Participacion_Junta!$A$2:$A$346)-1)/(Participacion_Junta!$B$2:$B$346=$X$2),1)),"")),0.35,NA())</f>
        <v>#N/A</v>
      </c>
      <c r="H242" s="50"/>
      <c r="I242" s="50"/>
      <c r="J242" s="50"/>
      <c r="K242" s="50"/>
      <c r="L242" s="50"/>
      <c r="M242" s="50"/>
    </row>
    <row r="243" spans="1:13" ht="12" customHeight="1">
      <c r="A243" s="66">
        <f>Decisiones!B222</f>
        <v>45512</v>
      </c>
      <c r="B243" s="50">
        <f>Decisiones!H222</f>
        <v>10.75</v>
      </c>
      <c r="C243" s="151">
        <f>COUNTIFS(Votaciones!$A$2:$A$346,Decisiones!A222,Votaciones!$D$2:$D$346,"Disenso restrictivo")</f>
        <v>2</v>
      </c>
      <c r="D243" s="151">
        <f>COUNTIFS(Votaciones!$A$2:$A$346,Decisiones!A222,Votaciones!$D$2:$D$346,"Disenso acomodaticio")</f>
        <v>0</v>
      </c>
      <c r="E243" s="50" t="e">
        <f>NA()</f>
        <v>#N/A</v>
      </c>
      <c r="F243" s="50" t="e">
        <f>NA()</f>
        <v>#N/A</v>
      </c>
      <c r="G243" s="151" t="e">
        <f ca="1">IF(AND(Decisiones!A222&gt;=IFERROR(INDEX(Participacion_Junta!$A$2:$A$346,_xludf.AGGREGATE(15,6,(ROW(Participacion_Junta!$A$2:$A$346)-1)/(Participacion_Junta!$B$2:$B$346=$X$2),1)),"ZZZ"),Decisiones!A222&lt;=IFERROR(INDEX(Participacion_Junta!$A$2:$A$346,_xludf.AGGREGATE(14,6,(ROW(Participacion_Junta!$A$2:$A$346)-1)/(Participacion_Junta!$B$2:$B$346=$X$2),1)),"")),0.35,NA())</f>
        <v>#N/A</v>
      </c>
      <c r="H243" s="50"/>
      <c r="I243" s="50"/>
      <c r="J243" s="50"/>
      <c r="K243" s="50"/>
      <c r="L243" s="50"/>
      <c r="M243" s="50"/>
    </row>
    <row r="244" spans="1:13" ht="12" customHeight="1">
      <c r="A244" s="66">
        <f>Decisiones!B223</f>
        <v>45561</v>
      </c>
      <c r="B244" s="50">
        <f>Decisiones!H223</f>
        <v>10.5</v>
      </c>
      <c r="C244" s="151">
        <f>COUNTIFS(Votaciones!$A$2:$A$346,Decisiones!A223,Votaciones!$D$2:$D$346,"Disenso restrictivo")</f>
        <v>1</v>
      </c>
      <c r="D244" s="151">
        <f>COUNTIFS(Votaciones!$A$2:$A$346,Decisiones!A223,Votaciones!$D$2:$D$346,"Disenso acomodaticio")</f>
        <v>0</v>
      </c>
      <c r="E244" s="50" t="e">
        <f>NA()</f>
        <v>#N/A</v>
      </c>
      <c r="F244" s="50" t="e">
        <f>NA()</f>
        <v>#N/A</v>
      </c>
      <c r="G244" s="151" t="e">
        <f ca="1">IF(AND(Decisiones!A223&gt;=IFERROR(INDEX(Participacion_Junta!$A$2:$A$346,_xludf.AGGREGATE(15,6,(ROW(Participacion_Junta!$A$2:$A$346)-1)/(Participacion_Junta!$B$2:$B$346=$X$2),1)),"ZZZ"),Decisiones!A223&lt;=IFERROR(INDEX(Participacion_Junta!$A$2:$A$346,_xludf.AGGREGATE(14,6,(ROW(Participacion_Junta!$A$2:$A$346)-1)/(Participacion_Junta!$B$2:$B$346=$X$2),1)),"")),0.35,NA())</f>
        <v>#N/A</v>
      </c>
      <c r="H244" s="50"/>
      <c r="I244" s="50"/>
      <c r="J244" s="50"/>
      <c r="K244" s="50"/>
      <c r="L244" s="50"/>
      <c r="M244" s="50"/>
    </row>
    <row r="245" spans="1:13" ht="12" customHeight="1">
      <c r="A245" s="66">
        <f>Decisiones!B224</f>
        <v>45610</v>
      </c>
      <c r="B245" s="50">
        <f>Decisiones!H224</f>
        <v>10.25</v>
      </c>
      <c r="C245" s="151">
        <f>COUNTIFS(Votaciones!$A$2:$A$346,Decisiones!A224,Votaciones!$D$2:$D$346,"Disenso restrictivo")</f>
        <v>0</v>
      </c>
      <c r="D245" s="151">
        <f>COUNTIFS(Votaciones!$A$2:$A$346,Decisiones!A224,Votaciones!$D$2:$D$346,"Disenso acomodaticio")</f>
        <v>0</v>
      </c>
      <c r="E245" s="50" t="e">
        <f>NA()</f>
        <v>#N/A</v>
      </c>
      <c r="F245" s="50" t="e">
        <f>NA()</f>
        <v>#N/A</v>
      </c>
      <c r="G245" s="151" t="e">
        <f ca="1">IF(AND(Decisiones!A224&gt;=IFERROR(INDEX(Participacion_Junta!$A$2:$A$346,_xludf.AGGREGATE(15,6,(ROW(Participacion_Junta!$A$2:$A$346)-1)/(Participacion_Junta!$B$2:$B$346=$X$2),1)),"ZZZ"),Decisiones!A224&lt;=IFERROR(INDEX(Participacion_Junta!$A$2:$A$346,_xludf.AGGREGATE(14,6,(ROW(Participacion_Junta!$A$2:$A$346)-1)/(Participacion_Junta!$B$2:$B$346=$X$2),1)),"")),0.35,NA())</f>
        <v>#N/A</v>
      </c>
      <c r="H245" s="50"/>
      <c r="I245" s="50"/>
      <c r="J245" s="50"/>
      <c r="K245" s="50"/>
      <c r="L245" s="50"/>
      <c r="M245" s="50"/>
    </row>
    <row r="246" spans="1:13" ht="12" customHeight="1">
      <c r="A246" s="66">
        <f>Decisiones!B225</f>
        <v>45645</v>
      </c>
      <c r="B246" s="50">
        <f>Decisiones!H225</f>
        <v>10</v>
      </c>
      <c r="C246" s="151">
        <f>COUNTIFS(Votaciones!$A$2:$A$346,Decisiones!A225,Votaciones!$D$2:$D$346,"Disenso restrictivo")</f>
        <v>0</v>
      </c>
      <c r="D246" s="151">
        <f>COUNTIFS(Votaciones!$A$2:$A$346,Decisiones!A225,Votaciones!$D$2:$D$346,"Disenso acomodaticio")</f>
        <v>0</v>
      </c>
      <c r="E246" s="50" t="e">
        <f>NA()</f>
        <v>#N/A</v>
      </c>
      <c r="F246" s="50" t="e">
        <f>NA()</f>
        <v>#N/A</v>
      </c>
      <c r="G246" s="151" t="e">
        <f ca="1">IF(AND(Decisiones!A225&gt;=IFERROR(INDEX(Participacion_Junta!$A$2:$A$346,_xludf.AGGREGATE(15,6,(ROW(Participacion_Junta!$A$2:$A$346)-1)/(Participacion_Junta!$B$2:$B$346=$X$2),1)),"ZZZ"),Decisiones!A225&lt;=IFERROR(INDEX(Participacion_Junta!$A$2:$A$346,_xludf.AGGREGATE(14,6,(ROW(Participacion_Junta!$A$2:$A$346)-1)/(Participacion_Junta!$B$2:$B$346=$X$2),1)),"")),0.35,NA())</f>
        <v>#N/A</v>
      </c>
      <c r="H246" s="50"/>
      <c r="I246" s="50"/>
      <c r="J246" s="50"/>
      <c r="K246" s="50"/>
      <c r="L246" s="50"/>
      <c r="M246" s="50"/>
    </row>
    <row r="247" spans="1:13" ht="12" customHeight="1">
      <c r="A247" s="66">
        <f>Decisiones!B226</f>
        <v>45694</v>
      </c>
      <c r="B247" s="50">
        <f>Decisiones!H226</f>
        <v>9.5</v>
      </c>
      <c r="C247" s="151">
        <f>COUNTIFS(Votaciones!$A$2:$A$346,Decisiones!A226,Votaciones!$D$2:$D$346,"Disenso restrictivo")</f>
        <v>1</v>
      </c>
      <c r="D247" s="151">
        <f>COUNTIFS(Votaciones!$A$2:$A$346,Decisiones!A226,Votaciones!$D$2:$D$346,"Disenso acomodaticio")</f>
        <v>0</v>
      </c>
      <c r="E247" s="50" t="e">
        <f>NA()</f>
        <v>#N/A</v>
      </c>
      <c r="F247" s="50" t="e">
        <f>NA()</f>
        <v>#N/A</v>
      </c>
      <c r="G247" s="151" t="e">
        <f ca="1">IF(AND(Decisiones!A226&gt;=IFERROR(INDEX(Participacion_Junta!$A$2:$A$346,_xludf.AGGREGATE(15,6,(ROW(Participacion_Junta!$A$2:$A$346)-1)/(Participacion_Junta!$B$2:$B$346=$X$2),1)),"ZZZ"),Decisiones!A226&lt;=IFERROR(INDEX(Participacion_Junta!$A$2:$A$346,_xludf.AGGREGATE(14,6,(ROW(Participacion_Junta!$A$2:$A$346)-1)/(Participacion_Junta!$B$2:$B$346=$X$2),1)),"")),0.35,NA())</f>
        <v>#N/A</v>
      </c>
      <c r="H247" s="50"/>
      <c r="I247" s="50"/>
      <c r="J247" s="50"/>
      <c r="K247" s="50"/>
      <c r="L247" s="50"/>
      <c r="M247" s="50"/>
    </row>
    <row r="248" spans="1:13" ht="12" customHeight="1">
      <c r="A248" s="66">
        <f>Decisiones!B227</f>
        <v>45743</v>
      </c>
      <c r="B248" s="50">
        <f>Decisiones!H227</f>
        <v>9</v>
      </c>
      <c r="C248" s="151">
        <f>COUNTIFS(Votaciones!$A$2:$A$346,Decisiones!A227,Votaciones!$D$2:$D$346,"Disenso restrictivo")</f>
        <v>0</v>
      </c>
      <c r="D248" s="151">
        <f>COUNTIFS(Votaciones!$A$2:$A$346,Decisiones!A227,Votaciones!$D$2:$D$346,"Disenso acomodaticio")</f>
        <v>0</v>
      </c>
      <c r="E248" s="50" t="e">
        <f>NA()</f>
        <v>#N/A</v>
      </c>
      <c r="F248" s="50" t="e">
        <f>NA()</f>
        <v>#N/A</v>
      </c>
      <c r="G248" s="151" t="e">
        <f ca="1">IF(AND(Decisiones!A227&gt;=IFERROR(INDEX(Participacion_Junta!$A$2:$A$346,_xludf.AGGREGATE(15,6,(ROW(Participacion_Junta!$A$2:$A$346)-1)/(Participacion_Junta!$B$2:$B$346=$X$2),1)),"ZZZ"),Decisiones!A227&lt;=IFERROR(INDEX(Participacion_Junta!$A$2:$A$346,_xludf.AGGREGATE(14,6,(ROW(Participacion_Junta!$A$2:$A$346)-1)/(Participacion_Junta!$B$2:$B$346=$X$2),1)),"")),0.35,NA())</f>
        <v>#N/A</v>
      </c>
      <c r="H248" s="50"/>
      <c r="I248" s="50"/>
      <c r="J248" s="50"/>
      <c r="K248" s="50"/>
      <c r="L248" s="50"/>
      <c r="M248" s="50"/>
    </row>
    <row r="249" spans="1:13" ht="12" customHeight="1">
      <c r="A249" s="66">
        <f>Decisiones!B228</f>
        <v>45792</v>
      </c>
      <c r="B249" s="50">
        <f>Decisiones!H228</f>
        <v>8.5</v>
      </c>
      <c r="C249" s="151">
        <f>COUNTIFS(Votaciones!$A$2:$A$346,Decisiones!A228,Votaciones!$D$2:$D$346,"Disenso restrictivo")</f>
        <v>0</v>
      </c>
      <c r="D249" s="151">
        <f>COUNTIFS(Votaciones!$A$2:$A$346,Decisiones!A228,Votaciones!$D$2:$D$346,"Disenso acomodaticio")</f>
        <v>0</v>
      </c>
      <c r="E249" s="50" t="e">
        <f>NA()</f>
        <v>#N/A</v>
      </c>
      <c r="F249" s="50" t="e">
        <f>NA()</f>
        <v>#N/A</v>
      </c>
      <c r="G249" s="151" t="e">
        <f ca="1">IF(AND(Decisiones!A228&gt;=IFERROR(INDEX(Participacion_Junta!$A$2:$A$346,_xludf.AGGREGATE(15,6,(ROW(Participacion_Junta!$A$2:$A$346)-1)/(Participacion_Junta!$B$2:$B$346=$X$2),1)),"ZZZ"),Decisiones!A228&lt;=IFERROR(INDEX(Participacion_Junta!$A$2:$A$346,_xludf.AGGREGATE(14,6,(ROW(Participacion_Junta!$A$2:$A$346)-1)/(Participacion_Junta!$B$2:$B$346=$X$2),1)),"")),0.35,NA())</f>
        <v>#N/A</v>
      </c>
      <c r="H249" s="50"/>
      <c r="I249" s="50"/>
      <c r="J249" s="50"/>
      <c r="K249" s="50"/>
      <c r="L249" s="50"/>
      <c r="M249" s="50"/>
    </row>
    <row r="250" spans="1:13" ht="12" customHeight="1">
      <c r="A250" s="66">
        <f>Decisiones!B229</f>
        <v>45834</v>
      </c>
      <c r="B250" s="50">
        <f>Decisiones!H229</f>
        <v>8</v>
      </c>
      <c r="C250" s="151">
        <f>COUNTIFS(Votaciones!$A$2:$A$346,Decisiones!A229,Votaciones!$D$2:$D$346,"Disenso restrictivo")</f>
        <v>1</v>
      </c>
      <c r="D250" s="151">
        <f>COUNTIFS(Votaciones!$A$2:$A$346,Decisiones!A229,Votaciones!$D$2:$D$346,"Disenso acomodaticio")</f>
        <v>0</v>
      </c>
      <c r="E250" s="50" t="e">
        <f>NA()</f>
        <v>#N/A</v>
      </c>
      <c r="F250" s="50" t="e">
        <f>NA()</f>
        <v>#N/A</v>
      </c>
      <c r="G250" s="151" t="e">
        <f ca="1">IF(AND(Decisiones!A229&gt;=IFERROR(INDEX(Participacion_Junta!$A$2:$A$346,_xludf.AGGREGATE(15,6,(ROW(Participacion_Junta!$A$2:$A$346)-1)/(Participacion_Junta!$B$2:$B$346=$X$2),1)),"ZZZ"),Decisiones!A229&lt;=IFERROR(INDEX(Participacion_Junta!$A$2:$A$346,_xludf.AGGREGATE(14,6,(ROW(Participacion_Junta!$A$2:$A$346)-1)/(Participacion_Junta!$B$2:$B$346=$X$2),1)),"")),0.35,NA())</f>
        <v>#N/A</v>
      </c>
      <c r="H250" s="50"/>
      <c r="I250" s="50"/>
      <c r="J250" s="50"/>
      <c r="K250" s="50"/>
      <c r="L250" s="50"/>
      <c r="M250" s="50"/>
    </row>
    <row r="251" spans="1:13" ht="12" customHeight="1">
      <c r="A251" s="66">
        <f>Decisiones!B230</f>
        <v>45876</v>
      </c>
      <c r="B251" s="50">
        <f>Decisiones!H230</f>
        <v>7.75</v>
      </c>
      <c r="C251" s="151">
        <f>COUNTIFS(Votaciones!$A$2:$A$346,Decisiones!A230,Votaciones!$D$2:$D$346,"Disenso restrictivo")</f>
        <v>1</v>
      </c>
      <c r="D251" s="151">
        <f>COUNTIFS(Votaciones!$A$2:$A$346,Decisiones!A230,Votaciones!$D$2:$D$346,"Disenso acomodaticio")</f>
        <v>0</v>
      </c>
      <c r="E251" s="50" t="e">
        <f>NA()</f>
        <v>#N/A</v>
      </c>
      <c r="F251" s="50" t="e">
        <f>NA()</f>
        <v>#N/A</v>
      </c>
      <c r="G251" s="151" t="e">
        <f ca="1">IF(AND(Decisiones!A230&gt;=IFERROR(INDEX(Participacion_Junta!$A$2:$A$346,_xludf.AGGREGATE(15,6,(ROW(Participacion_Junta!$A$2:$A$346)-1)/(Participacion_Junta!$B$2:$B$346=$X$2),1)),"ZZZ"),Decisiones!A230&lt;=IFERROR(INDEX(Participacion_Junta!$A$2:$A$346,_xludf.AGGREGATE(14,6,(ROW(Participacion_Junta!$A$2:$A$346)-1)/(Participacion_Junta!$B$2:$B$346=$X$2),1)),"")),0.35,NA())</f>
        <v>#N/A</v>
      </c>
      <c r="H251" s="50"/>
      <c r="I251" s="50"/>
      <c r="J251" s="50"/>
      <c r="K251" s="50"/>
      <c r="L251" s="50"/>
      <c r="M251" s="50"/>
    </row>
    <row r="252" spans="1:13" ht="12" customHeight="1">
      <c r="A252" s="66">
        <f>Decisiones!B231</f>
        <v>45925</v>
      </c>
      <c r="B252" s="50">
        <f>Decisiones!H231</f>
        <v>7.5</v>
      </c>
      <c r="C252" s="151">
        <f>COUNTIFS(Votaciones!$A$2:$A$346,Decisiones!A231,Votaciones!$D$2:$D$346,"Disenso restrictivo")</f>
        <v>1</v>
      </c>
      <c r="D252" s="151">
        <f>COUNTIFS(Votaciones!$A$2:$A$346,Decisiones!A231,Votaciones!$D$2:$D$346,"Disenso acomodaticio")</f>
        <v>0</v>
      </c>
      <c r="E252" s="50" t="e">
        <f>NA()</f>
        <v>#N/A</v>
      </c>
      <c r="F252" s="50" t="e">
        <f>NA()</f>
        <v>#N/A</v>
      </c>
      <c r="G252" s="151" t="e">
        <f ca="1">IF(AND(Decisiones!A231&gt;=IFERROR(INDEX(Participacion_Junta!$A$2:$A$346,_xludf.AGGREGATE(15,6,(ROW(Participacion_Junta!$A$2:$A$346)-1)/(Participacion_Junta!$B$2:$B$346=$X$2),1)),"ZZZ"),Decisiones!A231&lt;=IFERROR(INDEX(Participacion_Junta!$A$2:$A$346,_xludf.AGGREGATE(14,6,(ROW(Participacion_Junta!$A$2:$A$346)-1)/(Participacion_Junta!$B$2:$B$346=$X$2),1)),"")),0.35,NA())</f>
        <v>#N/A</v>
      </c>
      <c r="H252" s="50"/>
      <c r="I252" s="50"/>
      <c r="J252" s="50"/>
      <c r="K252" s="50"/>
      <c r="L252" s="50"/>
      <c r="M252" s="50"/>
    </row>
    <row r="253" spans="1:13" ht="12" customHeight="1">
      <c r="A253" s="66">
        <f>Decisiones!B232</f>
        <v>45967</v>
      </c>
      <c r="B253" s="50">
        <f>Decisiones!H232</f>
        <v>7.25</v>
      </c>
      <c r="C253" s="151">
        <f>COUNTIFS(Votaciones!$A$2:$A$346,Decisiones!A232,Votaciones!$D$2:$D$346,"Disenso restrictivo")</f>
        <v>1</v>
      </c>
      <c r="D253" s="151">
        <f>COUNTIFS(Votaciones!$A$2:$A$346,Decisiones!A232,Votaciones!$D$2:$D$346,"Disenso acomodaticio")</f>
        <v>0</v>
      </c>
      <c r="E253" s="50" t="e">
        <f>NA()</f>
        <v>#N/A</v>
      </c>
      <c r="F253" s="50" t="e">
        <f>NA()</f>
        <v>#N/A</v>
      </c>
      <c r="G253" s="151" t="e">
        <f ca="1">IF(AND(Decisiones!A232&gt;=IFERROR(INDEX(Participacion_Junta!$A$2:$A$346,_xludf.AGGREGATE(15,6,(ROW(Participacion_Junta!$A$2:$A$346)-1)/(Participacion_Junta!$B$2:$B$346=$X$2),1)),"ZZZ"),Decisiones!A232&lt;=IFERROR(INDEX(Participacion_Junta!$A$2:$A$346,_xludf.AGGREGATE(14,6,(ROW(Participacion_Junta!$A$2:$A$346)-1)/(Participacion_Junta!$B$2:$B$346=$X$2),1)),"")),0.35,NA())</f>
        <v>#N/A</v>
      </c>
      <c r="H253" s="50"/>
      <c r="I253" s="50"/>
      <c r="J253" s="50"/>
      <c r="K253" s="50"/>
      <c r="L253" s="50"/>
      <c r="M253" s="50"/>
    </row>
    <row r="254" spans="1:13" ht="12" customHeight="1">
      <c r="A254" s="66">
        <f>Decisiones!B233</f>
        <v>46009</v>
      </c>
      <c r="B254" s="50">
        <f>Decisiones!H233</f>
        <v>7</v>
      </c>
      <c r="C254" s="151">
        <f>COUNTIFS(Votaciones!$A$2:$A$346,Decisiones!A233,Votaciones!$D$2:$D$346,"Disenso restrictivo")</f>
        <v>1</v>
      </c>
      <c r="D254" s="151">
        <f>COUNTIFS(Votaciones!$A$2:$A$346,Decisiones!A233,Votaciones!$D$2:$D$346,"Disenso acomodaticio")</f>
        <v>0</v>
      </c>
      <c r="E254" s="50" t="e">
        <f>NA()</f>
        <v>#N/A</v>
      </c>
      <c r="F254" s="50" t="e">
        <f>NA()</f>
        <v>#N/A</v>
      </c>
      <c r="G254" s="151" t="e">
        <f ca="1">IF(AND(Decisiones!A233&gt;=IFERROR(INDEX(Participacion_Junta!$A$2:$A$346,_xludf.AGGREGATE(15,6,(ROW(Participacion_Junta!$A$2:$A$346)-1)/(Participacion_Junta!$B$2:$B$346=$X$2),1)),"ZZZ"),Decisiones!A233&lt;=IFERROR(INDEX(Participacion_Junta!$A$2:$A$346,_xludf.AGGREGATE(14,6,(ROW(Participacion_Junta!$A$2:$A$346)-1)/(Participacion_Junta!$B$2:$B$346=$X$2),1)),"")),0.35,NA())</f>
        <v>#N/A</v>
      </c>
      <c r="H254" s="50"/>
      <c r="I254" s="50"/>
      <c r="J254" s="50"/>
      <c r="K254" s="50"/>
      <c r="L254" s="50"/>
      <c r="M254" s="50"/>
    </row>
    <row r="255" spans="1:13" ht="1.95" customHeight="1">
      <c r="A255" s="66">
        <f>Decisiones!B234</f>
        <v>46058</v>
      </c>
      <c r="B255" s="50">
        <f>Decisiones!H234</f>
        <v>7</v>
      </c>
      <c r="C255" s="151">
        <f>COUNTIFS(Votaciones!$A$2:$A$346,Decisiones!A234,Votaciones!$D$2:$D$346,"Disenso restrictivo")</f>
        <v>0</v>
      </c>
      <c r="D255" s="151">
        <f>COUNTIFS(Votaciones!$A$2:$A$346,Decisiones!A234,Votaciones!$D$2:$D$346,"Disenso acomodaticio")</f>
        <v>0</v>
      </c>
      <c r="E255" s="50" t="e">
        <f>NA()</f>
        <v>#N/A</v>
      </c>
      <c r="F255" s="50" t="e">
        <f>NA()</f>
        <v>#N/A</v>
      </c>
      <c r="G255" s="151" t="e">
        <f ca="1">IF(AND(Decisiones!A234&gt;=IFERROR(INDEX(Participacion_Junta!$A$2:$A$346,_xludf.AGGREGATE(15,6,(ROW(Participacion_Junta!$A$2:$A$346)-1)/(Participacion_Junta!$B$2:$B$346=$X$2),1)),"ZZZ"),Decisiones!A234&lt;=IFERROR(INDEX(Participacion_Junta!$A$2:$A$346,_xludf.AGGREGATE(14,6,(ROW(Participacion_Junta!$A$2:$A$346)-1)/(Participacion_Junta!$B$2:$B$346=$X$2),1)),"")),0.35,NA())</f>
        <v>#N/A</v>
      </c>
      <c r="H255" s="50"/>
      <c r="I255" s="50"/>
      <c r="J255" s="50"/>
      <c r="K255" s="50"/>
      <c r="L255" s="50"/>
      <c r="M255" s="50"/>
    </row>
    <row r="256" spans="1:13" ht="1.95" customHeight="1">
      <c r="A256" s="66">
        <f>Decisiones!B235</f>
        <v>46107</v>
      </c>
      <c r="B256" s="50">
        <f>Decisiones!H235</f>
        <v>6.75</v>
      </c>
      <c r="C256" s="151">
        <f>COUNTIFS(Votaciones!$A$2:$A$346,Decisiones!A235,Votaciones!$D$2:$D$346,"Disenso restrictivo")</f>
        <v>2</v>
      </c>
      <c r="D256" s="151">
        <f>COUNTIFS(Votaciones!$A$2:$A$346,Decisiones!A235,Votaciones!$D$2:$D$346,"Disenso acomodaticio")</f>
        <v>0</v>
      </c>
      <c r="E256" s="50" t="e">
        <f>NA()</f>
        <v>#N/A</v>
      </c>
      <c r="F256" s="50" t="e">
        <f>NA()</f>
        <v>#N/A</v>
      </c>
      <c r="G256" s="151" t="e">
        <f ca="1">IF(AND(Decisiones!A235&gt;=IFERROR(INDEX(Participacion_Junta!$A$2:$A$346,_xludf.AGGREGATE(15,6,(ROW(Participacion_Junta!$A$2:$A$346)-1)/(Participacion_Junta!$B$2:$B$346=$X$2),1)),"ZZZ"),Decisiones!A235&lt;=IFERROR(INDEX(Participacion_Junta!$A$2:$A$346,_xludf.AGGREGATE(14,6,(ROW(Participacion_Junta!$A$2:$A$346)-1)/(Participacion_Junta!$B$2:$B$346=$X$2),1)),"")),0.35,NA())</f>
        <v>#N/A</v>
      </c>
      <c r="H256" s="50"/>
      <c r="I256" s="50"/>
      <c r="J256" s="50"/>
      <c r="K256" s="50"/>
      <c r="L256" s="50"/>
      <c r="M256" s="50"/>
    </row>
    <row r="257" spans="1:13" ht="1.95" customHeight="1">
      <c r="A257" s="66">
        <f>Decisiones!B236</f>
        <v>46149</v>
      </c>
      <c r="B257" s="50">
        <f>Decisiones!H236</f>
        <v>6.5</v>
      </c>
      <c r="C257" s="151">
        <f>COUNTIFS(Votaciones!$A$2:$A$346,Decisiones!A236,Votaciones!$D$2:$D$346,"Disenso restrictivo")</f>
        <v>2</v>
      </c>
      <c r="D257" s="151">
        <f>COUNTIFS(Votaciones!$A$2:$A$346,Decisiones!A236,Votaciones!$D$2:$D$346,"Disenso acomodaticio")</f>
        <v>0</v>
      </c>
      <c r="E257" s="50" t="e">
        <f>NA()</f>
        <v>#N/A</v>
      </c>
      <c r="F257" s="50" t="e">
        <f>NA()</f>
        <v>#N/A</v>
      </c>
      <c r="G257" s="151" t="e">
        <f ca="1">IF(AND(Decisiones!A236&gt;=IFERROR(INDEX(Participacion_Junta!$A$2:$A$346,_xludf.AGGREGATE(15,6,(ROW(Participacion_Junta!$A$2:$A$346)-1)/(Participacion_Junta!$B$2:$B$346=$X$2),1)),"ZZZ"),Decisiones!A236&lt;=IFERROR(INDEX(Participacion_Junta!$A$2:$A$346,_xludf.AGGREGATE(14,6,(ROW(Participacion_Junta!$A$2:$A$346)-1)/(Participacion_Junta!$B$2:$B$346=$X$2),1)),"")),0.35,NA())</f>
        <v>#N/A</v>
      </c>
      <c r="H257" s="50"/>
      <c r="I257" s="50"/>
      <c r="J257" s="50"/>
      <c r="K257" s="50"/>
      <c r="L257" s="50"/>
      <c r="M257" s="50"/>
    </row>
    <row r="258" spans="1:13" ht="1.95" customHeight="1">
      <c r="A258" s="66">
        <f>Decisiones!B237</f>
        <v>46198</v>
      </c>
      <c r="B258" s="50">
        <f>Decisiones!H237</f>
        <v>6.5</v>
      </c>
      <c r="C258" s="151">
        <f>COUNTIFS(Votaciones!$A$2:$A$346,Decisiones!A237,Votaciones!$D$2:$D$346,"Disenso restrictivo")</f>
        <v>0</v>
      </c>
      <c r="D258" s="151">
        <f>COUNTIFS(Votaciones!$A$2:$A$346,Decisiones!A237,Votaciones!$D$2:$D$346,"Disenso acomodaticio")</f>
        <v>0</v>
      </c>
      <c r="E258" s="50" t="e">
        <f>NA()</f>
        <v>#N/A</v>
      </c>
      <c r="F258" s="50" t="e">
        <f>NA()</f>
        <v>#N/A</v>
      </c>
      <c r="G258" s="151" t="e">
        <f ca="1">IF(AND(Decisiones!A237&gt;=IFERROR(INDEX(Participacion_Junta!$A$2:$A$346,_xludf.AGGREGATE(15,6,(ROW(Participacion_Junta!$A$2:$A$346)-1)/(Participacion_Junta!$B$2:$B$346=$X$2),1)),"ZZZ"),Decisiones!A237&lt;=IFERROR(INDEX(Participacion_Junta!$A$2:$A$346,_xludf.AGGREGATE(14,6,(ROW(Participacion_Junta!$A$2:$A$346)-1)/(Participacion_Junta!$B$2:$B$346=$X$2),1)),"")),0.35,NA())</f>
        <v>#N/A</v>
      </c>
      <c r="H258" s="50"/>
      <c r="I258" s="50"/>
      <c r="J258" s="50"/>
      <c r="K258" s="50"/>
      <c r="L258" s="50"/>
      <c r="M258" s="50"/>
    </row>
    <row r="259" spans="1:13" ht="1.9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</row>
    <row r="260" spans="1:13" ht="1.9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</row>
    <row r="261" spans="1:13" ht="1.9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</row>
    <row r="262" spans="1:13" ht="1.9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</row>
    <row r="263" spans="1:13" ht="1.9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</row>
    <row r="264" spans="1:13" ht="1.9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</row>
    <row r="265" spans="1:13" ht="1.9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</row>
    <row r="266" spans="1:13" ht="1.9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</row>
    <row r="267" spans="1:13" ht="1.9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</row>
    <row r="268" spans="1:13" ht="1.9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</row>
    <row r="269" spans="1:13" ht="1.9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</row>
    <row r="270" spans="1:13" ht="1.9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</row>
    <row r="271" spans="1:13" ht="1.9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</row>
    <row r="272" spans="1:13" ht="1.9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 spans="1:13" ht="1.9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</row>
    <row r="274" spans="1:13" ht="1.9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</row>
    <row r="275" spans="1:13" ht="1.9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</row>
    <row r="276" spans="1:13" ht="1.9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</row>
    <row r="277" spans="1:13" ht="1.9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</row>
    <row r="278" spans="1:13" ht="1.9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 spans="1:13" ht="1.9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</row>
    <row r="280" spans="1:13" ht="1.9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</row>
    <row r="281" spans="1:13" ht="1.9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</row>
    <row r="282" spans="1:13" ht="1.9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</row>
    <row r="283" spans="1:13" ht="1.9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</row>
    <row r="284" spans="1:13" ht="1.9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</row>
    <row r="285" spans="1:13" ht="1.9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</row>
    <row r="286" spans="1:13" ht="1.9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</row>
    <row r="287" spans="1:13" ht="1.9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</row>
    <row r="288" spans="1:13" ht="1.9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</row>
    <row r="289" spans="1:13" ht="1.9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</row>
    <row r="290" spans="1:13" ht="1.9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</row>
    <row r="291" spans="1:13" ht="1.9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</row>
    <row r="292" spans="1:13" ht="1.9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</row>
    <row r="293" spans="1:13" ht="1.9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</row>
    <row r="294" spans="1:13" ht="1.9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</row>
    <row r="295" spans="1:13" ht="1.9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</row>
    <row r="296" spans="1:13" ht="1.9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</row>
    <row r="297" spans="1:13" ht="1.9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</row>
    <row r="298" spans="1:13" ht="1.9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</row>
    <row r="299" spans="1:13" ht="1.9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</row>
    <row r="300" spans="1:13" ht="1.9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</row>
    <row r="301" spans="1:13" ht="1.9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</row>
    <row r="302" spans="1:13" ht="1.9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</row>
    <row r="303" spans="1:13" ht="1.9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</row>
    <row r="304" spans="1:13" ht="1.9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</row>
    <row r="305" spans="1:13" ht="1.9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</row>
    <row r="306" spans="1:13" ht="1.9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</row>
    <row r="307" spans="1:13" ht="1.9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</row>
    <row r="308" spans="1:13" ht="1.9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 spans="1:13" ht="1.9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</row>
    <row r="310" spans="1:13" ht="1.9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</row>
    <row r="311" spans="1:13" ht="1.9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</row>
    <row r="312" spans="1:13" ht="1.9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 spans="1:13" ht="1.9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</row>
    <row r="314" spans="1:13" ht="1.9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</row>
    <row r="315" spans="1:13" ht="1.9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</row>
    <row r="316" spans="1:13" ht="1.9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</row>
    <row r="317" spans="1:13" ht="1.9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</row>
    <row r="318" spans="1:13" ht="1.9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</row>
    <row r="319" spans="1:13" ht="1.9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</row>
    <row r="320" spans="1:13" ht="1.9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</row>
    <row r="321" spans="1:13" ht="1.9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</row>
    <row r="322" spans="1:13" ht="1.9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</row>
    <row r="323" spans="1:13" ht="1.9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</row>
    <row r="324" spans="1:13" ht="1.9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</row>
    <row r="325" spans="1:13" ht="1.9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</row>
    <row r="326" spans="1:13" ht="1.9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</row>
    <row r="327" spans="1:13" ht="1.9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</row>
    <row r="328" spans="1:13" ht="1.9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</row>
    <row r="329" spans="1:13" ht="1.9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</row>
    <row r="330" spans="1:13" ht="1.9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</row>
    <row r="331" spans="1:13" ht="1.9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</row>
    <row r="332" spans="1:13" ht="1.9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</row>
    <row r="333" spans="1:13" ht="1.9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</row>
    <row r="334" spans="1:13" ht="1.9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</row>
    <row r="335" spans="1:13" ht="1.9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</row>
    <row r="336" spans="1:13" ht="1.9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</row>
    <row r="337" spans="1:13" ht="1.9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</row>
    <row r="338" spans="1:13" ht="1.9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</row>
    <row r="339" spans="1:13" ht="1.9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</row>
    <row r="340" spans="1:13" ht="1.9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</row>
    <row r="341" spans="1:13" ht="1.9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</row>
    <row r="342" spans="1:13" ht="1.9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</row>
    <row r="343" spans="1:13" ht="1.9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</row>
    <row r="344" spans="1:13" ht="1.9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 spans="1:13" ht="1.9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</row>
    <row r="346" spans="1:13" ht="1.9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 spans="1:13" ht="1.9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</row>
    <row r="348" spans="1:13" ht="1.9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</row>
    <row r="349" spans="1:13" ht="1.9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</row>
    <row r="350" spans="1:13" ht="1.9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</row>
    <row r="351" spans="1:13" ht="1.9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</row>
    <row r="352" spans="1:13" ht="1.9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</row>
    <row r="353" spans="1:13" ht="1.9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</row>
    <row r="354" spans="1:13" ht="1.9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</row>
    <row r="355" spans="1:13" ht="1.9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</row>
    <row r="356" spans="1:13" ht="1.9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</row>
    <row r="357" spans="1:13" ht="1.9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</row>
    <row r="358" spans="1:13" ht="1.9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</row>
    <row r="359" spans="1:13" ht="1.9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</row>
    <row r="360" spans="1:13" ht="1.9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</row>
    <row r="361" spans="1:13" ht="1.9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</row>
    <row r="362" spans="1:13" ht="1.9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</row>
    <row r="363" spans="1:13" ht="1.9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</row>
    <row r="364" spans="1:13" ht="1.9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</row>
    <row r="365" spans="1:13" ht="1.9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</row>
    <row r="366" spans="1:13" ht="1.9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</row>
    <row r="367" spans="1:13" ht="1.9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</row>
    <row r="368" spans="1:13" ht="1.9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</row>
    <row r="369" spans="1:13" ht="1.9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</row>
    <row r="370" spans="1:13" ht="1.9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</row>
    <row r="371" spans="1:13" ht="1.9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</row>
    <row r="372" spans="1:13" ht="1.9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</row>
    <row r="373" spans="1:13" ht="1.9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</row>
    <row r="374" spans="1:13" ht="1.9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</row>
    <row r="375" spans="1:13" ht="1.9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</row>
    <row r="376" spans="1:13" ht="1.9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</row>
    <row r="377" spans="1:13" ht="1.9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</row>
    <row r="378" spans="1:13" ht="1.9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</row>
    <row r="379" spans="1:13" ht="1.9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</row>
    <row r="380" spans="1:13" ht="1.9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 spans="1:13" ht="1.9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</row>
    <row r="382" spans="1:13" ht="1.9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</row>
    <row r="383" spans="1:13" ht="1.9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</row>
    <row r="384" spans="1:13" ht="1.9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</row>
    <row r="385" spans="1:13" ht="1.9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</row>
    <row r="386" spans="1:13" ht="1.9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</row>
    <row r="387" spans="1:13" ht="1.9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</row>
    <row r="388" spans="1:13" ht="1.9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</row>
    <row r="389" spans="1:13" ht="1.9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</row>
    <row r="390" spans="1:13" ht="1.9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</row>
    <row r="391" spans="1:13" ht="1.9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</row>
    <row r="392" spans="1:13" ht="1.9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</row>
    <row r="393" spans="1:13" ht="1.9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</row>
    <row r="394" spans="1:13" ht="1.9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</row>
    <row r="395" spans="1:13" ht="1.9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</row>
    <row r="396" spans="1:13" ht="1.9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</row>
    <row r="397" spans="1:13" ht="1.9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</row>
    <row r="398" spans="1:13" ht="1.9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 spans="1:13" ht="1.9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 t="s">
        <v>871</v>
      </c>
      <c r="K399" s="50" t="s">
        <v>177</v>
      </c>
      <c r="L399" s="50" t="s">
        <v>1137</v>
      </c>
      <c r="M399" s="50" t="s">
        <v>1138</v>
      </c>
    </row>
    <row r="400" spans="1:13" ht="1.9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168" t="e">
        <f>IF(COUNTIFS(Votaciones!$A$2:$A$346,Decisiones!A171,Votaciones!$B$2:$B$346,$X$2)&gt;0,Decisiones!B171,NA())</f>
        <v>#N/A</v>
      </c>
      <c r="K400" s="151" t="e">
        <f>IF(COUNTIFS(Votaciones!$A$2:$A$346,Decisiones!A171,Votaciones!$B$2:$B$346,$X$2)&gt;0,Decisiones!H171,NA())</f>
        <v>#N/A</v>
      </c>
      <c r="L400" s="151">
        <f>IF(COUNTIFS(Votaciones!$A$2:$A$346,Decisiones!A171,Votaciones!$B$2:$B$346,$X$2,Votaciones!$D$2:$D$346,"Disenso restrictivo")&gt;0,1,0)</f>
        <v>0</v>
      </c>
      <c r="M400" s="151">
        <f>IF(COUNTIFS(Votaciones!$A$2:$A$346,Decisiones!A171,Votaciones!$B$2:$B$346,$X$2,Votaciones!$D$2:$D$346,"Disenso acomodaticio")&gt;0,1,0)</f>
        <v>0</v>
      </c>
    </row>
    <row r="401" spans="1:13" ht="1.9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168" t="e">
        <f>IF(COUNTIFS(Votaciones!$A$2:$A$346,Decisiones!A172,Votaciones!$B$2:$B$346,$X$2)&gt;0,Decisiones!B172,NA())</f>
        <v>#N/A</v>
      </c>
      <c r="K401" s="151" t="e">
        <f>IF(COUNTIFS(Votaciones!$A$2:$A$346,Decisiones!A172,Votaciones!$B$2:$B$346,$X$2)&gt;0,Decisiones!H172,NA())</f>
        <v>#N/A</v>
      </c>
      <c r="L401" s="151">
        <f>IF(COUNTIFS(Votaciones!$A$2:$A$346,Decisiones!A172,Votaciones!$B$2:$B$346,$X$2,Votaciones!$D$2:$D$346,"Disenso restrictivo")&gt;0,1,0)</f>
        <v>0</v>
      </c>
      <c r="M401" s="151">
        <f>IF(COUNTIFS(Votaciones!$A$2:$A$346,Decisiones!A172,Votaciones!$B$2:$B$346,$X$2,Votaciones!$D$2:$D$346,"Disenso acomodaticio")&gt;0,1,0)</f>
        <v>0</v>
      </c>
    </row>
    <row r="402" spans="1:13" ht="1.9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168" t="e">
        <f>IF(COUNTIFS(Votaciones!$A$2:$A$346,Decisiones!A173,Votaciones!$B$2:$B$346,$X$2)&gt;0,Decisiones!B173,NA())</f>
        <v>#N/A</v>
      </c>
      <c r="K402" s="151" t="e">
        <f>IF(COUNTIFS(Votaciones!$A$2:$A$346,Decisiones!A173,Votaciones!$B$2:$B$346,$X$2)&gt;0,Decisiones!H173,NA())</f>
        <v>#N/A</v>
      </c>
      <c r="L402" s="151">
        <f>IF(COUNTIFS(Votaciones!$A$2:$A$346,Decisiones!A173,Votaciones!$B$2:$B$346,$X$2,Votaciones!$D$2:$D$346,"Disenso restrictivo")&gt;0,1,0)</f>
        <v>0</v>
      </c>
      <c r="M402" s="151">
        <f>IF(COUNTIFS(Votaciones!$A$2:$A$346,Decisiones!A173,Votaciones!$B$2:$B$346,$X$2,Votaciones!$D$2:$D$346,"Disenso acomodaticio")&gt;0,1,0)</f>
        <v>0</v>
      </c>
    </row>
    <row r="403" spans="1:13" ht="1.9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168" t="e">
        <f>IF(COUNTIFS(Votaciones!$A$2:$A$346,Decisiones!A174,Votaciones!$B$2:$B$346,$X$2)&gt;0,Decisiones!B174,NA())</f>
        <v>#N/A</v>
      </c>
      <c r="K403" s="151" t="e">
        <f>IF(COUNTIFS(Votaciones!$A$2:$A$346,Decisiones!A174,Votaciones!$B$2:$B$346,$X$2)&gt;0,Decisiones!H174,NA())</f>
        <v>#N/A</v>
      </c>
      <c r="L403" s="151">
        <f>IF(COUNTIFS(Votaciones!$A$2:$A$346,Decisiones!A174,Votaciones!$B$2:$B$346,$X$2,Votaciones!$D$2:$D$346,"Disenso restrictivo")&gt;0,1,0)</f>
        <v>0</v>
      </c>
      <c r="M403" s="151">
        <f>IF(COUNTIFS(Votaciones!$A$2:$A$346,Decisiones!A174,Votaciones!$B$2:$B$346,$X$2,Votaciones!$D$2:$D$346,"Disenso acomodaticio")&gt;0,1,0)</f>
        <v>0</v>
      </c>
    </row>
    <row r="404" spans="1:13" ht="1.9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168" t="e">
        <f>IF(COUNTIFS(Votaciones!$A$2:$A$346,Decisiones!A175,Votaciones!$B$2:$B$346,$X$2)&gt;0,Decisiones!B175,NA())</f>
        <v>#N/A</v>
      </c>
      <c r="K404" s="151" t="e">
        <f>IF(COUNTIFS(Votaciones!$A$2:$A$346,Decisiones!A175,Votaciones!$B$2:$B$346,$X$2)&gt;0,Decisiones!H175,NA())</f>
        <v>#N/A</v>
      </c>
      <c r="L404" s="151">
        <f>IF(COUNTIFS(Votaciones!$A$2:$A$346,Decisiones!A175,Votaciones!$B$2:$B$346,$X$2,Votaciones!$D$2:$D$346,"Disenso restrictivo")&gt;0,1,0)</f>
        <v>0</v>
      </c>
      <c r="M404" s="151">
        <f>IF(COUNTIFS(Votaciones!$A$2:$A$346,Decisiones!A175,Votaciones!$B$2:$B$346,$X$2,Votaciones!$D$2:$D$346,"Disenso acomodaticio")&gt;0,1,0)</f>
        <v>0</v>
      </c>
    </row>
    <row r="405" spans="1:13" ht="1.9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168" t="e">
        <f>IF(COUNTIFS(Votaciones!$A$2:$A$346,Decisiones!A176,Votaciones!$B$2:$B$346,$X$2)&gt;0,Decisiones!B176,NA())</f>
        <v>#N/A</v>
      </c>
      <c r="K405" s="151" t="e">
        <f>IF(COUNTIFS(Votaciones!$A$2:$A$346,Decisiones!A176,Votaciones!$B$2:$B$346,$X$2)&gt;0,Decisiones!H176,NA())</f>
        <v>#N/A</v>
      </c>
      <c r="L405" s="151">
        <f>IF(COUNTIFS(Votaciones!$A$2:$A$346,Decisiones!A176,Votaciones!$B$2:$B$346,$X$2,Votaciones!$D$2:$D$346,"Disenso restrictivo")&gt;0,1,0)</f>
        <v>0</v>
      </c>
      <c r="M405" s="151">
        <f>IF(COUNTIFS(Votaciones!$A$2:$A$346,Decisiones!A176,Votaciones!$B$2:$B$346,$X$2,Votaciones!$D$2:$D$346,"Disenso acomodaticio")&gt;0,1,0)</f>
        <v>0</v>
      </c>
    </row>
    <row r="406" spans="1:13" ht="1.9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168">
        <f>IF(COUNTIFS(Votaciones!$A$2:$A$346,Decisiones!A177,Votaciones!$B$2:$B$346,$X$2)&gt;0,Decisiones!B177,NA())</f>
        <v>43503</v>
      </c>
      <c r="K406" s="151">
        <f>IF(COUNTIFS(Votaciones!$A$2:$A$346,Decisiones!A177,Votaciones!$B$2:$B$346,$X$2)&gt;0,Decisiones!H177,NA())</f>
        <v>8.25</v>
      </c>
      <c r="L406" s="151">
        <f>IF(COUNTIFS(Votaciones!$A$2:$A$346,Decisiones!A177,Votaciones!$B$2:$B$346,$X$2,Votaciones!$D$2:$D$346,"Disenso restrictivo")&gt;0,1,0)</f>
        <v>0</v>
      </c>
      <c r="M406" s="151">
        <f>IF(COUNTIFS(Votaciones!$A$2:$A$346,Decisiones!A177,Votaciones!$B$2:$B$346,$X$2,Votaciones!$D$2:$D$346,"Disenso acomodaticio")&gt;0,1,0)</f>
        <v>0</v>
      </c>
    </row>
    <row r="407" spans="1:13" ht="1.9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168">
        <f>IF(COUNTIFS(Votaciones!$A$2:$A$346,Decisiones!A178,Votaciones!$B$2:$B$346,$X$2)&gt;0,Decisiones!B178,NA())</f>
        <v>43552</v>
      </c>
      <c r="K407" s="151">
        <f>IF(COUNTIFS(Votaciones!$A$2:$A$346,Decisiones!A178,Votaciones!$B$2:$B$346,$X$2)&gt;0,Decisiones!H178,NA())</f>
        <v>8.25</v>
      </c>
      <c r="L407" s="151">
        <f>IF(COUNTIFS(Votaciones!$A$2:$A$346,Decisiones!A178,Votaciones!$B$2:$B$346,$X$2,Votaciones!$D$2:$D$346,"Disenso restrictivo")&gt;0,1,0)</f>
        <v>0</v>
      </c>
      <c r="M407" s="151">
        <f>IF(COUNTIFS(Votaciones!$A$2:$A$346,Decisiones!A178,Votaciones!$B$2:$B$346,$X$2,Votaciones!$D$2:$D$346,"Disenso acomodaticio")&gt;0,1,0)</f>
        <v>0</v>
      </c>
    </row>
    <row r="408" spans="1:13" ht="1.9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168">
        <f>IF(COUNTIFS(Votaciones!$A$2:$A$346,Decisiones!A179,Votaciones!$B$2:$B$346,$X$2)&gt;0,Decisiones!B179,NA())</f>
        <v>43601</v>
      </c>
      <c r="K408" s="151">
        <f>IF(COUNTIFS(Votaciones!$A$2:$A$346,Decisiones!A179,Votaciones!$B$2:$B$346,$X$2)&gt;0,Decisiones!H179,NA())</f>
        <v>8.25</v>
      </c>
      <c r="L408" s="151">
        <f>IF(COUNTIFS(Votaciones!$A$2:$A$346,Decisiones!A179,Votaciones!$B$2:$B$346,$X$2,Votaciones!$D$2:$D$346,"Disenso restrictivo")&gt;0,1,0)</f>
        <v>0</v>
      </c>
      <c r="M408" s="151">
        <f>IF(COUNTIFS(Votaciones!$A$2:$A$346,Decisiones!A179,Votaciones!$B$2:$B$346,$X$2,Votaciones!$D$2:$D$346,"Disenso acomodaticio")&gt;0,1,0)</f>
        <v>0</v>
      </c>
    </row>
    <row r="409" spans="1:13" ht="1.9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168">
        <f>IF(COUNTIFS(Votaciones!$A$2:$A$346,Decisiones!A180,Votaciones!$B$2:$B$346,$X$2)&gt;0,Decisiones!B180,NA())</f>
        <v>43643</v>
      </c>
      <c r="K409" s="151">
        <f>IF(COUNTIFS(Votaciones!$A$2:$A$346,Decisiones!A180,Votaciones!$B$2:$B$346,$X$2)&gt;0,Decisiones!H180,NA())</f>
        <v>8.25</v>
      </c>
      <c r="L409" s="151">
        <f>IF(COUNTIFS(Votaciones!$A$2:$A$346,Decisiones!A180,Votaciones!$B$2:$B$346,$X$2,Votaciones!$D$2:$D$346,"Disenso restrictivo")&gt;0,1,0)</f>
        <v>0</v>
      </c>
      <c r="M409" s="151">
        <f>IF(COUNTIFS(Votaciones!$A$2:$A$346,Decisiones!A180,Votaciones!$B$2:$B$346,$X$2,Votaciones!$D$2:$D$346,"Disenso acomodaticio")&gt;0,1,0)</f>
        <v>0</v>
      </c>
    </row>
    <row r="410" spans="1:13" ht="1.9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168">
        <f>IF(COUNTIFS(Votaciones!$A$2:$A$346,Decisiones!A181,Votaciones!$B$2:$B$346,$X$2)&gt;0,Decisiones!B181,NA())</f>
        <v>43692</v>
      </c>
      <c r="K410" s="151">
        <f>IF(COUNTIFS(Votaciones!$A$2:$A$346,Decisiones!A181,Votaciones!$B$2:$B$346,$X$2)&gt;0,Decisiones!H181,NA())</f>
        <v>8</v>
      </c>
      <c r="L410" s="151">
        <f>IF(COUNTIFS(Votaciones!$A$2:$A$346,Decisiones!A181,Votaciones!$B$2:$B$346,$X$2,Votaciones!$D$2:$D$346,"Disenso restrictivo")&gt;0,1,0)</f>
        <v>0</v>
      </c>
      <c r="M410" s="151">
        <f>IF(COUNTIFS(Votaciones!$A$2:$A$346,Decisiones!A181,Votaciones!$B$2:$B$346,$X$2,Votaciones!$D$2:$D$346,"Disenso acomodaticio")&gt;0,1,0)</f>
        <v>0</v>
      </c>
    </row>
    <row r="411" spans="1:13" ht="1.9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168">
        <f>IF(COUNTIFS(Votaciones!$A$2:$A$346,Decisiones!A182,Votaciones!$B$2:$B$346,$X$2)&gt;0,Decisiones!B182,NA())</f>
        <v>43734</v>
      </c>
      <c r="K411" s="151">
        <f>IF(COUNTIFS(Votaciones!$A$2:$A$346,Decisiones!A182,Votaciones!$B$2:$B$346,$X$2)&gt;0,Decisiones!H182,NA())</f>
        <v>7.75</v>
      </c>
      <c r="L411" s="151">
        <f>IF(COUNTIFS(Votaciones!$A$2:$A$346,Decisiones!A182,Votaciones!$B$2:$B$346,$X$2,Votaciones!$D$2:$D$346,"Disenso restrictivo")&gt;0,1,0)</f>
        <v>0</v>
      </c>
      <c r="M411" s="151">
        <f>IF(COUNTIFS(Votaciones!$A$2:$A$346,Decisiones!A182,Votaciones!$B$2:$B$346,$X$2,Votaciones!$D$2:$D$346,"Disenso acomodaticio")&gt;0,1,0)</f>
        <v>1</v>
      </c>
    </row>
    <row r="412" spans="1:13" ht="1.9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168">
        <f>IF(COUNTIFS(Votaciones!$A$2:$A$346,Decisiones!A183,Votaciones!$B$2:$B$346,$X$2)&gt;0,Decisiones!B183,NA())</f>
        <v>43783</v>
      </c>
      <c r="K412" s="151">
        <f>IF(COUNTIFS(Votaciones!$A$2:$A$346,Decisiones!A183,Votaciones!$B$2:$B$346,$X$2)&gt;0,Decisiones!H183,NA())</f>
        <v>7.5</v>
      </c>
      <c r="L412" s="151">
        <f>IF(COUNTIFS(Votaciones!$A$2:$A$346,Decisiones!A183,Votaciones!$B$2:$B$346,$X$2,Votaciones!$D$2:$D$346,"Disenso restrictivo")&gt;0,1,0)</f>
        <v>0</v>
      </c>
      <c r="M412" s="151">
        <f>IF(COUNTIFS(Votaciones!$A$2:$A$346,Decisiones!A183,Votaciones!$B$2:$B$346,$X$2,Votaciones!$D$2:$D$346,"Disenso acomodaticio")&gt;0,1,0)</f>
        <v>1</v>
      </c>
    </row>
    <row r="413" spans="1:13" ht="1.9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168">
        <f>IF(COUNTIFS(Votaciones!$A$2:$A$346,Decisiones!A184,Votaciones!$B$2:$B$346,$X$2)&gt;0,Decisiones!B184,NA())</f>
        <v>43818</v>
      </c>
      <c r="K413" s="151">
        <f>IF(COUNTIFS(Votaciones!$A$2:$A$346,Decisiones!A184,Votaciones!$B$2:$B$346,$X$2)&gt;0,Decisiones!H184,NA())</f>
        <v>7.25</v>
      </c>
      <c r="L413" s="151">
        <f>IF(COUNTIFS(Votaciones!$A$2:$A$346,Decisiones!A184,Votaciones!$B$2:$B$346,$X$2,Votaciones!$D$2:$D$346,"Disenso restrictivo")&gt;0,1,0)</f>
        <v>0</v>
      </c>
      <c r="M413" s="151">
        <f>IF(COUNTIFS(Votaciones!$A$2:$A$346,Decisiones!A184,Votaciones!$B$2:$B$346,$X$2,Votaciones!$D$2:$D$346,"Disenso acomodaticio")&gt;0,1,0)</f>
        <v>0</v>
      </c>
    </row>
    <row r="414" spans="1:13" ht="1.9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168">
        <f>IF(COUNTIFS(Votaciones!$A$2:$A$346,Decisiones!A185,Votaciones!$B$2:$B$346,$X$2)&gt;0,Decisiones!B185,NA())</f>
        <v>43874</v>
      </c>
      <c r="K414" s="151">
        <f>IF(COUNTIFS(Votaciones!$A$2:$A$346,Decisiones!A185,Votaciones!$B$2:$B$346,$X$2)&gt;0,Decisiones!H185,NA())</f>
        <v>7</v>
      </c>
      <c r="L414" s="151">
        <f>IF(COUNTIFS(Votaciones!$A$2:$A$346,Decisiones!A185,Votaciones!$B$2:$B$346,$X$2,Votaciones!$D$2:$D$346,"Disenso restrictivo")&gt;0,1,0)</f>
        <v>0</v>
      </c>
      <c r="M414" s="151">
        <f>IF(COUNTIFS(Votaciones!$A$2:$A$346,Decisiones!A185,Votaciones!$B$2:$B$346,$X$2,Votaciones!$D$2:$D$346,"Disenso acomodaticio")&gt;0,1,0)</f>
        <v>0</v>
      </c>
    </row>
    <row r="415" spans="1:13" ht="1.9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168">
        <f>IF(COUNTIFS(Votaciones!$A$2:$A$346,Decisiones!A186,Votaciones!$B$2:$B$346,$X$2)&gt;0,Decisiones!B186,NA())</f>
        <v>43910</v>
      </c>
      <c r="K415" s="151">
        <f>IF(COUNTIFS(Votaciones!$A$2:$A$346,Decisiones!A186,Votaciones!$B$2:$B$346,$X$2)&gt;0,Decisiones!H186,NA())</f>
        <v>6.5</v>
      </c>
      <c r="L415" s="151">
        <f>IF(COUNTIFS(Votaciones!$A$2:$A$346,Decisiones!A186,Votaciones!$B$2:$B$346,$X$2,Votaciones!$D$2:$D$346,"Disenso restrictivo")&gt;0,1,0)</f>
        <v>0</v>
      </c>
      <c r="M415" s="151">
        <f>IF(COUNTIFS(Votaciones!$A$2:$A$346,Decisiones!A186,Votaciones!$B$2:$B$346,$X$2,Votaciones!$D$2:$D$346,"Disenso acomodaticio")&gt;0,1,0)</f>
        <v>0</v>
      </c>
    </row>
    <row r="416" spans="1:13" ht="1.9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168">
        <f>IF(COUNTIFS(Votaciones!$A$2:$A$346,Decisiones!A187,Votaciones!$B$2:$B$346,$X$2)&gt;0,Decisiones!B187,NA())</f>
        <v>43942</v>
      </c>
      <c r="K416" s="151">
        <f>IF(COUNTIFS(Votaciones!$A$2:$A$346,Decisiones!A187,Votaciones!$B$2:$B$346,$X$2)&gt;0,Decisiones!H187,NA())</f>
        <v>6</v>
      </c>
      <c r="L416" s="151">
        <f>IF(COUNTIFS(Votaciones!$A$2:$A$346,Decisiones!A187,Votaciones!$B$2:$B$346,$X$2,Votaciones!$D$2:$D$346,"Disenso restrictivo")&gt;0,1,0)</f>
        <v>0</v>
      </c>
      <c r="M416" s="151">
        <f>IF(COUNTIFS(Votaciones!$A$2:$A$346,Decisiones!A187,Votaciones!$B$2:$B$346,$X$2,Votaciones!$D$2:$D$346,"Disenso acomodaticio")&gt;0,1,0)</f>
        <v>0</v>
      </c>
    </row>
    <row r="417" spans="1:13" ht="1.9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168">
        <f>IF(COUNTIFS(Votaciones!$A$2:$A$346,Decisiones!A188,Votaciones!$B$2:$B$346,$X$2)&gt;0,Decisiones!B188,NA())</f>
        <v>43965</v>
      </c>
      <c r="K417" s="151">
        <f>IF(COUNTIFS(Votaciones!$A$2:$A$346,Decisiones!A188,Votaciones!$B$2:$B$346,$X$2)&gt;0,Decisiones!H188,NA())</f>
        <v>5.5</v>
      </c>
      <c r="L417" s="151">
        <f>IF(COUNTIFS(Votaciones!$A$2:$A$346,Decisiones!A188,Votaciones!$B$2:$B$346,$X$2,Votaciones!$D$2:$D$346,"Disenso restrictivo")&gt;0,1,0)</f>
        <v>0</v>
      </c>
      <c r="M417" s="151">
        <f>IF(COUNTIFS(Votaciones!$A$2:$A$346,Decisiones!A188,Votaciones!$B$2:$B$346,$X$2,Votaciones!$D$2:$D$346,"Disenso acomodaticio")&gt;0,1,0)</f>
        <v>0</v>
      </c>
    </row>
    <row r="418" spans="1:13" ht="1.9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168">
        <f>IF(COUNTIFS(Votaciones!$A$2:$A$346,Decisiones!A189,Votaciones!$B$2:$B$346,$X$2)&gt;0,Decisiones!B189,NA())</f>
        <v>44007</v>
      </c>
      <c r="K418" s="151">
        <f>IF(COUNTIFS(Votaciones!$A$2:$A$346,Decisiones!A189,Votaciones!$B$2:$B$346,$X$2)&gt;0,Decisiones!H189,NA())</f>
        <v>5</v>
      </c>
      <c r="L418" s="151">
        <f>IF(COUNTIFS(Votaciones!$A$2:$A$346,Decisiones!A189,Votaciones!$B$2:$B$346,$X$2,Votaciones!$D$2:$D$346,"Disenso restrictivo")&gt;0,1,0)</f>
        <v>0</v>
      </c>
      <c r="M418" s="151">
        <f>IF(COUNTIFS(Votaciones!$A$2:$A$346,Decisiones!A189,Votaciones!$B$2:$B$346,$X$2,Votaciones!$D$2:$D$346,"Disenso acomodaticio")&gt;0,1,0)</f>
        <v>0</v>
      </c>
    </row>
    <row r="419" spans="1:13" ht="1.9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168">
        <f>IF(COUNTIFS(Votaciones!$A$2:$A$346,Decisiones!A190,Votaciones!$B$2:$B$346,$X$2)&gt;0,Decisiones!B190,NA())</f>
        <v>44056</v>
      </c>
      <c r="K419" s="151">
        <f>IF(COUNTIFS(Votaciones!$A$2:$A$346,Decisiones!A190,Votaciones!$B$2:$B$346,$X$2)&gt;0,Decisiones!H190,NA())</f>
        <v>4.5</v>
      </c>
      <c r="L419" s="151">
        <f>IF(COUNTIFS(Votaciones!$A$2:$A$346,Decisiones!A190,Votaciones!$B$2:$B$346,$X$2,Votaciones!$D$2:$D$346,"Disenso restrictivo")&gt;0,1,0)</f>
        <v>0</v>
      </c>
      <c r="M419" s="151">
        <f>IF(COUNTIFS(Votaciones!$A$2:$A$346,Decisiones!A190,Votaciones!$B$2:$B$346,$X$2,Votaciones!$D$2:$D$346,"Disenso acomodaticio")&gt;0,1,0)</f>
        <v>0</v>
      </c>
    </row>
    <row r="420" spans="1:13" ht="1.9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168">
        <f>IF(COUNTIFS(Votaciones!$A$2:$A$346,Decisiones!A191,Votaciones!$B$2:$B$346,$X$2)&gt;0,Decisiones!B191,NA())</f>
        <v>44098</v>
      </c>
      <c r="K420" s="151">
        <f>IF(COUNTIFS(Votaciones!$A$2:$A$346,Decisiones!A191,Votaciones!$B$2:$B$346,$X$2)&gt;0,Decisiones!H191,NA())</f>
        <v>4.25</v>
      </c>
      <c r="L420" s="151">
        <f>IF(COUNTIFS(Votaciones!$A$2:$A$346,Decisiones!A191,Votaciones!$B$2:$B$346,$X$2,Votaciones!$D$2:$D$346,"Disenso restrictivo")&gt;0,1,0)</f>
        <v>0</v>
      </c>
      <c r="M420" s="151">
        <f>IF(COUNTIFS(Votaciones!$A$2:$A$346,Decisiones!A191,Votaciones!$B$2:$B$346,$X$2,Votaciones!$D$2:$D$346,"Disenso acomodaticio")&gt;0,1,0)</f>
        <v>0</v>
      </c>
    </row>
    <row r="421" spans="1:13" ht="1.9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168">
        <f>IF(COUNTIFS(Votaciones!$A$2:$A$346,Decisiones!A192,Votaciones!$B$2:$B$346,$X$2)&gt;0,Decisiones!B192,NA())</f>
        <v>44147</v>
      </c>
      <c r="K421" s="151">
        <f>IF(COUNTIFS(Votaciones!$A$2:$A$346,Decisiones!A192,Votaciones!$B$2:$B$346,$X$2)&gt;0,Decisiones!H192,NA())</f>
        <v>4.25</v>
      </c>
      <c r="L421" s="151">
        <f>IF(COUNTIFS(Votaciones!$A$2:$A$346,Decisiones!A192,Votaciones!$B$2:$B$346,$X$2,Votaciones!$D$2:$D$346,"Disenso restrictivo")&gt;0,1,0)</f>
        <v>0</v>
      </c>
      <c r="M421" s="151">
        <f>IF(COUNTIFS(Votaciones!$A$2:$A$346,Decisiones!A192,Votaciones!$B$2:$B$346,$X$2,Votaciones!$D$2:$D$346,"Disenso acomodaticio")&gt;0,1,0)</f>
        <v>1</v>
      </c>
    </row>
    <row r="422" spans="1:13" ht="1.9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168">
        <f>IF(COUNTIFS(Votaciones!$A$2:$A$346,Decisiones!A193,Votaciones!$B$2:$B$346,$X$2)&gt;0,Decisiones!B193,NA())</f>
        <v>44182</v>
      </c>
      <c r="K422" s="151">
        <f>IF(COUNTIFS(Votaciones!$A$2:$A$346,Decisiones!A193,Votaciones!$B$2:$B$346,$X$2)&gt;0,Decisiones!H193,NA())</f>
        <v>4.25</v>
      </c>
      <c r="L422" s="151">
        <f>IF(COUNTIFS(Votaciones!$A$2:$A$346,Decisiones!A193,Votaciones!$B$2:$B$346,$X$2,Votaciones!$D$2:$D$346,"Disenso restrictivo")&gt;0,1,0)</f>
        <v>0</v>
      </c>
      <c r="M422" s="151">
        <f>IF(COUNTIFS(Votaciones!$A$2:$A$346,Decisiones!A193,Votaciones!$B$2:$B$346,$X$2,Votaciones!$D$2:$D$346,"Disenso acomodaticio")&gt;0,1,0)</f>
        <v>1</v>
      </c>
    </row>
    <row r="423" spans="1:13" ht="1.9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168">
        <f>IF(COUNTIFS(Votaciones!$A$2:$A$346,Decisiones!A194,Votaciones!$B$2:$B$346,$X$2)&gt;0,Decisiones!B194,NA())</f>
        <v>44238</v>
      </c>
      <c r="K423" s="151">
        <f>IF(COUNTIFS(Votaciones!$A$2:$A$346,Decisiones!A194,Votaciones!$B$2:$B$346,$X$2)&gt;0,Decisiones!H194,NA())</f>
        <v>4</v>
      </c>
      <c r="L423" s="151">
        <f>IF(COUNTIFS(Votaciones!$A$2:$A$346,Decisiones!A194,Votaciones!$B$2:$B$346,$X$2,Votaciones!$D$2:$D$346,"Disenso restrictivo")&gt;0,1,0)</f>
        <v>0</v>
      </c>
      <c r="M423" s="151">
        <f>IF(COUNTIFS(Votaciones!$A$2:$A$346,Decisiones!A194,Votaciones!$B$2:$B$346,$X$2,Votaciones!$D$2:$D$346,"Disenso acomodaticio")&gt;0,1,0)</f>
        <v>0</v>
      </c>
    </row>
    <row r="424" spans="1:13" ht="1.9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168">
        <f>IF(COUNTIFS(Votaciones!$A$2:$A$346,Decisiones!A195,Votaciones!$B$2:$B$346,$X$2)&gt;0,Decisiones!B195,NA())</f>
        <v>44280</v>
      </c>
      <c r="K424" s="151">
        <f>IF(COUNTIFS(Votaciones!$A$2:$A$346,Decisiones!A195,Votaciones!$B$2:$B$346,$X$2)&gt;0,Decisiones!H195,NA())</f>
        <v>4</v>
      </c>
      <c r="L424" s="151">
        <f>IF(COUNTIFS(Votaciones!$A$2:$A$346,Decisiones!A195,Votaciones!$B$2:$B$346,$X$2,Votaciones!$D$2:$D$346,"Disenso restrictivo")&gt;0,1,0)</f>
        <v>0</v>
      </c>
      <c r="M424" s="151">
        <f>IF(COUNTIFS(Votaciones!$A$2:$A$346,Decisiones!A195,Votaciones!$B$2:$B$346,$X$2,Votaciones!$D$2:$D$346,"Disenso acomodaticio")&gt;0,1,0)</f>
        <v>0</v>
      </c>
    </row>
    <row r="425" spans="1:13" ht="1.9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168">
        <f>IF(COUNTIFS(Votaciones!$A$2:$A$346,Decisiones!A196,Votaciones!$B$2:$B$346,$X$2)&gt;0,Decisiones!B196,NA())</f>
        <v>44329</v>
      </c>
      <c r="K425" s="151">
        <f>IF(COUNTIFS(Votaciones!$A$2:$A$346,Decisiones!A196,Votaciones!$B$2:$B$346,$X$2)&gt;0,Decisiones!H196,NA())</f>
        <v>4</v>
      </c>
      <c r="L425" s="151">
        <f>IF(COUNTIFS(Votaciones!$A$2:$A$346,Decisiones!A196,Votaciones!$B$2:$B$346,$X$2,Votaciones!$D$2:$D$346,"Disenso restrictivo")&gt;0,1,0)</f>
        <v>0</v>
      </c>
      <c r="M425" s="151">
        <f>IF(COUNTIFS(Votaciones!$A$2:$A$346,Decisiones!A196,Votaciones!$B$2:$B$346,$X$2,Votaciones!$D$2:$D$346,"Disenso acomodaticio")&gt;0,1,0)</f>
        <v>0</v>
      </c>
    </row>
    <row r="426" spans="1:13" ht="1.9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168">
        <f>IF(COUNTIFS(Votaciones!$A$2:$A$346,Decisiones!A197,Votaciones!$B$2:$B$346,$X$2)&gt;0,Decisiones!B197,NA())</f>
        <v>44371</v>
      </c>
      <c r="K426" s="151">
        <f>IF(COUNTIFS(Votaciones!$A$2:$A$346,Decisiones!A197,Votaciones!$B$2:$B$346,$X$2)&gt;0,Decisiones!H197,NA())</f>
        <v>4.25</v>
      </c>
      <c r="L426" s="151">
        <f>IF(COUNTIFS(Votaciones!$A$2:$A$346,Decisiones!A197,Votaciones!$B$2:$B$346,$X$2,Votaciones!$D$2:$D$346,"Disenso restrictivo")&gt;0,1,0)</f>
        <v>0</v>
      </c>
      <c r="M426" s="151">
        <f>IF(COUNTIFS(Votaciones!$A$2:$A$346,Decisiones!A197,Votaciones!$B$2:$B$346,$X$2,Votaciones!$D$2:$D$346,"Disenso acomodaticio")&gt;0,1,0)</f>
        <v>0</v>
      </c>
    </row>
    <row r="427" spans="1:13" ht="1.9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168">
        <f>IF(COUNTIFS(Votaciones!$A$2:$A$346,Decisiones!A198,Votaciones!$B$2:$B$346,$X$2)&gt;0,Decisiones!B198,NA())</f>
        <v>44420</v>
      </c>
      <c r="K427" s="151">
        <f>IF(COUNTIFS(Votaciones!$A$2:$A$346,Decisiones!A198,Votaciones!$B$2:$B$346,$X$2)&gt;0,Decisiones!H198,NA())</f>
        <v>4.5</v>
      </c>
      <c r="L427" s="151">
        <f>IF(COUNTIFS(Votaciones!$A$2:$A$346,Decisiones!A198,Votaciones!$B$2:$B$346,$X$2,Votaciones!$D$2:$D$346,"Disenso restrictivo")&gt;0,1,0)</f>
        <v>0</v>
      </c>
      <c r="M427" s="151">
        <f>IF(COUNTIFS(Votaciones!$A$2:$A$346,Decisiones!A198,Votaciones!$B$2:$B$346,$X$2,Votaciones!$D$2:$D$346,"Disenso acomodaticio")&gt;0,1,0)</f>
        <v>0</v>
      </c>
    </row>
    <row r="428" spans="1:13" ht="1.9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168">
        <f>IF(COUNTIFS(Votaciones!$A$2:$A$346,Decisiones!A199,Votaciones!$B$2:$B$346,$X$2)&gt;0,Decisiones!B199,NA())</f>
        <v>44469</v>
      </c>
      <c r="K428" s="151">
        <f>IF(COUNTIFS(Votaciones!$A$2:$A$346,Decisiones!A199,Votaciones!$B$2:$B$346,$X$2)&gt;0,Decisiones!H199,NA())</f>
        <v>4.75</v>
      </c>
      <c r="L428" s="151">
        <f>IF(COUNTIFS(Votaciones!$A$2:$A$346,Decisiones!A199,Votaciones!$B$2:$B$346,$X$2,Votaciones!$D$2:$D$346,"Disenso restrictivo")&gt;0,1,0)</f>
        <v>0</v>
      </c>
      <c r="M428" s="151">
        <f>IF(COUNTIFS(Votaciones!$A$2:$A$346,Decisiones!A199,Votaciones!$B$2:$B$346,$X$2,Votaciones!$D$2:$D$346,"Disenso acomodaticio")&gt;0,1,0)</f>
        <v>0</v>
      </c>
    </row>
    <row r="429" spans="1:13" ht="1.9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168">
        <f>IF(COUNTIFS(Votaciones!$A$2:$A$346,Decisiones!A200,Votaciones!$B$2:$B$346,$X$2)&gt;0,Decisiones!B200,NA())</f>
        <v>44511</v>
      </c>
      <c r="K429" s="151">
        <f>IF(COUNTIFS(Votaciones!$A$2:$A$346,Decisiones!A200,Votaciones!$B$2:$B$346,$X$2)&gt;0,Decisiones!H200,NA())</f>
        <v>5</v>
      </c>
      <c r="L429" s="151">
        <f>IF(COUNTIFS(Votaciones!$A$2:$A$346,Decisiones!A200,Votaciones!$B$2:$B$346,$X$2,Votaciones!$D$2:$D$346,"Disenso restrictivo")&gt;0,1,0)</f>
        <v>0</v>
      </c>
      <c r="M429" s="151">
        <f>IF(COUNTIFS(Votaciones!$A$2:$A$346,Decisiones!A200,Votaciones!$B$2:$B$346,$X$2,Votaciones!$D$2:$D$346,"Disenso acomodaticio")&gt;0,1,0)</f>
        <v>0</v>
      </c>
    </row>
    <row r="430" spans="1:13" ht="1.9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168">
        <f>IF(COUNTIFS(Votaciones!$A$2:$A$346,Decisiones!A201,Votaciones!$B$2:$B$346,$X$2)&gt;0,Decisiones!B201,NA())</f>
        <v>44546</v>
      </c>
      <c r="K430" s="151">
        <f>IF(COUNTIFS(Votaciones!$A$2:$A$346,Decisiones!A201,Votaciones!$B$2:$B$346,$X$2)&gt;0,Decisiones!H201,NA())</f>
        <v>5.5</v>
      </c>
      <c r="L430" s="151">
        <f>IF(COUNTIFS(Votaciones!$A$2:$A$346,Decisiones!A201,Votaciones!$B$2:$B$346,$X$2,Votaciones!$D$2:$D$346,"Disenso restrictivo")&gt;0,1,0)</f>
        <v>0</v>
      </c>
      <c r="M430" s="151">
        <f>IF(COUNTIFS(Votaciones!$A$2:$A$346,Decisiones!A201,Votaciones!$B$2:$B$346,$X$2,Votaciones!$D$2:$D$346,"Disenso acomodaticio")&gt;0,1,0)</f>
        <v>0</v>
      </c>
    </row>
    <row r="431" spans="1:13" ht="1.9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168">
        <f>IF(COUNTIFS(Votaciones!$A$2:$A$346,Decisiones!A202,Votaciones!$B$2:$B$346,$X$2)&gt;0,Decisiones!B202,NA())</f>
        <v>44602</v>
      </c>
      <c r="K431" s="151">
        <f>IF(COUNTIFS(Votaciones!$A$2:$A$346,Decisiones!A202,Votaciones!$B$2:$B$346,$X$2)&gt;0,Decisiones!H202,NA())</f>
        <v>6</v>
      </c>
      <c r="L431" s="151">
        <f>IF(COUNTIFS(Votaciones!$A$2:$A$346,Decisiones!A202,Votaciones!$B$2:$B$346,$X$2,Votaciones!$D$2:$D$346,"Disenso restrictivo")&gt;0,1,0)</f>
        <v>0</v>
      </c>
      <c r="M431" s="151">
        <f>IF(COUNTIFS(Votaciones!$A$2:$A$346,Decisiones!A202,Votaciones!$B$2:$B$346,$X$2,Votaciones!$D$2:$D$346,"Disenso acomodaticio")&gt;0,1,0)</f>
        <v>0</v>
      </c>
    </row>
    <row r="432" spans="1:13" ht="1.9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168">
        <f>IF(COUNTIFS(Votaciones!$A$2:$A$346,Decisiones!A203,Votaciones!$B$2:$B$346,$X$2)&gt;0,Decisiones!B203,NA())</f>
        <v>44644</v>
      </c>
      <c r="K432" s="151">
        <f>IF(COUNTIFS(Votaciones!$A$2:$A$346,Decisiones!A203,Votaciones!$B$2:$B$346,$X$2)&gt;0,Decisiones!H203,NA())</f>
        <v>6.5</v>
      </c>
      <c r="L432" s="151">
        <f>IF(COUNTIFS(Votaciones!$A$2:$A$346,Decisiones!A203,Votaciones!$B$2:$B$346,$X$2,Votaciones!$D$2:$D$346,"Disenso restrictivo")&gt;0,1,0)</f>
        <v>0</v>
      </c>
      <c r="M432" s="151">
        <f>IF(COUNTIFS(Votaciones!$A$2:$A$346,Decisiones!A203,Votaciones!$B$2:$B$346,$X$2,Votaciones!$D$2:$D$346,"Disenso acomodaticio")&gt;0,1,0)</f>
        <v>0</v>
      </c>
    </row>
    <row r="433" spans="1:13" ht="1.9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168">
        <f>IF(COUNTIFS(Votaciones!$A$2:$A$346,Decisiones!A204,Votaciones!$B$2:$B$346,$X$2)&gt;0,Decisiones!B204,NA())</f>
        <v>44693</v>
      </c>
      <c r="K433" s="151">
        <f>IF(COUNTIFS(Votaciones!$A$2:$A$346,Decisiones!A204,Votaciones!$B$2:$B$346,$X$2)&gt;0,Decisiones!H204,NA())</f>
        <v>7</v>
      </c>
      <c r="L433" s="151">
        <f>IF(COUNTIFS(Votaciones!$A$2:$A$346,Decisiones!A204,Votaciones!$B$2:$B$346,$X$2,Votaciones!$D$2:$D$346,"Disenso restrictivo")&gt;0,1,0)</f>
        <v>0</v>
      </c>
      <c r="M433" s="151">
        <f>IF(COUNTIFS(Votaciones!$A$2:$A$346,Decisiones!A204,Votaciones!$B$2:$B$346,$X$2,Votaciones!$D$2:$D$346,"Disenso acomodaticio")&gt;0,1,0)</f>
        <v>0</v>
      </c>
    </row>
    <row r="434" spans="1:13" ht="1.9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168">
        <f>IF(COUNTIFS(Votaciones!$A$2:$A$346,Decisiones!A205,Votaciones!$B$2:$B$346,$X$2)&gt;0,Decisiones!B205,NA())</f>
        <v>44735</v>
      </c>
      <c r="K434" s="151">
        <f>IF(COUNTIFS(Votaciones!$A$2:$A$346,Decisiones!A205,Votaciones!$B$2:$B$346,$X$2)&gt;0,Decisiones!H205,NA())</f>
        <v>7.75</v>
      </c>
      <c r="L434" s="151">
        <f>IF(COUNTIFS(Votaciones!$A$2:$A$346,Decisiones!A205,Votaciones!$B$2:$B$346,$X$2,Votaciones!$D$2:$D$346,"Disenso restrictivo")&gt;0,1,0)</f>
        <v>0</v>
      </c>
      <c r="M434" s="151">
        <f>IF(COUNTIFS(Votaciones!$A$2:$A$346,Decisiones!A205,Votaciones!$B$2:$B$346,$X$2,Votaciones!$D$2:$D$346,"Disenso acomodaticio")&gt;0,1,0)</f>
        <v>0</v>
      </c>
    </row>
    <row r="435" spans="1:13" ht="1.9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168">
        <f>IF(COUNTIFS(Votaciones!$A$2:$A$346,Decisiones!A206,Votaciones!$B$2:$B$346,$X$2)&gt;0,Decisiones!B206,NA())</f>
        <v>44784</v>
      </c>
      <c r="K435" s="151">
        <f>IF(COUNTIFS(Votaciones!$A$2:$A$346,Decisiones!A206,Votaciones!$B$2:$B$346,$X$2)&gt;0,Decisiones!H206,NA())</f>
        <v>8.5</v>
      </c>
      <c r="L435" s="151">
        <f>IF(COUNTIFS(Votaciones!$A$2:$A$346,Decisiones!A206,Votaciones!$B$2:$B$346,$X$2,Votaciones!$D$2:$D$346,"Disenso restrictivo")&gt;0,1,0)</f>
        <v>0</v>
      </c>
      <c r="M435" s="151">
        <f>IF(COUNTIFS(Votaciones!$A$2:$A$346,Decisiones!A206,Votaciones!$B$2:$B$346,$X$2,Votaciones!$D$2:$D$346,"Disenso acomodaticio")&gt;0,1,0)</f>
        <v>0</v>
      </c>
    </row>
    <row r="436" spans="1:13" ht="1.9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168">
        <f>IF(COUNTIFS(Votaciones!$A$2:$A$346,Decisiones!A207,Votaciones!$B$2:$B$346,$X$2)&gt;0,Decisiones!B207,NA())</f>
        <v>44833</v>
      </c>
      <c r="K436" s="151">
        <f>IF(COUNTIFS(Votaciones!$A$2:$A$346,Decisiones!A207,Votaciones!$B$2:$B$346,$X$2)&gt;0,Decisiones!H207,NA())</f>
        <v>9.25</v>
      </c>
      <c r="L436" s="151">
        <f>IF(COUNTIFS(Votaciones!$A$2:$A$346,Decisiones!A207,Votaciones!$B$2:$B$346,$X$2,Votaciones!$D$2:$D$346,"Disenso restrictivo")&gt;0,1,0)</f>
        <v>0</v>
      </c>
      <c r="M436" s="151">
        <f>IF(COUNTIFS(Votaciones!$A$2:$A$346,Decisiones!A207,Votaciones!$B$2:$B$346,$X$2,Votaciones!$D$2:$D$346,"Disenso acomodaticio")&gt;0,1,0)</f>
        <v>0</v>
      </c>
    </row>
    <row r="437" spans="1:13" ht="1.9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168">
        <f>IF(COUNTIFS(Votaciones!$A$2:$A$346,Decisiones!A208,Votaciones!$B$2:$B$346,$X$2)&gt;0,Decisiones!B208,NA())</f>
        <v>44875</v>
      </c>
      <c r="K437" s="151">
        <f>IF(COUNTIFS(Votaciones!$A$2:$A$346,Decisiones!A208,Votaciones!$B$2:$B$346,$X$2)&gt;0,Decisiones!H208,NA())</f>
        <v>10</v>
      </c>
      <c r="L437" s="151">
        <f>IF(COUNTIFS(Votaciones!$A$2:$A$346,Decisiones!A208,Votaciones!$B$2:$B$346,$X$2,Votaciones!$D$2:$D$346,"Disenso restrictivo")&gt;0,1,0)</f>
        <v>0</v>
      </c>
      <c r="M437" s="151">
        <f>IF(COUNTIFS(Votaciones!$A$2:$A$346,Decisiones!A208,Votaciones!$B$2:$B$346,$X$2,Votaciones!$D$2:$D$346,"Disenso acomodaticio")&gt;0,1,0)</f>
        <v>0</v>
      </c>
    </row>
    <row r="438" spans="1:13" ht="1.9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168">
        <f>IF(COUNTIFS(Votaciones!$A$2:$A$346,Decisiones!A209,Votaciones!$B$2:$B$346,$X$2)&gt;0,Decisiones!B209,NA())</f>
        <v>44910</v>
      </c>
      <c r="K438" s="151">
        <f>IF(COUNTIFS(Votaciones!$A$2:$A$346,Decisiones!A209,Votaciones!$B$2:$B$346,$X$2)&gt;0,Decisiones!H209,NA())</f>
        <v>10.5</v>
      </c>
      <c r="L438" s="151">
        <f>IF(COUNTIFS(Votaciones!$A$2:$A$346,Decisiones!A209,Votaciones!$B$2:$B$346,$X$2,Votaciones!$D$2:$D$346,"Disenso restrictivo")&gt;0,1,0)</f>
        <v>0</v>
      </c>
      <c r="M438" s="151">
        <f>IF(COUNTIFS(Votaciones!$A$2:$A$346,Decisiones!A209,Votaciones!$B$2:$B$346,$X$2,Votaciones!$D$2:$D$346,"Disenso acomodaticio")&gt;0,1,0)</f>
        <v>0</v>
      </c>
    </row>
    <row r="439" spans="1:13" ht="1.9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168">
        <f>IF(COUNTIFS(Votaciones!$A$2:$A$346,Decisiones!A210,Votaciones!$B$2:$B$346,$X$2)&gt;0,Decisiones!B210,NA())</f>
        <v>44966</v>
      </c>
      <c r="K439" s="151">
        <f>IF(COUNTIFS(Votaciones!$A$2:$A$346,Decisiones!A210,Votaciones!$B$2:$B$346,$X$2)&gt;0,Decisiones!H210,NA())</f>
        <v>11</v>
      </c>
      <c r="L439" s="151">
        <f>IF(COUNTIFS(Votaciones!$A$2:$A$346,Decisiones!A210,Votaciones!$B$2:$B$346,$X$2,Votaciones!$D$2:$D$346,"Disenso restrictivo")&gt;0,1,0)</f>
        <v>0</v>
      </c>
      <c r="M439" s="151">
        <f>IF(COUNTIFS(Votaciones!$A$2:$A$346,Decisiones!A210,Votaciones!$B$2:$B$346,$X$2,Votaciones!$D$2:$D$346,"Disenso acomodaticio")&gt;0,1,0)</f>
        <v>0</v>
      </c>
    </row>
    <row r="440" spans="1:13" ht="1.9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168">
        <f>IF(COUNTIFS(Votaciones!$A$2:$A$346,Decisiones!A211,Votaciones!$B$2:$B$346,$X$2)&gt;0,Decisiones!B211,NA())</f>
        <v>45015</v>
      </c>
      <c r="K440" s="151">
        <f>IF(COUNTIFS(Votaciones!$A$2:$A$346,Decisiones!A211,Votaciones!$B$2:$B$346,$X$2)&gt;0,Decisiones!H211,NA())</f>
        <v>11.25</v>
      </c>
      <c r="L440" s="151">
        <f>IF(COUNTIFS(Votaciones!$A$2:$A$346,Decisiones!A211,Votaciones!$B$2:$B$346,$X$2,Votaciones!$D$2:$D$346,"Disenso restrictivo")&gt;0,1,0)</f>
        <v>0</v>
      </c>
      <c r="M440" s="151">
        <f>IF(COUNTIFS(Votaciones!$A$2:$A$346,Decisiones!A211,Votaciones!$B$2:$B$346,$X$2,Votaciones!$D$2:$D$346,"Disenso acomodaticio")&gt;0,1,0)</f>
        <v>0</v>
      </c>
    </row>
    <row r="441" spans="1:13" ht="1.9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168">
        <f>IF(COUNTIFS(Votaciones!$A$2:$A$346,Decisiones!A212,Votaciones!$B$2:$B$346,$X$2)&gt;0,Decisiones!B212,NA())</f>
        <v>45064</v>
      </c>
      <c r="K441" s="151">
        <f>IF(COUNTIFS(Votaciones!$A$2:$A$346,Decisiones!A212,Votaciones!$B$2:$B$346,$X$2)&gt;0,Decisiones!H212,NA())</f>
        <v>11.25</v>
      </c>
      <c r="L441" s="151">
        <f>IF(COUNTIFS(Votaciones!$A$2:$A$346,Decisiones!A212,Votaciones!$B$2:$B$346,$X$2,Votaciones!$D$2:$D$346,"Disenso restrictivo")&gt;0,1,0)</f>
        <v>0</v>
      </c>
      <c r="M441" s="151">
        <f>IF(COUNTIFS(Votaciones!$A$2:$A$346,Decisiones!A212,Votaciones!$B$2:$B$346,$X$2,Votaciones!$D$2:$D$346,"Disenso acomodaticio")&gt;0,1,0)</f>
        <v>0</v>
      </c>
    </row>
    <row r="442" spans="1:13" ht="1.9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168">
        <f>IF(COUNTIFS(Votaciones!$A$2:$A$346,Decisiones!A213,Votaciones!$B$2:$B$346,$X$2)&gt;0,Decisiones!B213,NA())</f>
        <v>45099</v>
      </c>
      <c r="K442" s="151">
        <f>IF(COUNTIFS(Votaciones!$A$2:$A$346,Decisiones!A213,Votaciones!$B$2:$B$346,$X$2)&gt;0,Decisiones!H213,NA())</f>
        <v>11.25</v>
      </c>
      <c r="L442" s="151">
        <f>IF(COUNTIFS(Votaciones!$A$2:$A$346,Decisiones!A213,Votaciones!$B$2:$B$346,$X$2,Votaciones!$D$2:$D$346,"Disenso restrictivo")&gt;0,1,0)</f>
        <v>0</v>
      </c>
      <c r="M442" s="151">
        <f>IF(COUNTIFS(Votaciones!$A$2:$A$346,Decisiones!A213,Votaciones!$B$2:$B$346,$X$2,Votaciones!$D$2:$D$346,"Disenso acomodaticio")&gt;0,1,0)</f>
        <v>0</v>
      </c>
    </row>
    <row r="443" spans="1:13" ht="1.9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168">
        <f>IF(COUNTIFS(Votaciones!$A$2:$A$346,Decisiones!A214,Votaciones!$B$2:$B$346,$X$2)&gt;0,Decisiones!B214,NA())</f>
        <v>45148</v>
      </c>
      <c r="K443" s="151">
        <f>IF(COUNTIFS(Votaciones!$A$2:$A$346,Decisiones!A214,Votaciones!$B$2:$B$346,$X$2)&gt;0,Decisiones!H214,NA())</f>
        <v>11.25</v>
      </c>
      <c r="L443" s="151">
        <f>IF(COUNTIFS(Votaciones!$A$2:$A$346,Decisiones!A214,Votaciones!$B$2:$B$346,$X$2,Votaciones!$D$2:$D$346,"Disenso restrictivo")&gt;0,1,0)</f>
        <v>0</v>
      </c>
      <c r="M443" s="151">
        <f>IF(COUNTIFS(Votaciones!$A$2:$A$346,Decisiones!A214,Votaciones!$B$2:$B$346,$X$2,Votaciones!$D$2:$D$346,"Disenso acomodaticio")&gt;0,1,0)</f>
        <v>0</v>
      </c>
    </row>
    <row r="444" spans="1:13" ht="1.9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168">
        <f>IF(COUNTIFS(Votaciones!$A$2:$A$346,Decisiones!A215,Votaciones!$B$2:$B$346,$X$2)&gt;0,Decisiones!B215,NA())</f>
        <v>45197</v>
      </c>
      <c r="K444" s="151">
        <f>IF(COUNTIFS(Votaciones!$A$2:$A$346,Decisiones!A215,Votaciones!$B$2:$B$346,$X$2)&gt;0,Decisiones!H215,NA())</f>
        <v>11.25</v>
      </c>
      <c r="L444" s="151">
        <f>IF(COUNTIFS(Votaciones!$A$2:$A$346,Decisiones!A215,Votaciones!$B$2:$B$346,$X$2,Votaciones!$D$2:$D$346,"Disenso restrictivo")&gt;0,1,0)</f>
        <v>0</v>
      </c>
      <c r="M444" s="151">
        <f>IF(COUNTIFS(Votaciones!$A$2:$A$346,Decisiones!A215,Votaciones!$B$2:$B$346,$X$2,Votaciones!$D$2:$D$346,"Disenso acomodaticio")&gt;0,1,0)</f>
        <v>0</v>
      </c>
    </row>
    <row r="445" spans="1:13" ht="1.9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168">
        <f>IF(COUNTIFS(Votaciones!$A$2:$A$346,Decisiones!A216,Votaciones!$B$2:$B$346,$X$2)&gt;0,Decisiones!B216,NA())</f>
        <v>45239</v>
      </c>
      <c r="K445" s="151">
        <f>IF(COUNTIFS(Votaciones!$A$2:$A$346,Decisiones!A216,Votaciones!$B$2:$B$346,$X$2)&gt;0,Decisiones!H216,NA())</f>
        <v>11.25</v>
      </c>
      <c r="L445" s="151">
        <f>IF(COUNTIFS(Votaciones!$A$2:$A$346,Decisiones!A216,Votaciones!$B$2:$B$346,$X$2,Votaciones!$D$2:$D$346,"Disenso restrictivo")&gt;0,1,0)</f>
        <v>0</v>
      </c>
      <c r="M445" s="151">
        <f>IF(COUNTIFS(Votaciones!$A$2:$A$346,Decisiones!A216,Votaciones!$B$2:$B$346,$X$2,Votaciones!$D$2:$D$346,"Disenso acomodaticio")&gt;0,1,0)</f>
        <v>0</v>
      </c>
    </row>
    <row r="446" spans="1:13" ht="1.9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168">
        <f>IF(COUNTIFS(Votaciones!$A$2:$A$346,Decisiones!A217,Votaciones!$B$2:$B$346,$X$2)&gt;0,Decisiones!B217,NA())</f>
        <v>45274</v>
      </c>
      <c r="K446" s="151">
        <f>IF(COUNTIFS(Votaciones!$A$2:$A$346,Decisiones!A217,Votaciones!$B$2:$B$346,$X$2)&gt;0,Decisiones!H217,NA())</f>
        <v>11.25</v>
      </c>
      <c r="L446" s="151">
        <f>IF(COUNTIFS(Votaciones!$A$2:$A$346,Decisiones!A217,Votaciones!$B$2:$B$346,$X$2,Votaciones!$D$2:$D$346,"Disenso restrictivo")&gt;0,1,0)</f>
        <v>0</v>
      </c>
      <c r="M446" s="151">
        <f>IF(COUNTIFS(Votaciones!$A$2:$A$346,Decisiones!A217,Votaciones!$B$2:$B$346,$X$2,Votaciones!$D$2:$D$346,"Disenso acomodaticio")&gt;0,1,0)</f>
        <v>0</v>
      </c>
    </row>
    <row r="447" spans="1:13" ht="1.9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168">
        <f>IF(COUNTIFS(Votaciones!$A$2:$A$346,Decisiones!A218,Votaciones!$B$2:$B$346,$X$2)&gt;0,Decisiones!B218,NA())</f>
        <v>45330</v>
      </c>
      <c r="K447" s="151">
        <f>IF(COUNTIFS(Votaciones!$A$2:$A$346,Decisiones!A218,Votaciones!$B$2:$B$346,$X$2)&gt;0,Decisiones!H218,NA())</f>
        <v>11.25</v>
      </c>
      <c r="L447" s="151">
        <f>IF(COUNTIFS(Votaciones!$A$2:$A$346,Decisiones!A218,Votaciones!$B$2:$B$346,$X$2,Votaciones!$D$2:$D$346,"Disenso restrictivo")&gt;0,1,0)</f>
        <v>0</v>
      </c>
      <c r="M447" s="151">
        <f>IF(COUNTIFS(Votaciones!$A$2:$A$346,Decisiones!A218,Votaciones!$B$2:$B$346,$X$2,Votaciones!$D$2:$D$346,"Disenso acomodaticio")&gt;0,1,0)</f>
        <v>0</v>
      </c>
    </row>
    <row r="448" spans="1:13" ht="1.9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168">
        <f>IF(COUNTIFS(Votaciones!$A$2:$A$346,Decisiones!A219,Votaciones!$B$2:$B$346,$X$2)&gt;0,Decisiones!B219,NA())</f>
        <v>45372</v>
      </c>
      <c r="K448" s="151">
        <f>IF(COUNTIFS(Votaciones!$A$2:$A$346,Decisiones!A219,Votaciones!$B$2:$B$346,$X$2)&gt;0,Decisiones!H219,NA())</f>
        <v>11</v>
      </c>
      <c r="L448" s="151">
        <f>IF(COUNTIFS(Votaciones!$A$2:$A$346,Decisiones!A219,Votaciones!$B$2:$B$346,$X$2,Votaciones!$D$2:$D$346,"Disenso restrictivo")&gt;0,1,0)</f>
        <v>0</v>
      </c>
      <c r="M448" s="151">
        <f>IF(COUNTIFS(Votaciones!$A$2:$A$346,Decisiones!A219,Votaciones!$B$2:$B$346,$X$2,Votaciones!$D$2:$D$346,"Disenso acomodaticio")&gt;0,1,0)</f>
        <v>0</v>
      </c>
    </row>
    <row r="449" spans="1:13" ht="1.9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168">
        <f>IF(COUNTIFS(Votaciones!$A$2:$A$346,Decisiones!A220,Votaciones!$B$2:$B$346,$X$2)&gt;0,Decisiones!B220,NA())</f>
        <v>45421</v>
      </c>
      <c r="K449" s="151">
        <f>IF(COUNTIFS(Votaciones!$A$2:$A$346,Decisiones!A220,Votaciones!$B$2:$B$346,$X$2)&gt;0,Decisiones!H220,NA())</f>
        <v>11</v>
      </c>
      <c r="L449" s="151">
        <f>IF(COUNTIFS(Votaciones!$A$2:$A$346,Decisiones!A220,Votaciones!$B$2:$B$346,$X$2,Votaciones!$D$2:$D$346,"Disenso restrictivo")&gt;0,1,0)</f>
        <v>0</v>
      </c>
      <c r="M449" s="151">
        <f>IF(COUNTIFS(Votaciones!$A$2:$A$346,Decisiones!A220,Votaciones!$B$2:$B$346,$X$2,Votaciones!$D$2:$D$346,"Disenso acomodaticio")&gt;0,1,0)</f>
        <v>0</v>
      </c>
    </row>
    <row r="450" spans="1:13" ht="1.9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168">
        <f>IF(COUNTIFS(Votaciones!$A$2:$A$346,Decisiones!A221,Votaciones!$B$2:$B$346,$X$2)&gt;0,Decisiones!B221,NA())</f>
        <v>45470</v>
      </c>
      <c r="K450" s="151">
        <f>IF(COUNTIFS(Votaciones!$A$2:$A$346,Decisiones!A221,Votaciones!$B$2:$B$346,$X$2)&gt;0,Decisiones!H221,NA())</f>
        <v>11</v>
      </c>
      <c r="L450" s="151">
        <f>IF(COUNTIFS(Votaciones!$A$2:$A$346,Decisiones!A221,Votaciones!$B$2:$B$346,$X$2,Votaciones!$D$2:$D$346,"Disenso restrictivo")&gt;0,1,0)</f>
        <v>0</v>
      </c>
      <c r="M450" s="151">
        <f>IF(COUNTIFS(Votaciones!$A$2:$A$346,Decisiones!A221,Votaciones!$B$2:$B$346,$X$2,Votaciones!$D$2:$D$346,"Disenso acomodaticio")&gt;0,1,0)</f>
        <v>0</v>
      </c>
    </row>
    <row r="451" spans="1:13" ht="1.9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168">
        <f>IF(COUNTIFS(Votaciones!$A$2:$A$346,Decisiones!A222,Votaciones!$B$2:$B$346,$X$2)&gt;0,Decisiones!B222,NA())</f>
        <v>45512</v>
      </c>
      <c r="K451" s="151">
        <f>IF(COUNTIFS(Votaciones!$A$2:$A$346,Decisiones!A222,Votaciones!$B$2:$B$346,$X$2)&gt;0,Decisiones!H222,NA())</f>
        <v>10.75</v>
      </c>
      <c r="L451" s="151">
        <f>IF(COUNTIFS(Votaciones!$A$2:$A$346,Decisiones!A222,Votaciones!$B$2:$B$346,$X$2,Votaciones!$D$2:$D$346,"Disenso restrictivo")&gt;0,1,0)</f>
        <v>1</v>
      </c>
      <c r="M451" s="151">
        <f>IF(COUNTIFS(Votaciones!$A$2:$A$346,Decisiones!A222,Votaciones!$B$2:$B$346,$X$2,Votaciones!$D$2:$D$346,"Disenso acomodaticio")&gt;0,1,0)</f>
        <v>0</v>
      </c>
    </row>
    <row r="452" spans="1:13" ht="1.9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168">
        <f>IF(COUNTIFS(Votaciones!$A$2:$A$346,Decisiones!A223,Votaciones!$B$2:$B$346,$X$2)&gt;0,Decisiones!B223,NA())</f>
        <v>45561</v>
      </c>
      <c r="K452" s="151">
        <f>IF(COUNTIFS(Votaciones!$A$2:$A$346,Decisiones!A223,Votaciones!$B$2:$B$346,$X$2)&gt;0,Decisiones!H223,NA())</f>
        <v>10.5</v>
      </c>
      <c r="L452" s="151">
        <f>IF(COUNTIFS(Votaciones!$A$2:$A$346,Decisiones!A223,Votaciones!$B$2:$B$346,$X$2,Votaciones!$D$2:$D$346,"Disenso restrictivo")&gt;0,1,0)</f>
        <v>1</v>
      </c>
      <c r="M452" s="151">
        <f>IF(COUNTIFS(Votaciones!$A$2:$A$346,Decisiones!A223,Votaciones!$B$2:$B$346,$X$2,Votaciones!$D$2:$D$346,"Disenso acomodaticio")&gt;0,1,0)</f>
        <v>0</v>
      </c>
    </row>
    <row r="453" spans="1:13" ht="1.9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168">
        <f>IF(COUNTIFS(Votaciones!$A$2:$A$346,Decisiones!A224,Votaciones!$B$2:$B$346,$X$2)&gt;0,Decisiones!B224,NA())</f>
        <v>45610</v>
      </c>
      <c r="K453" s="151">
        <f>IF(COUNTIFS(Votaciones!$A$2:$A$346,Decisiones!A224,Votaciones!$B$2:$B$346,$X$2)&gt;0,Decisiones!H224,NA())</f>
        <v>10.25</v>
      </c>
      <c r="L453" s="151">
        <f>IF(COUNTIFS(Votaciones!$A$2:$A$346,Decisiones!A224,Votaciones!$B$2:$B$346,$X$2,Votaciones!$D$2:$D$346,"Disenso restrictivo")&gt;0,1,0)</f>
        <v>0</v>
      </c>
      <c r="M453" s="151">
        <f>IF(COUNTIFS(Votaciones!$A$2:$A$346,Decisiones!A224,Votaciones!$B$2:$B$346,$X$2,Votaciones!$D$2:$D$346,"Disenso acomodaticio")&gt;0,1,0)</f>
        <v>0</v>
      </c>
    </row>
    <row r="454" spans="1:13" ht="1.9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168">
        <f>IF(COUNTIFS(Votaciones!$A$2:$A$346,Decisiones!A225,Votaciones!$B$2:$B$346,$X$2)&gt;0,Decisiones!B225,NA())</f>
        <v>45645</v>
      </c>
      <c r="K454" s="151">
        <f>IF(COUNTIFS(Votaciones!$A$2:$A$346,Decisiones!A225,Votaciones!$B$2:$B$346,$X$2)&gt;0,Decisiones!H225,NA())</f>
        <v>10</v>
      </c>
      <c r="L454" s="151">
        <f>IF(COUNTIFS(Votaciones!$A$2:$A$346,Decisiones!A225,Votaciones!$B$2:$B$346,$X$2,Votaciones!$D$2:$D$346,"Disenso restrictivo")&gt;0,1,0)</f>
        <v>0</v>
      </c>
      <c r="M454" s="151">
        <f>IF(COUNTIFS(Votaciones!$A$2:$A$346,Decisiones!A225,Votaciones!$B$2:$B$346,$X$2,Votaciones!$D$2:$D$346,"Disenso acomodaticio")&gt;0,1,0)</f>
        <v>0</v>
      </c>
    </row>
    <row r="455" spans="1:13" ht="1.9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168">
        <f>IF(COUNTIFS(Votaciones!$A$2:$A$346,Decisiones!A226,Votaciones!$B$2:$B$346,$X$2)&gt;0,Decisiones!B226,NA())</f>
        <v>45694</v>
      </c>
      <c r="K455" s="151">
        <f>IF(COUNTIFS(Votaciones!$A$2:$A$346,Decisiones!A226,Votaciones!$B$2:$B$346,$X$2)&gt;0,Decisiones!H226,NA())</f>
        <v>9.5</v>
      </c>
      <c r="L455" s="151">
        <f>IF(COUNTIFS(Votaciones!$A$2:$A$346,Decisiones!A226,Votaciones!$B$2:$B$346,$X$2,Votaciones!$D$2:$D$346,"Disenso restrictivo")&gt;0,1,0)</f>
        <v>1</v>
      </c>
      <c r="M455" s="151">
        <f>IF(COUNTIFS(Votaciones!$A$2:$A$346,Decisiones!A226,Votaciones!$B$2:$B$346,$X$2,Votaciones!$D$2:$D$346,"Disenso acomodaticio")&gt;0,1,0)</f>
        <v>0</v>
      </c>
    </row>
    <row r="456" spans="1:13" ht="1.9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168">
        <f>IF(COUNTIFS(Votaciones!$A$2:$A$346,Decisiones!A227,Votaciones!$B$2:$B$346,$X$2)&gt;0,Decisiones!B227,NA())</f>
        <v>45743</v>
      </c>
      <c r="K456" s="151">
        <f>IF(COUNTIFS(Votaciones!$A$2:$A$346,Decisiones!A227,Votaciones!$B$2:$B$346,$X$2)&gt;0,Decisiones!H227,NA())</f>
        <v>9</v>
      </c>
      <c r="L456" s="151">
        <f>IF(COUNTIFS(Votaciones!$A$2:$A$346,Decisiones!A227,Votaciones!$B$2:$B$346,$X$2,Votaciones!$D$2:$D$346,"Disenso restrictivo")&gt;0,1,0)</f>
        <v>0</v>
      </c>
      <c r="M456" s="151">
        <f>IF(COUNTIFS(Votaciones!$A$2:$A$346,Decisiones!A227,Votaciones!$B$2:$B$346,$X$2,Votaciones!$D$2:$D$346,"Disenso acomodaticio")&gt;0,1,0)</f>
        <v>0</v>
      </c>
    </row>
    <row r="457" spans="1:13" ht="1.9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168">
        <f>IF(COUNTIFS(Votaciones!$A$2:$A$346,Decisiones!A228,Votaciones!$B$2:$B$346,$X$2)&gt;0,Decisiones!B228,NA())</f>
        <v>45792</v>
      </c>
      <c r="K457" s="151">
        <f>IF(COUNTIFS(Votaciones!$A$2:$A$346,Decisiones!A228,Votaciones!$B$2:$B$346,$X$2)&gt;0,Decisiones!H228,NA())</f>
        <v>8.5</v>
      </c>
      <c r="L457" s="151">
        <f>IF(COUNTIFS(Votaciones!$A$2:$A$346,Decisiones!A228,Votaciones!$B$2:$B$346,$X$2,Votaciones!$D$2:$D$346,"Disenso restrictivo")&gt;0,1,0)</f>
        <v>0</v>
      </c>
      <c r="M457" s="151">
        <f>IF(COUNTIFS(Votaciones!$A$2:$A$346,Decisiones!A228,Votaciones!$B$2:$B$346,$X$2,Votaciones!$D$2:$D$346,"Disenso acomodaticio")&gt;0,1,0)</f>
        <v>0</v>
      </c>
    </row>
    <row r="458" spans="1:13" ht="1.9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168">
        <f>IF(COUNTIFS(Votaciones!$A$2:$A$346,Decisiones!A229,Votaciones!$B$2:$B$346,$X$2)&gt;0,Decisiones!B229,NA())</f>
        <v>45834</v>
      </c>
      <c r="K458" s="151">
        <f>IF(COUNTIFS(Votaciones!$A$2:$A$346,Decisiones!A229,Votaciones!$B$2:$B$346,$X$2)&gt;0,Decisiones!H229,NA())</f>
        <v>8</v>
      </c>
      <c r="L458" s="151">
        <f>IF(COUNTIFS(Votaciones!$A$2:$A$346,Decisiones!A229,Votaciones!$B$2:$B$346,$X$2,Votaciones!$D$2:$D$346,"Disenso restrictivo")&gt;0,1,0)</f>
        <v>1</v>
      </c>
      <c r="M458" s="151">
        <f>IF(COUNTIFS(Votaciones!$A$2:$A$346,Decisiones!A229,Votaciones!$B$2:$B$346,$X$2,Votaciones!$D$2:$D$346,"Disenso acomodaticio")&gt;0,1,0)</f>
        <v>0</v>
      </c>
    </row>
    <row r="459" spans="1:13" ht="1.9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168">
        <f>IF(COUNTIFS(Votaciones!$A$2:$A$346,Decisiones!A230,Votaciones!$B$2:$B$346,$X$2)&gt;0,Decisiones!B230,NA())</f>
        <v>45876</v>
      </c>
      <c r="K459" s="151">
        <f>IF(COUNTIFS(Votaciones!$A$2:$A$346,Decisiones!A230,Votaciones!$B$2:$B$346,$X$2)&gt;0,Decisiones!H230,NA())</f>
        <v>7.75</v>
      </c>
      <c r="L459" s="151">
        <f>IF(COUNTIFS(Votaciones!$A$2:$A$346,Decisiones!A230,Votaciones!$B$2:$B$346,$X$2,Votaciones!$D$2:$D$346,"Disenso restrictivo")&gt;0,1,0)</f>
        <v>1</v>
      </c>
      <c r="M459" s="151">
        <f>IF(COUNTIFS(Votaciones!$A$2:$A$346,Decisiones!A230,Votaciones!$B$2:$B$346,$X$2,Votaciones!$D$2:$D$346,"Disenso acomodaticio")&gt;0,1,0)</f>
        <v>0</v>
      </c>
    </row>
    <row r="460" spans="1:13" ht="1.9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168">
        <f>IF(COUNTIFS(Votaciones!$A$2:$A$346,Decisiones!A231,Votaciones!$B$2:$B$346,$X$2)&gt;0,Decisiones!B231,NA())</f>
        <v>45925</v>
      </c>
      <c r="K460" s="151">
        <f>IF(COUNTIFS(Votaciones!$A$2:$A$346,Decisiones!A231,Votaciones!$B$2:$B$346,$X$2)&gt;0,Decisiones!H231,NA())</f>
        <v>7.5</v>
      </c>
      <c r="L460" s="151">
        <f>IF(COUNTIFS(Votaciones!$A$2:$A$346,Decisiones!A231,Votaciones!$B$2:$B$346,$X$2,Votaciones!$D$2:$D$346,"Disenso restrictivo")&gt;0,1,0)</f>
        <v>1</v>
      </c>
      <c r="M460" s="151">
        <f>IF(COUNTIFS(Votaciones!$A$2:$A$346,Decisiones!A231,Votaciones!$B$2:$B$346,$X$2,Votaciones!$D$2:$D$346,"Disenso acomodaticio")&gt;0,1,0)</f>
        <v>0</v>
      </c>
    </row>
    <row r="461" spans="1:13" ht="1.9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168">
        <f>IF(COUNTIFS(Votaciones!$A$2:$A$346,Decisiones!A232,Votaciones!$B$2:$B$346,$X$2)&gt;0,Decisiones!B232,NA())</f>
        <v>45967</v>
      </c>
      <c r="K461" s="151">
        <f>IF(COUNTIFS(Votaciones!$A$2:$A$346,Decisiones!A232,Votaciones!$B$2:$B$346,$X$2)&gt;0,Decisiones!H232,NA())</f>
        <v>7.25</v>
      </c>
      <c r="L461" s="151">
        <f>IF(COUNTIFS(Votaciones!$A$2:$A$346,Decisiones!A232,Votaciones!$B$2:$B$346,$X$2,Votaciones!$D$2:$D$346,"Disenso restrictivo")&gt;0,1,0)</f>
        <v>1</v>
      </c>
      <c r="M461" s="151">
        <f>IF(COUNTIFS(Votaciones!$A$2:$A$346,Decisiones!A232,Votaciones!$B$2:$B$346,$X$2,Votaciones!$D$2:$D$346,"Disenso acomodaticio")&gt;0,1,0)</f>
        <v>0</v>
      </c>
    </row>
    <row r="462" spans="1:13" ht="1.9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168">
        <f>IF(COUNTIFS(Votaciones!$A$2:$A$346,Decisiones!A233,Votaciones!$B$2:$B$346,$X$2)&gt;0,Decisiones!B233,NA())</f>
        <v>46009</v>
      </c>
      <c r="K462" s="151">
        <f>IF(COUNTIFS(Votaciones!$A$2:$A$346,Decisiones!A233,Votaciones!$B$2:$B$346,$X$2)&gt;0,Decisiones!H233,NA())</f>
        <v>7</v>
      </c>
      <c r="L462" s="151">
        <f>IF(COUNTIFS(Votaciones!$A$2:$A$346,Decisiones!A233,Votaciones!$B$2:$B$346,$X$2,Votaciones!$D$2:$D$346,"Disenso restrictivo")&gt;0,1,0)</f>
        <v>1</v>
      </c>
      <c r="M462" s="151">
        <f>IF(COUNTIFS(Votaciones!$A$2:$A$346,Decisiones!A233,Votaciones!$B$2:$B$346,$X$2,Votaciones!$D$2:$D$346,"Disenso acomodaticio")&gt;0,1,0)</f>
        <v>0</v>
      </c>
    </row>
    <row r="463" spans="1:13" ht="1.9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168">
        <f>IF(COUNTIFS(Votaciones!$A$2:$A$346,Decisiones!A234,Votaciones!$B$2:$B$346,$X$2)&gt;0,Decisiones!B234,NA())</f>
        <v>46058</v>
      </c>
      <c r="K463" s="151">
        <f>IF(COUNTIFS(Votaciones!$A$2:$A$346,Decisiones!A234,Votaciones!$B$2:$B$346,$X$2)&gt;0,Decisiones!H234,NA())</f>
        <v>7</v>
      </c>
      <c r="L463" s="151">
        <f>IF(COUNTIFS(Votaciones!$A$2:$A$346,Decisiones!A234,Votaciones!$B$2:$B$346,$X$2,Votaciones!$D$2:$D$346,"Disenso restrictivo")&gt;0,1,0)</f>
        <v>0</v>
      </c>
      <c r="M463" s="151">
        <f>IF(COUNTIFS(Votaciones!$A$2:$A$346,Decisiones!A234,Votaciones!$B$2:$B$346,$X$2,Votaciones!$D$2:$D$346,"Disenso acomodaticio")&gt;0,1,0)</f>
        <v>0</v>
      </c>
    </row>
    <row r="464" spans="1:13" ht="1.9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168">
        <f>IF(COUNTIFS(Votaciones!$A$2:$A$346,Decisiones!A235,Votaciones!$B$2:$B$346,$X$2)&gt;0,Decisiones!B235,NA())</f>
        <v>46107</v>
      </c>
      <c r="K464" s="151">
        <f>IF(COUNTIFS(Votaciones!$A$2:$A$346,Decisiones!A235,Votaciones!$B$2:$B$346,$X$2)&gt;0,Decisiones!H235,NA())</f>
        <v>6.75</v>
      </c>
      <c r="L464" s="151">
        <f>IF(COUNTIFS(Votaciones!$A$2:$A$346,Decisiones!A235,Votaciones!$B$2:$B$346,$X$2,Votaciones!$D$2:$D$346,"Disenso restrictivo")&gt;0,1,0)</f>
        <v>1</v>
      </c>
      <c r="M464" s="151">
        <f>IF(COUNTIFS(Votaciones!$A$2:$A$346,Decisiones!A235,Votaciones!$B$2:$B$346,$X$2,Votaciones!$D$2:$D$346,"Disenso acomodaticio")&gt;0,1,0)</f>
        <v>0</v>
      </c>
    </row>
    <row r="465" spans="1:13" ht="1.9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168">
        <f>IF(COUNTIFS(Votaciones!$A$2:$A$346,Decisiones!A236,Votaciones!$B$2:$B$346,$X$2)&gt;0,Decisiones!B236,NA())</f>
        <v>46149</v>
      </c>
      <c r="K465" s="151">
        <f>IF(COUNTIFS(Votaciones!$A$2:$A$346,Decisiones!A236,Votaciones!$B$2:$B$346,$X$2)&gt;0,Decisiones!H236,NA())</f>
        <v>6.5</v>
      </c>
      <c r="L465" s="151">
        <f>IF(COUNTIFS(Votaciones!$A$2:$A$346,Decisiones!A236,Votaciones!$B$2:$B$346,$X$2,Votaciones!$D$2:$D$346,"Disenso restrictivo")&gt;0,1,0)</f>
        <v>1</v>
      </c>
      <c r="M465" s="151">
        <f>IF(COUNTIFS(Votaciones!$A$2:$A$346,Decisiones!A236,Votaciones!$B$2:$B$346,$X$2,Votaciones!$D$2:$D$346,"Disenso acomodaticio")&gt;0,1,0)</f>
        <v>0</v>
      </c>
    </row>
    <row r="466" spans="1:13" ht="1.9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168">
        <f>IF(COUNTIFS(Votaciones!$A$2:$A$346,Decisiones!A237,Votaciones!$B$2:$B$346,$X$2)&gt;0,Decisiones!B237,NA())</f>
        <v>46198</v>
      </c>
      <c r="K466" s="151">
        <f>IF(COUNTIFS(Votaciones!$A$2:$A$346,Decisiones!A237,Votaciones!$B$2:$B$346,$X$2)&gt;0,Decisiones!H237,NA())</f>
        <v>6.5</v>
      </c>
      <c r="L466" s="151">
        <f>IF(COUNTIFS(Votaciones!$A$2:$A$346,Decisiones!A237,Votaciones!$B$2:$B$346,$X$2,Votaciones!$D$2:$D$346,"Disenso restrictivo")&gt;0,1,0)</f>
        <v>0</v>
      </c>
      <c r="M466" s="151">
        <f>IF(COUNTIFS(Votaciones!$A$2:$A$346,Decisiones!A237,Votaciones!$B$2:$B$346,$X$2,Votaciones!$D$2:$D$346,"Disenso acomodaticio")&gt;0,1,0)</f>
        <v>0</v>
      </c>
    </row>
    <row r="467" spans="1:13" ht="1.9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</row>
    <row r="468" spans="1:13" ht="1.9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</row>
    <row r="469" spans="1:13" ht="1.9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</row>
    <row r="470" spans="1:13" ht="1.9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</row>
    <row r="471" spans="1:13" ht="1.9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</row>
    <row r="472" spans="1:13" ht="1.9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</row>
    <row r="473" spans="1:13" ht="1.9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</row>
    <row r="474" spans="1:13" ht="1.9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 spans="1:13" ht="1.9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</row>
    <row r="476" spans="1:13" ht="1.9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</row>
    <row r="477" spans="1:13" ht="1.9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</row>
    <row r="478" spans="1:13" ht="1.9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</row>
    <row r="479" spans="1:13" ht="1.9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</row>
    <row r="480" spans="1:13" ht="1.9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</row>
    <row r="481" spans="1:13" ht="1.9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</row>
    <row r="482" spans="1:13" ht="1.9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 spans="1:13" ht="1.9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</row>
    <row r="484" spans="1:13" ht="1.9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</row>
    <row r="485" spans="1:13" ht="1.9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</row>
    <row r="486" spans="1:13" ht="1.9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</row>
    <row r="487" spans="1:13" ht="1.9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</row>
    <row r="488" spans="1:13" ht="1.9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</row>
    <row r="489" spans="1:13" ht="1.9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</row>
    <row r="490" spans="1:13" ht="1.9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</row>
    <row r="491" spans="1:13" ht="1.9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</row>
    <row r="492" spans="1:13" ht="1.9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</row>
    <row r="493" spans="1:13" ht="1.9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</row>
    <row r="494" spans="1:13" ht="1.9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</row>
    <row r="495" spans="1:13" ht="1.9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</row>
    <row r="496" spans="1:13" ht="1.9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</row>
    <row r="497" spans="1:13" ht="1.9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</row>
    <row r="498" spans="1:13" ht="1.9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</row>
    <row r="499" spans="1:13" ht="1.9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</row>
    <row r="500" spans="1:13" ht="1.9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</row>
    <row r="501" spans="1:13" ht="1.9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</row>
    <row r="502" spans="1:13" ht="1.9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</row>
    <row r="503" spans="1:13" ht="1.9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</row>
    <row r="504" spans="1:13" ht="1.9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</row>
    <row r="505" spans="1:13" ht="1.9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</row>
    <row r="506" spans="1:13" ht="1.9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</row>
    <row r="507" spans="1:13" ht="1.9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</row>
    <row r="508" spans="1:13" ht="1.9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</row>
    <row r="509" spans="1:13" ht="1.9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</row>
    <row r="510" spans="1:13" ht="1.9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</row>
    <row r="511" spans="1:13" ht="1.9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</row>
    <row r="512" spans="1:13" ht="1.9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</row>
    <row r="513" spans="1:13" ht="1.9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</row>
    <row r="514" spans="1:13" ht="1.9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</row>
    <row r="515" spans="1:13" ht="1.9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</row>
    <row r="516" spans="1:13" ht="1.9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 spans="1:13" ht="1.9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 spans="1:13" ht="1.9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</row>
    <row r="519" spans="1:13" ht="1.9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</row>
    <row r="520" spans="1:13" ht="1.9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</row>
    <row r="521" spans="1:13" ht="1.9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</row>
    <row r="522" spans="1:13" ht="1.9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</row>
    <row r="523" spans="1:13" ht="1.9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</row>
    <row r="524" spans="1:13" ht="1.9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</row>
    <row r="525" spans="1:13" ht="1.9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</row>
    <row r="526" spans="1:13" ht="1.9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</row>
    <row r="527" spans="1:13" ht="1.9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</row>
    <row r="528" spans="1:13" ht="1.9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</row>
    <row r="529" spans="1:13" ht="1.9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</row>
    <row r="530" spans="1:13" ht="1.9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</row>
    <row r="531" spans="1:13" ht="1.9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</row>
    <row r="532" spans="1:13" ht="1.9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</row>
    <row r="533" spans="1:13" ht="1.9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</row>
    <row r="534" spans="1:13" ht="1.9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</row>
    <row r="535" spans="1:13" ht="1.9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</row>
    <row r="536" spans="1:13" ht="1.9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</row>
    <row r="537" spans="1:13" ht="1.9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</row>
    <row r="538" spans="1:13" ht="1.9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</row>
    <row r="539" spans="1:13" ht="1.9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</row>
    <row r="540" spans="1:13" ht="1.9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</row>
    <row r="541" spans="1:13" ht="1.9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</row>
    <row r="542" spans="1:13" ht="1.9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</row>
    <row r="543" spans="1:13" ht="1.9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</row>
    <row r="544" spans="1:13" ht="1.9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</row>
    <row r="545" spans="1:13" ht="1.9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</row>
    <row r="546" spans="1:13" ht="1.9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</row>
    <row r="547" spans="1:13" ht="1.9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</row>
    <row r="548" spans="1:13" ht="1.9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</row>
    <row r="549" spans="1:13" ht="1.9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</row>
    <row r="550" spans="1:13" ht="1.9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 spans="1:13" ht="1.9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</row>
    <row r="552" spans="1:13" ht="1.9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</row>
    <row r="553" spans="1:13" ht="1.9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</row>
    <row r="554" spans="1:13" ht="1.9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</row>
    <row r="555" spans="1:13" ht="1.9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</row>
    <row r="556" spans="1:13" ht="1.9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</row>
    <row r="557" spans="1:13" ht="1.9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</row>
    <row r="558" spans="1:13" ht="1.9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</row>
    <row r="559" spans="1:13" ht="1.9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</row>
    <row r="560" spans="1:13" ht="1.9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</row>
    <row r="561" spans="1:13" ht="1.9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</row>
    <row r="562" spans="1:13" ht="1.9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</row>
    <row r="563" spans="1:13" ht="1.9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</row>
    <row r="564" spans="1:13" ht="1.9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</row>
    <row r="565" spans="1:13" ht="1.9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</row>
    <row r="566" spans="1:13" ht="1.9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</row>
    <row r="567" spans="1:13" ht="1.9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</row>
    <row r="568" spans="1:13" ht="1.9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</row>
    <row r="569" spans="1:13" ht="1.9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</row>
    <row r="570" spans="1:13" ht="1.9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</row>
    <row r="571" spans="1:13" ht="1.9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</row>
    <row r="572" spans="1:13" ht="1.9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</row>
    <row r="573" spans="1:13" ht="1.9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</row>
    <row r="574" spans="1:13" ht="1.9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</row>
    <row r="575" spans="1:13" ht="1.9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</row>
    <row r="576" spans="1:13" ht="1.9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</row>
    <row r="577" spans="1:13" ht="1.9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</row>
    <row r="578" spans="1:13" ht="1.9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</row>
    <row r="579" spans="1:13" ht="1.9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</row>
    <row r="580" spans="1:13" ht="1.9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</row>
    <row r="581" spans="1:13" ht="1.9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</row>
    <row r="582" spans="1:13" ht="1.9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</row>
    <row r="583" spans="1:13" ht="1.9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</row>
    <row r="584" spans="1:13" ht="1.9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 spans="1:13" ht="1.9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</row>
    <row r="586" spans="1:13" ht="1.9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</row>
    <row r="587" spans="1:13" ht="1.9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</row>
    <row r="588" spans="1:13" ht="1.9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</row>
    <row r="589" spans="1:13" ht="1.9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</row>
    <row r="590" spans="1:13" ht="1.9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</row>
    <row r="591" spans="1:13" ht="1.9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</row>
    <row r="592" spans="1:13" ht="1.9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</row>
    <row r="593" spans="1:13" ht="1.9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</row>
    <row r="594" spans="1:13" ht="1.9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</row>
    <row r="595" spans="1:13" ht="1.9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</row>
    <row r="596" spans="1:13" ht="1.9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</row>
    <row r="597" spans="1:13" ht="1.9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</row>
    <row r="598" spans="1:13" ht="1.9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</row>
    <row r="599" spans="1:13" ht="1.9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</row>
    <row r="600" spans="1:13" ht="1.9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</row>
  </sheetData>
  <mergeCells count="29">
    <mergeCell ref="A1:N1"/>
    <mergeCell ref="A35:F35"/>
    <mergeCell ref="H35:N35"/>
    <mergeCell ref="H36:J36"/>
    <mergeCell ref="L36:N36"/>
    <mergeCell ref="I42:J42"/>
    <mergeCell ref="M42:N42"/>
    <mergeCell ref="I37:J37"/>
    <mergeCell ref="M37:N37"/>
    <mergeCell ref="I38:J38"/>
    <mergeCell ref="M38:N38"/>
    <mergeCell ref="I39:J39"/>
    <mergeCell ref="M39:N39"/>
    <mergeCell ref="I43:J43"/>
    <mergeCell ref="M43:N43"/>
    <mergeCell ref="E2:F2"/>
    <mergeCell ref="K2:N2"/>
    <mergeCell ref="A4:N4"/>
    <mergeCell ref="B2:D2"/>
    <mergeCell ref="G2:H2"/>
    <mergeCell ref="I2:J2"/>
    <mergeCell ref="E3:F3"/>
    <mergeCell ref="G3:H3"/>
    <mergeCell ref="I3:J3"/>
    <mergeCell ref="K3:N3"/>
    <mergeCell ref="I40:J40"/>
    <mergeCell ref="M40:N40"/>
    <mergeCell ref="I41:J41"/>
    <mergeCell ref="M41:N41"/>
  </mergeCells>
  <conditionalFormatting sqref="A37:E50">
    <cfRule type="expression" dxfId="1" priority="1">
      <formula>MOD(ROW(),2)=0</formula>
    </cfRule>
  </conditionalFormatting>
  <conditionalFormatting sqref="H37:N43">
    <cfRule type="expression" dxfId="0" priority="2">
      <formula>MOD(ROW(),2)=0</formula>
    </cfRule>
  </conditionalFormatting>
  <dataValidations count="3">
    <dataValidation type="list" sqref="B2" xr:uid="{00000000-0002-0000-0700-000000000000}">
      <formula1>$Z$2:$Z$30</formula1>
    </dataValidation>
    <dataValidation type="list" sqref="G3" xr:uid="{00000000-0002-0000-0700-000002000000}">
      <formula1>OFFSET($FP$2,MATCH($X$2,$CW$2:$CW$30,0)-1,0,1,COLUMNS($FP$2:$JA$2))</formula1>
    </dataValidation>
    <dataValidation type="list" allowBlank="1" showInputMessage="1" showErrorMessage="1" sqref="S5" xr:uid="{381345A8-FD18-4152-B1EF-D0BD95DCFA87}">
      <formula1>$AA$2:$AA$239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1000000}">
          <x14:formula1>
            <xm:f>INDIRECT("Decisiones!B2:B"&amp;COUNTA(Decisiones!B:B))</xm:f>
          </x14:formula1>
          <xm:sqref>G2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9"/>
  <sheetViews>
    <sheetView workbookViewId="0"/>
  </sheetViews>
  <sheetFormatPr defaultRowHeight="13.8"/>
  <cols>
    <col min="1" max="1" width="9.5" customWidth="1"/>
    <col min="2" max="2" width="11.296875" customWidth="1"/>
    <col min="3" max="3" width="13.5" customWidth="1"/>
    <col min="4" max="4" width="14.8984375" customWidth="1"/>
    <col min="5" max="5" width="16.19921875" customWidth="1"/>
  </cols>
  <sheetData>
    <row r="1" spans="1:5">
      <c r="A1" s="85" t="s">
        <v>871</v>
      </c>
      <c r="B1" s="85" t="s">
        <v>0</v>
      </c>
      <c r="C1" s="85" t="s">
        <v>1139</v>
      </c>
      <c r="D1" s="85" t="s">
        <v>1140</v>
      </c>
      <c r="E1" s="85" t="s">
        <v>1141</v>
      </c>
    </row>
    <row r="2" spans="1:5">
      <c r="A2" s="84" cm="1">
        <f t="array" ref="A2">IF(ROWS($A$2:A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2)-1),"")</f>
        <v>43503</v>
      </c>
      <c r="B2" t="str" cm="1">
        <f t="array" ref="B2">IF($A2="","",INDEX(Decisiones!$A$2:$A$237,MATCH(INDEX(Explorador_Integrantes!$GO$2:$GO$30,MATCH(Explorador_Integrantes!$X$2,Explorador_Integrantes!$GN$2:$GN$30,0)),Decisiones!$B$2:$B$237,0)+ROWS($A$2:A2)-1))</f>
        <v>D20190207</v>
      </c>
      <c r="C2" cm="1">
        <f t="array" ref="C2">IF($A2="","",INDEX(Decisiones!$H$2:$H$237,MATCH(INDEX(Explorador_Integrantes!$GO$2:$GO$30,MATCH(Explorador_Integrantes!$X$2,Explorador_Integrantes!$GN$2:$GN$30,0)),Decisiones!$B$2:$B$237,0)+ROWS($A$2:A2)-1))</f>
        <v>8.25</v>
      </c>
      <c r="D2">
        <f>IF($B2="","",--(COUNTIFS(Votaciones!$A$2:$A$336,$B2,Votaciones!$B$2:$B$336,Explorador_Integrantes!$X$2,Votaciones!$D$2:$D$336,"Disenso restrictivo")&gt;0))</f>
        <v>0</v>
      </c>
      <c r="E2">
        <f>IF($B2="","",--(COUNTIFS(Votaciones!$A$2:$A$336,$B2,Votaciones!$B$2:$B$336,Explorador_Integrantes!$X$2,Votaciones!$D$2:$D$336,"Disenso acomodaticio")&gt;0))</f>
        <v>0</v>
      </c>
    </row>
    <row r="3" spans="1:5">
      <c r="A3" s="84" cm="1">
        <f t="array" ref="A3">IF(ROWS($A$2:A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3)-1),"")</f>
        <v>43552</v>
      </c>
      <c r="B3" t="str" cm="1">
        <f t="array" ref="B3">IF($A3="","",INDEX(Decisiones!$A$2:$A$237,MATCH(INDEX(Explorador_Integrantes!$GO$2:$GO$30,MATCH(Explorador_Integrantes!$X$2,Explorador_Integrantes!$GN$2:$GN$30,0)),Decisiones!$B$2:$B$237,0)+ROWS($A$2:A3)-1))</f>
        <v>D20190328</v>
      </c>
      <c r="C3" cm="1">
        <f t="array" ref="C3">IF($A3="","",INDEX(Decisiones!$H$2:$H$237,MATCH(INDEX(Explorador_Integrantes!$GO$2:$GO$30,MATCH(Explorador_Integrantes!$X$2,Explorador_Integrantes!$GN$2:$GN$30,0)),Decisiones!$B$2:$B$237,0)+ROWS($A$2:A3)-1))</f>
        <v>8.25</v>
      </c>
      <c r="D3">
        <f>IF($B3="","",--(COUNTIFS(Votaciones!$A$2:$A$336,$B3,Votaciones!$B$2:$B$336,Explorador_Integrantes!$X$2,Votaciones!$D$2:$D$336,"Disenso restrictivo")&gt;0))</f>
        <v>0</v>
      </c>
      <c r="E3">
        <f>IF($B3="","",--(COUNTIFS(Votaciones!$A$2:$A$336,$B3,Votaciones!$B$2:$B$336,Explorador_Integrantes!$X$2,Votaciones!$D$2:$D$336,"Disenso acomodaticio")&gt;0))</f>
        <v>0</v>
      </c>
    </row>
    <row r="4" spans="1:5">
      <c r="A4" s="84" cm="1">
        <f t="array" ref="A4">IF(ROWS($A$2:A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4)-1),"")</f>
        <v>43601</v>
      </c>
      <c r="B4" t="str" cm="1">
        <f t="array" ref="B4">IF($A4="","",INDEX(Decisiones!$A$2:$A$237,MATCH(INDEX(Explorador_Integrantes!$GO$2:$GO$30,MATCH(Explorador_Integrantes!$X$2,Explorador_Integrantes!$GN$2:$GN$30,0)),Decisiones!$B$2:$B$237,0)+ROWS($A$2:A4)-1))</f>
        <v>D20190516</v>
      </c>
      <c r="C4" cm="1">
        <f t="array" ref="C4">IF($A4="","",INDEX(Decisiones!$H$2:$H$237,MATCH(INDEX(Explorador_Integrantes!$GO$2:$GO$30,MATCH(Explorador_Integrantes!$X$2,Explorador_Integrantes!$GN$2:$GN$30,0)),Decisiones!$B$2:$B$237,0)+ROWS($A$2:A4)-1))</f>
        <v>8.25</v>
      </c>
      <c r="D4">
        <f>IF($B4="","",--(COUNTIFS(Votaciones!$A$2:$A$336,$B4,Votaciones!$B$2:$B$336,Explorador_Integrantes!$X$2,Votaciones!$D$2:$D$336,"Disenso restrictivo")&gt;0))</f>
        <v>0</v>
      </c>
      <c r="E4">
        <f>IF($B4="","",--(COUNTIFS(Votaciones!$A$2:$A$336,$B4,Votaciones!$B$2:$B$336,Explorador_Integrantes!$X$2,Votaciones!$D$2:$D$336,"Disenso acomodaticio")&gt;0))</f>
        <v>0</v>
      </c>
    </row>
    <row r="5" spans="1:5">
      <c r="A5" s="84" cm="1">
        <f t="array" ref="A5">IF(ROWS($A$2:A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5)-1),"")</f>
        <v>43643</v>
      </c>
      <c r="B5" t="str" cm="1">
        <f t="array" ref="B5">IF($A5="","",INDEX(Decisiones!$A$2:$A$237,MATCH(INDEX(Explorador_Integrantes!$GO$2:$GO$30,MATCH(Explorador_Integrantes!$X$2,Explorador_Integrantes!$GN$2:$GN$30,0)),Decisiones!$B$2:$B$237,0)+ROWS($A$2:A5)-1))</f>
        <v>D20190627</v>
      </c>
      <c r="C5" cm="1">
        <f t="array" ref="C5">IF($A5="","",INDEX(Decisiones!$H$2:$H$237,MATCH(INDEX(Explorador_Integrantes!$GO$2:$GO$30,MATCH(Explorador_Integrantes!$X$2,Explorador_Integrantes!$GN$2:$GN$30,0)),Decisiones!$B$2:$B$237,0)+ROWS($A$2:A5)-1))</f>
        <v>8.25</v>
      </c>
      <c r="D5">
        <f>IF($B5="","",--(COUNTIFS(Votaciones!$A$2:$A$336,$B5,Votaciones!$B$2:$B$336,Explorador_Integrantes!$X$2,Votaciones!$D$2:$D$336,"Disenso restrictivo")&gt;0))</f>
        <v>0</v>
      </c>
      <c r="E5">
        <f>IF($B5="","",--(COUNTIFS(Votaciones!$A$2:$A$336,$B5,Votaciones!$B$2:$B$336,Explorador_Integrantes!$X$2,Votaciones!$D$2:$D$336,"Disenso acomodaticio")&gt;0))</f>
        <v>0</v>
      </c>
    </row>
    <row r="6" spans="1:5">
      <c r="A6" s="84" cm="1">
        <f t="array" ref="A6">IF(ROWS($A$2:A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6)-1),"")</f>
        <v>43692</v>
      </c>
      <c r="B6" t="str" cm="1">
        <f t="array" ref="B6">IF($A6="","",INDEX(Decisiones!$A$2:$A$237,MATCH(INDEX(Explorador_Integrantes!$GO$2:$GO$30,MATCH(Explorador_Integrantes!$X$2,Explorador_Integrantes!$GN$2:$GN$30,0)),Decisiones!$B$2:$B$237,0)+ROWS($A$2:A6)-1))</f>
        <v>D20190815</v>
      </c>
      <c r="C6" cm="1">
        <f t="array" ref="C6">IF($A6="","",INDEX(Decisiones!$H$2:$H$237,MATCH(INDEX(Explorador_Integrantes!$GO$2:$GO$30,MATCH(Explorador_Integrantes!$X$2,Explorador_Integrantes!$GN$2:$GN$30,0)),Decisiones!$B$2:$B$237,0)+ROWS($A$2:A6)-1))</f>
        <v>8</v>
      </c>
      <c r="D6">
        <f>IF($B6="","",--(COUNTIFS(Votaciones!$A$2:$A$336,$B6,Votaciones!$B$2:$B$336,Explorador_Integrantes!$X$2,Votaciones!$D$2:$D$336,"Disenso restrictivo")&gt;0))</f>
        <v>0</v>
      </c>
      <c r="E6">
        <f>IF($B6="","",--(COUNTIFS(Votaciones!$A$2:$A$336,$B6,Votaciones!$B$2:$B$336,Explorador_Integrantes!$X$2,Votaciones!$D$2:$D$336,"Disenso acomodaticio")&gt;0))</f>
        <v>0</v>
      </c>
    </row>
    <row r="7" spans="1:5">
      <c r="A7" s="84" cm="1">
        <f t="array" ref="A7">IF(ROWS($A$2:A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7)-1),"")</f>
        <v>43734</v>
      </c>
      <c r="B7" t="str" cm="1">
        <f t="array" ref="B7">IF($A7="","",INDEX(Decisiones!$A$2:$A$237,MATCH(INDEX(Explorador_Integrantes!$GO$2:$GO$30,MATCH(Explorador_Integrantes!$X$2,Explorador_Integrantes!$GN$2:$GN$30,0)),Decisiones!$B$2:$B$237,0)+ROWS($A$2:A7)-1))</f>
        <v>D20190926</v>
      </c>
      <c r="C7" cm="1">
        <f t="array" ref="C7">IF($A7="","",INDEX(Decisiones!$H$2:$H$237,MATCH(INDEX(Explorador_Integrantes!$GO$2:$GO$30,MATCH(Explorador_Integrantes!$X$2,Explorador_Integrantes!$GN$2:$GN$30,0)),Decisiones!$B$2:$B$237,0)+ROWS($A$2:A7)-1))</f>
        <v>7.75</v>
      </c>
      <c r="D7">
        <f>IF($B7="","",--(COUNTIFS(Votaciones!$A$2:$A$336,$B7,Votaciones!$B$2:$B$336,Explorador_Integrantes!$X$2,Votaciones!$D$2:$D$336,"Disenso restrictivo")&gt;0))</f>
        <v>0</v>
      </c>
      <c r="E7">
        <f>IF($B7="","",--(COUNTIFS(Votaciones!$A$2:$A$336,$B7,Votaciones!$B$2:$B$336,Explorador_Integrantes!$X$2,Votaciones!$D$2:$D$336,"Disenso acomodaticio")&gt;0))</f>
        <v>1</v>
      </c>
    </row>
    <row r="8" spans="1:5">
      <c r="A8" s="84" cm="1">
        <f t="array" ref="A8">IF(ROWS($A$2:A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8)-1),"")</f>
        <v>43783</v>
      </c>
      <c r="B8" t="str" cm="1">
        <f t="array" ref="B8">IF($A8="","",INDEX(Decisiones!$A$2:$A$237,MATCH(INDEX(Explorador_Integrantes!$GO$2:$GO$30,MATCH(Explorador_Integrantes!$X$2,Explorador_Integrantes!$GN$2:$GN$30,0)),Decisiones!$B$2:$B$237,0)+ROWS($A$2:A8)-1))</f>
        <v>D20191114</v>
      </c>
      <c r="C8" cm="1">
        <f t="array" ref="C8">IF($A8="","",INDEX(Decisiones!$H$2:$H$237,MATCH(INDEX(Explorador_Integrantes!$GO$2:$GO$30,MATCH(Explorador_Integrantes!$X$2,Explorador_Integrantes!$GN$2:$GN$30,0)),Decisiones!$B$2:$B$237,0)+ROWS($A$2:A8)-1))</f>
        <v>7.5</v>
      </c>
      <c r="D8">
        <f>IF($B8="","",--(COUNTIFS(Votaciones!$A$2:$A$336,$B8,Votaciones!$B$2:$B$336,Explorador_Integrantes!$X$2,Votaciones!$D$2:$D$336,"Disenso restrictivo")&gt;0))</f>
        <v>0</v>
      </c>
      <c r="E8">
        <f>IF($B8="","",--(COUNTIFS(Votaciones!$A$2:$A$336,$B8,Votaciones!$B$2:$B$336,Explorador_Integrantes!$X$2,Votaciones!$D$2:$D$336,"Disenso acomodaticio")&gt;0))</f>
        <v>1</v>
      </c>
    </row>
    <row r="9" spans="1:5">
      <c r="A9" s="84" cm="1">
        <f t="array" ref="A9">IF(ROWS($A$2:A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9)-1),"")</f>
        <v>43818</v>
      </c>
      <c r="B9" t="str" cm="1">
        <f t="array" ref="B9">IF($A9="","",INDEX(Decisiones!$A$2:$A$237,MATCH(INDEX(Explorador_Integrantes!$GO$2:$GO$30,MATCH(Explorador_Integrantes!$X$2,Explorador_Integrantes!$GN$2:$GN$30,0)),Decisiones!$B$2:$B$237,0)+ROWS($A$2:A9)-1))</f>
        <v>D20191219</v>
      </c>
      <c r="C9" cm="1">
        <f t="array" ref="C9">IF($A9="","",INDEX(Decisiones!$H$2:$H$237,MATCH(INDEX(Explorador_Integrantes!$GO$2:$GO$30,MATCH(Explorador_Integrantes!$X$2,Explorador_Integrantes!$GN$2:$GN$30,0)),Decisiones!$B$2:$B$237,0)+ROWS($A$2:A9)-1))</f>
        <v>7.25</v>
      </c>
      <c r="D9">
        <f>IF($B9="","",--(COUNTIFS(Votaciones!$A$2:$A$336,$B9,Votaciones!$B$2:$B$336,Explorador_Integrantes!$X$2,Votaciones!$D$2:$D$336,"Disenso restrictivo")&gt;0))</f>
        <v>0</v>
      </c>
      <c r="E9">
        <f>IF($B9="","",--(COUNTIFS(Votaciones!$A$2:$A$336,$B9,Votaciones!$B$2:$B$336,Explorador_Integrantes!$X$2,Votaciones!$D$2:$D$336,"Disenso acomodaticio")&gt;0))</f>
        <v>0</v>
      </c>
    </row>
    <row r="10" spans="1:5">
      <c r="A10" s="84" cm="1">
        <f t="array" ref="A10">IF(ROWS($A$2:A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10)-1),"")</f>
        <v>43874</v>
      </c>
      <c r="B10" t="str" cm="1">
        <f t="array" ref="B10">IF($A10="","",INDEX(Decisiones!$A$2:$A$237,MATCH(INDEX(Explorador_Integrantes!$GO$2:$GO$30,MATCH(Explorador_Integrantes!$X$2,Explorador_Integrantes!$GN$2:$GN$30,0)),Decisiones!$B$2:$B$237,0)+ROWS($A$2:A10)-1))</f>
        <v>D20200213</v>
      </c>
      <c r="C10" cm="1">
        <f t="array" ref="C10">IF($A10="","",INDEX(Decisiones!$H$2:$H$237,MATCH(INDEX(Explorador_Integrantes!$GO$2:$GO$30,MATCH(Explorador_Integrantes!$X$2,Explorador_Integrantes!$GN$2:$GN$30,0)),Decisiones!$B$2:$B$237,0)+ROWS($A$2:A10)-1))</f>
        <v>7</v>
      </c>
      <c r="D10">
        <f>IF($B10="","",--(COUNTIFS(Votaciones!$A$2:$A$336,$B10,Votaciones!$B$2:$B$336,Explorador_Integrantes!$X$2,Votaciones!$D$2:$D$336,"Disenso restrictivo")&gt;0))</f>
        <v>0</v>
      </c>
      <c r="E10">
        <f>IF($B10="","",--(COUNTIFS(Votaciones!$A$2:$A$336,$B10,Votaciones!$B$2:$B$336,Explorador_Integrantes!$X$2,Votaciones!$D$2:$D$336,"Disenso acomodaticio")&gt;0))</f>
        <v>0</v>
      </c>
    </row>
    <row r="11" spans="1:5">
      <c r="A11" s="84" cm="1">
        <f t="array" ref="A11">IF(ROWS($A$2:A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11)-1),"")</f>
        <v>43910</v>
      </c>
      <c r="B11" t="str" cm="1">
        <f t="array" ref="B11">IF($A11="","",INDEX(Decisiones!$A$2:$A$237,MATCH(INDEX(Explorador_Integrantes!$GO$2:$GO$30,MATCH(Explorador_Integrantes!$X$2,Explorador_Integrantes!$GN$2:$GN$30,0)),Decisiones!$B$2:$B$237,0)+ROWS($A$2:A11)-1))</f>
        <v>D20200320</v>
      </c>
      <c r="C11" cm="1">
        <f t="array" ref="C11">IF($A11="","",INDEX(Decisiones!$H$2:$H$237,MATCH(INDEX(Explorador_Integrantes!$GO$2:$GO$30,MATCH(Explorador_Integrantes!$X$2,Explorador_Integrantes!$GN$2:$GN$30,0)),Decisiones!$B$2:$B$237,0)+ROWS($A$2:A11)-1))</f>
        <v>6.5</v>
      </c>
      <c r="D11">
        <f>IF($B11="","",--(COUNTIFS(Votaciones!$A$2:$A$336,$B11,Votaciones!$B$2:$B$336,Explorador_Integrantes!$X$2,Votaciones!$D$2:$D$336,"Disenso restrictivo")&gt;0))</f>
        <v>0</v>
      </c>
      <c r="E11">
        <f>IF($B11="","",--(COUNTIFS(Votaciones!$A$2:$A$336,$B11,Votaciones!$B$2:$B$336,Explorador_Integrantes!$X$2,Votaciones!$D$2:$D$336,"Disenso acomodaticio")&gt;0))</f>
        <v>0</v>
      </c>
    </row>
    <row r="12" spans="1:5">
      <c r="A12" s="84" cm="1">
        <f t="array" ref="A12">IF(ROWS($A$2:A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12)-1),"")</f>
        <v>43942</v>
      </c>
      <c r="B12" t="str" cm="1">
        <f t="array" ref="B12">IF($A12="","",INDEX(Decisiones!$A$2:$A$237,MATCH(INDEX(Explorador_Integrantes!$GO$2:$GO$30,MATCH(Explorador_Integrantes!$X$2,Explorador_Integrantes!$GN$2:$GN$30,0)),Decisiones!$B$2:$B$237,0)+ROWS($A$2:A12)-1))</f>
        <v>D20200421</v>
      </c>
      <c r="C12" cm="1">
        <f t="array" ref="C12">IF($A12="","",INDEX(Decisiones!$H$2:$H$237,MATCH(INDEX(Explorador_Integrantes!$GO$2:$GO$30,MATCH(Explorador_Integrantes!$X$2,Explorador_Integrantes!$GN$2:$GN$30,0)),Decisiones!$B$2:$B$237,0)+ROWS($A$2:A12)-1))</f>
        <v>6</v>
      </c>
      <c r="D12">
        <f>IF($B12="","",--(COUNTIFS(Votaciones!$A$2:$A$336,$B12,Votaciones!$B$2:$B$336,Explorador_Integrantes!$X$2,Votaciones!$D$2:$D$336,"Disenso restrictivo")&gt;0))</f>
        <v>0</v>
      </c>
      <c r="E12">
        <f>IF($B12="","",--(COUNTIFS(Votaciones!$A$2:$A$336,$B12,Votaciones!$B$2:$B$336,Explorador_Integrantes!$X$2,Votaciones!$D$2:$D$336,"Disenso acomodaticio")&gt;0))</f>
        <v>0</v>
      </c>
    </row>
    <row r="13" spans="1:5">
      <c r="A13" s="84" cm="1">
        <f t="array" ref="A13">IF(ROWS($A$2:A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13)-1),"")</f>
        <v>43965</v>
      </c>
      <c r="B13" t="str" cm="1">
        <f t="array" ref="B13">IF($A13="","",INDEX(Decisiones!$A$2:$A$237,MATCH(INDEX(Explorador_Integrantes!$GO$2:$GO$30,MATCH(Explorador_Integrantes!$X$2,Explorador_Integrantes!$GN$2:$GN$30,0)),Decisiones!$B$2:$B$237,0)+ROWS($A$2:A13)-1))</f>
        <v>D20200514</v>
      </c>
      <c r="C13" cm="1">
        <f t="array" ref="C13">IF($A13="","",INDEX(Decisiones!$H$2:$H$237,MATCH(INDEX(Explorador_Integrantes!$GO$2:$GO$30,MATCH(Explorador_Integrantes!$X$2,Explorador_Integrantes!$GN$2:$GN$30,0)),Decisiones!$B$2:$B$237,0)+ROWS($A$2:A13)-1))</f>
        <v>5.5</v>
      </c>
      <c r="D13">
        <f>IF($B13="","",--(COUNTIFS(Votaciones!$A$2:$A$336,$B13,Votaciones!$B$2:$B$336,Explorador_Integrantes!$X$2,Votaciones!$D$2:$D$336,"Disenso restrictivo")&gt;0))</f>
        <v>0</v>
      </c>
      <c r="E13">
        <f>IF($B13="","",--(COUNTIFS(Votaciones!$A$2:$A$336,$B13,Votaciones!$B$2:$B$336,Explorador_Integrantes!$X$2,Votaciones!$D$2:$D$336,"Disenso acomodaticio")&gt;0))</f>
        <v>0</v>
      </c>
    </row>
    <row r="14" spans="1:5">
      <c r="A14" s="84" cm="1">
        <f t="array" ref="A14">IF(ROWS($A$2:A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14)-1),"")</f>
        <v>44007</v>
      </c>
      <c r="B14" t="str" cm="1">
        <f t="array" ref="B14">IF($A14="","",INDEX(Decisiones!$A$2:$A$237,MATCH(INDEX(Explorador_Integrantes!$GO$2:$GO$30,MATCH(Explorador_Integrantes!$X$2,Explorador_Integrantes!$GN$2:$GN$30,0)),Decisiones!$B$2:$B$237,0)+ROWS($A$2:A14)-1))</f>
        <v>D20200625</v>
      </c>
      <c r="C14" cm="1">
        <f t="array" ref="C14">IF($A14="","",INDEX(Decisiones!$H$2:$H$237,MATCH(INDEX(Explorador_Integrantes!$GO$2:$GO$30,MATCH(Explorador_Integrantes!$X$2,Explorador_Integrantes!$GN$2:$GN$30,0)),Decisiones!$B$2:$B$237,0)+ROWS($A$2:A14)-1))</f>
        <v>5</v>
      </c>
      <c r="D14">
        <f>IF($B14="","",--(COUNTIFS(Votaciones!$A$2:$A$336,$B14,Votaciones!$B$2:$B$336,Explorador_Integrantes!$X$2,Votaciones!$D$2:$D$336,"Disenso restrictivo")&gt;0))</f>
        <v>0</v>
      </c>
      <c r="E14">
        <f>IF($B14="","",--(COUNTIFS(Votaciones!$A$2:$A$336,$B14,Votaciones!$B$2:$B$336,Explorador_Integrantes!$X$2,Votaciones!$D$2:$D$336,"Disenso acomodaticio")&gt;0))</f>
        <v>0</v>
      </c>
    </row>
    <row r="15" spans="1:5">
      <c r="A15" s="84" cm="1">
        <f t="array" ref="A15">IF(ROWS($A$2:A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15)-1),"")</f>
        <v>44056</v>
      </c>
      <c r="B15" t="str" cm="1">
        <f t="array" ref="B15">IF($A15="","",INDEX(Decisiones!$A$2:$A$237,MATCH(INDEX(Explorador_Integrantes!$GO$2:$GO$30,MATCH(Explorador_Integrantes!$X$2,Explorador_Integrantes!$GN$2:$GN$30,0)),Decisiones!$B$2:$B$237,0)+ROWS($A$2:A15)-1))</f>
        <v>D20200813</v>
      </c>
      <c r="C15" cm="1">
        <f t="array" ref="C15">IF($A15="","",INDEX(Decisiones!$H$2:$H$237,MATCH(INDEX(Explorador_Integrantes!$GO$2:$GO$30,MATCH(Explorador_Integrantes!$X$2,Explorador_Integrantes!$GN$2:$GN$30,0)),Decisiones!$B$2:$B$237,0)+ROWS($A$2:A15)-1))</f>
        <v>4.5</v>
      </c>
      <c r="D15">
        <f>IF($B15="","",--(COUNTIFS(Votaciones!$A$2:$A$336,$B15,Votaciones!$B$2:$B$336,Explorador_Integrantes!$X$2,Votaciones!$D$2:$D$336,"Disenso restrictivo")&gt;0))</f>
        <v>0</v>
      </c>
      <c r="E15">
        <f>IF($B15="","",--(COUNTIFS(Votaciones!$A$2:$A$336,$B15,Votaciones!$B$2:$B$336,Explorador_Integrantes!$X$2,Votaciones!$D$2:$D$336,"Disenso acomodaticio")&gt;0))</f>
        <v>0</v>
      </c>
    </row>
    <row r="16" spans="1:5">
      <c r="A16" s="84" cm="1">
        <f t="array" ref="A16">IF(ROWS($A$2:A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16)-1),"")</f>
        <v>44098</v>
      </c>
      <c r="B16" t="str" cm="1">
        <f t="array" ref="B16">IF($A16="","",INDEX(Decisiones!$A$2:$A$237,MATCH(INDEX(Explorador_Integrantes!$GO$2:$GO$30,MATCH(Explorador_Integrantes!$X$2,Explorador_Integrantes!$GN$2:$GN$30,0)),Decisiones!$B$2:$B$237,0)+ROWS($A$2:A16)-1))</f>
        <v>D20200924</v>
      </c>
      <c r="C16" cm="1">
        <f t="array" ref="C16">IF($A16="","",INDEX(Decisiones!$H$2:$H$237,MATCH(INDEX(Explorador_Integrantes!$GO$2:$GO$30,MATCH(Explorador_Integrantes!$X$2,Explorador_Integrantes!$GN$2:$GN$30,0)),Decisiones!$B$2:$B$237,0)+ROWS($A$2:A16)-1))</f>
        <v>4.25</v>
      </c>
      <c r="D16">
        <f>IF($B16="","",--(COUNTIFS(Votaciones!$A$2:$A$336,$B16,Votaciones!$B$2:$B$336,Explorador_Integrantes!$X$2,Votaciones!$D$2:$D$336,"Disenso restrictivo")&gt;0))</f>
        <v>0</v>
      </c>
      <c r="E16">
        <f>IF($B16="","",--(COUNTIFS(Votaciones!$A$2:$A$336,$B16,Votaciones!$B$2:$B$336,Explorador_Integrantes!$X$2,Votaciones!$D$2:$D$336,"Disenso acomodaticio")&gt;0))</f>
        <v>0</v>
      </c>
    </row>
    <row r="17" spans="1:5">
      <c r="A17" s="84" cm="1">
        <f t="array" ref="A17">IF(ROWS($A$2:A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17)-1),"")</f>
        <v>44147</v>
      </c>
      <c r="B17" t="str" cm="1">
        <f t="array" ref="B17">IF($A17="","",INDEX(Decisiones!$A$2:$A$237,MATCH(INDEX(Explorador_Integrantes!$GO$2:$GO$30,MATCH(Explorador_Integrantes!$X$2,Explorador_Integrantes!$GN$2:$GN$30,0)),Decisiones!$B$2:$B$237,0)+ROWS($A$2:A17)-1))</f>
        <v>D20201112</v>
      </c>
      <c r="C17" cm="1">
        <f t="array" ref="C17">IF($A17="","",INDEX(Decisiones!$H$2:$H$237,MATCH(INDEX(Explorador_Integrantes!$GO$2:$GO$30,MATCH(Explorador_Integrantes!$X$2,Explorador_Integrantes!$GN$2:$GN$30,0)),Decisiones!$B$2:$B$237,0)+ROWS($A$2:A17)-1))</f>
        <v>4.25</v>
      </c>
      <c r="D17">
        <f>IF($B17="","",--(COUNTIFS(Votaciones!$A$2:$A$336,$B17,Votaciones!$B$2:$B$336,Explorador_Integrantes!$X$2,Votaciones!$D$2:$D$336,"Disenso restrictivo")&gt;0))</f>
        <v>0</v>
      </c>
      <c r="E17">
        <f>IF($B17="","",--(COUNTIFS(Votaciones!$A$2:$A$336,$B17,Votaciones!$B$2:$B$336,Explorador_Integrantes!$X$2,Votaciones!$D$2:$D$336,"Disenso acomodaticio")&gt;0))</f>
        <v>1</v>
      </c>
    </row>
    <row r="18" spans="1:5">
      <c r="A18" s="84" cm="1">
        <f t="array" ref="A18">IF(ROWS($A$2:A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18)-1),"")</f>
        <v>44182</v>
      </c>
      <c r="B18" t="str" cm="1">
        <f t="array" ref="B18">IF($A18="","",INDEX(Decisiones!$A$2:$A$237,MATCH(INDEX(Explorador_Integrantes!$GO$2:$GO$30,MATCH(Explorador_Integrantes!$X$2,Explorador_Integrantes!$GN$2:$GN$30,0)),Decisiones!$B$2:$B$237,0)+ROWS($A$2:A18)-1))</f>
        <v>D20201217</v>
      </c>
      <c r="C18" cm="1">
        <f t="array" ref="C18">IF($A18="","",INDEX(Decisiones!$H$2:$H$237,MATCH(INDEX(Explorador_Integrantes!$GO$2:$GO$30,MATCH(Explorador_Integrantes!$X$2,Explorador_Integrantes!$GN$2:$GN$30,0)),Decisiones!$B$2:$B$237,0)+ROWS($A$2:A18)-1))</f>
        <v>4.25</v>
      </c>
      <c r="D18">
        <f>IF($B18="","",--(COUNTIFS(Votaciones!$A$2:$A$336,$B18,Votaciones!$B$2:$B$336,Explorador_Integrantes!$X$2,Votaciones!$D$2:$D$336,"Disenso restrictivo")&gt;0))</f>
        <v>0</v>
      </c>
      <c r="E18">
        <f>IF($B18="","",--(COUNTIFS(Votaciones!$A$2:$A$336,$B18,Votaciones!$B$2:$B$336,Explorador_Integrantes!$X$2,Votaciones!$D$2:$D$336,"Disenso acomodaticio")&gt;0))</f>
        <v>1</v>
      </c>
    </row>
    <row r="19" spans="1:5">
      <c r="A19" s="84" cm="1">
        <f t="array" ref="A19">IF(ROWS($A$2:A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19)-1),"")</f>
        <v>44238</v>
      </c>
      <c r="B19" t="str" cm="1">
        <f t="array" ref="B19">IF($A19="","",INDEX(Decisiones!$A$2:$A$237,MATCH(INDEX(Explorador_Integrantes!$GO$2:$GO$30,MATCH(Explorador_Integrantes!$X$2,Explorador_Integrantes!$GN$2:$GN$30,0)),Decisiones!$B$2:$B$237,0)+ROWS($A$2:A19)-1))</f>
        <v>D20210211</v>
      </c>
      <c r="C19" cm="1">
        <f t="array" ref="C19">IF($A19="","",INDEX(Decisiones!$H$2:$H$237,MATCH(INDEX(Explorador_Integrantes!$GO$2:$GO$30,MATCH(Explorador_Integrantes!$X$2,Explorador_Integrantes!$GN$2:$GN$30,0)),Decisiones!$B$2:$B$237,0)+ROWS($A$2:A19)-1))</f>
        <v>4</v>
      </c>
      <c r="D19">
        <f>IF($B19="","",--(COUNTIFS(Votaciones!$A$2:$A$336,$B19,Votaciones!$B$2:$B$336,Explorador_Integrantes!$X$2,Votaciones!$D$2:$D$336,"Disenso restrictivo")&gt;0))</f>
        <v>0</v>
      </c>
      <c r="E19">
        <f>IF($B19="","",--(COUNTIFS(Votaciones!$A$2:$A$336,$B19,Votaciones!$B$2:$B$336,Explorador_Integrantes!$X$2,Votaciones!$D$2:$D$336,"Disenso acomodaticio")&gt;0))</f>
        <v>0</v>
      </c>
    </row>
    <row r="20" spans="1:5">
      <c r="A20" s="84" cm="1">
        <f t="array" ref="A20">IF(ROWS($A$2:A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20)-1),"")</f>
        <v>44280</v>
      </c>
      <c r="B20" t="str" cm="1">
        <f t="array" ref="B20">IF($A20="","",INDEX(Decisiones!$A$2:$A$237,MATCH(INDEX(Explorador_Integrantes!$GO$2:$GO$30,MATCH(Explorador_Integrantes!$X$2,Explorador_Integrantes!$GN$2:$GN$30,0)),Decisiones!$B$2:$B$237,0)+ROWS($A$2:A20)-1))</f>
        <v>D20210325</v>
      </c>
      <c r="C20" cm="1">
        <f t="array" ref="C20">IF($A20="","",INDEX(Decisiones!$H$2:$H$237,MATCH(INDEX(Explorador_Integrantes!$GO$2:$GO$30,MATCH(Explorador_Integrantes!$X$2,Explorador_Integrantes!$GN$2:$GN$30,0)),Decisiones!$B$2:$B$237,0)+ROWS($A$2:A20)-1))</f>
        <v>4</v>
      </c>
      <c r="D20">
        <f>IF($B20="","",--(COUNTIFS(Votaciones!$A$2:$A$336,$B20,Votaciones!$B$2:$B$336,Explorador_Integrantes!$X$2,Votaciones!$D$2:$D$336,"Disenso restrictivo")&gt;0))</f>
        <v>0</v>
      </c>
      <c r="E20">
        <f>IF($B20="","",--(COUNTIFS(Votaciones!$A$2:$A$336,$B20,Votaciones!$B$2:$B$336,Explorador_Integrantes!$X$2,Votaciones!$D$2:$D$336,"Disenso acomodaticio")&gt;0))</f>
        <v>0</v>
      </c>
    </row>
    <row r="21" spans="1:5">
      <c r="A21" s="84" cm="1">
        <f t="array" ref="A21">IF(ROWS($A$2:A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21)-1),"")</f>
        <v>44329</v>
      </c>
      <c r="B21" t="str" cm="1">
        <f t="array" ref="B21">IF($A21="","",INDEX(Decisiones!$A$2:$A$237,MATCH(INDEX(Explorador_Integrantes!$GO$2:$GO$30,MATCH(Explorador_Integrantes!$X$2,Explorador_Integrantes!$GN$2:$GN$30,0)),Decisiones!$B$2:$B$237,0)+ROWS($A$2:A21)-1))</f>
        <v>D20210513</v>
      </c>
      <c r="C21" cm="1">
        <f t="array" ref="C21">IF($A21="","",INDEX(Decisiones!$H$2:$H$237,MATCH(INDEX(Explorador_Integrantes!$GO$2:$GO$30,MATCH(Explorador_Integrantes!$X$2,Explorador_Integrantes!$GN$2:$GN$30,0)),Decisiones!$B$2:$B$237,0)+ROWS($A$2:A21)-1))</f>
        <v>4</v>
      </c>
      <c r="D21">
        <f>IF($B21="","",--(COUNTIFS(Votaciones!$A$2:$A$336,$B21,Votaciones!$B$2:$B$336,Explorador_Integrantes!$X$2,Votaciones!$D$2:$D$336,"Disenso restrictivo")&gt;0))</f>
        <v>0</v>
      </c>
      <c r="E21">
        <f>IF($B21="","",--(COUNTIFS(Votaciones!$A$2:$A$336,$B21,Votaciones!$B$2:$B$336,Explorador_Integrantes!$X$2,Votaciones!$D$2:$D$336,"Disenso acomodaticio")&gt;0))</f>
        <v>0</v>
      </c>
    </row>
    <row r="22" spans="1:5">
      <c r="A22" s="84" cm="1">
        <f t="array" ref="A22">IF(ROWS($A$2:A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22)-1),"")</f>
        <v>44371</v>
      </c>
      <c r="B22" t="str" cm="1">
        <f t="array" ref="B22">IF($A22="","",INDEX(Decisiones!$A$2:$A$237,MATCH(INDEX(Explorador_Integrantes!$GO$2:$GO$30,MATCH(Explorador_Integrantes!$X$2,Explorador_Integrantes!$GN$2:$GN$30,0)),Decisiones!$B$2:$B$237,0)+ROWS($A$2:A22)-1))</f>
        <v>D20210624</v>
      </c>
      <c r="C22" cm="1">
        <f t="array" ref="C22">IF($A22="","",INDEX(Decisiones!$H$2:$H$237,MATCH(INDEX(Explorador_Integrantes!$GO$2:$GO$30,MATCH(Explorador_Integrantes!$X$2,Explorador_Integrantes!$GN$2:$GN$30,0)),Decisiones!$B$2:$B$237,0)+ROWS($A$2:A22)-1))</f>
        <v>4.25</v>
      </c>
      <c r="D22">
        <f>IF($B22="","",--(COUNTIFS(Votaciones!$A$2:$A$336,$B22,Votaciones!$B$2:$B$336,Explorador_Integrantes!$X$2,Votaciones!$D$2:$D$336,"Disenso restrictivo")&gt;0))</f>
        <v>0</v>
      </c>
      <c r="E22">
        <f>IF($B22="","",--(COUNTIFS(Votaciones!$A$2:$A$336,$B22,Votaciones!$B$2:$B$336,Explorador_Integrantes!$X$2,Votaciones!$D$2:$D$336,"Disenso acomodaticio")&gt;0))</f>
        <v>0</v>
      </c>
    </row>
    <row r="23" spans="1:5">
      <c r="A23" s="84" cm="1">
        <f t="array" ref="A23">IF(ROWS($A$2:A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23)-1),"")</f>
        <v>44420</v>
      </c>
      <c r="B23" t="str" cm="1">
        <f t="array" ref="B23">IF($A23="","",INDEX(Decisiones!$A$2:$A$237,MATCH(INDEX(Explorador_Integrantes!$GO$2:$GO$30,MATCH(Explorador_Integrantes!$X$2,Explorador_Integrantes!$GN$2:$GN$30,0)),Decisiones!$B$2:$B$237,0)+ROWS($A$2:A23)-1))</f>
        <v>D20210812</v>
      </c>
      <c r="C23" cm="1">
        <f t="array" ref="C23">IF($A23="","",INDEX(Decisiones!$H$2:$H$237,MATCH(INDEX(Explorador_Integrantes!$GO$2:$GO$30,MATCH(Explorador_Integrantes!$X$2,Explorador_Integrantes!$GN$2:$GN$30,0)),Decisiones!$B$2:$B$237,0)+ROWS($A$2:A23)-1))</f>
        <v>4.5</v>
      </c>
      <c r="D23">
        <f>IF($B23="","",--(COUNTIFS(Votaciones!$A$2:$A$336,$B23,Votaciones!$B$2:$B$336,Explorador_Integrantes!$X$2,Votaciones!$D$2:$D$336,"Disenso restrictivo")&gt;0))</f>
        <v>0</v>
      </c>
      <c r="E23">
        <f>IF($B23="","",--(COUNTIFS(Votaciones!$A$2:$A$336,$B23,Votaciones!$B$2:$B$336,Explorador_Integrantes!$X$2,Votaciones!$D$2:$D$336,"Disenso acomodaticio")&gt;0))</f>
        <v>0</v>
      </c>
    </row>
    <row r="24" spans="1:5">
      <c r="A24" s="84" cm="1">
        <f t="array" ref="A24">IF(ROWS($A$2:A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24)-1),"")</f>
        <v>44469</v>
      </c>
      <c r="B24" t="str" cm="1">
        <f t="array" ref="B24">IF($A24="","",INDEX(Decisiones!$A$2:$A$237,MATCH(INDEX(Explorador_Integrantes!$GO$2:$GO$30,MATCH(Explorador_Integrantes!$X$2,Explorador_Integrantes!$GN$2:$GN$30,0)),Decisiones!$B$2:$B$237,0)+ROWS($A$2:A24)-1))</f>
        <v>D20210930</v>
      </c>
      <c r="C24" cm="1">
        <f t="array" ref="C24">IF($A24="","",INDEX(Decisiones!$H$2:$H$237,MATCH(INDEX(Explorador_Integrantes!$GO$2:$GO$30,MATCH(Explorador_Integrantes!$X$2,Explorador_Integrantes!$GN$2:$GN$30,0)),Decisiones!$B$2:$B$237,0)+ROWS($A$2:A24)-1))</f>
        <v>4.75</v>
      </c>
      <c r="D24">
        <f>IF($B24="","",--(COUNTIFS(Votaciones!$A$2:$A$336,$B24,Votaciones!$B$2:$B$336,Explorador_Integrantes!$X$2,Votaciones!$D$2:$D$336,"Disenso restrictivo")&gt;0))</f>
        <v>0</v>
      </c>
      <c r="E24">
        <f>IF($B24="","",--(COUNTIFS(Votaciones!$A$2:$A$336,$B24,Votaciones!$B$2:$B$336,Explorador_Integrantes!$X$2,Votaciones!$D$2:$D$336,"Disenso acomodaticio")&gt;0))</f>
        <v>0</v>
      </c>
    </row>
    <row r="25" spans="1:5">
      <c r="A25" s="84" cm="1">
        <f t="array" ref="A25">IF(ROWS($A$2:A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25)-1),"")</f>
        <v>44511</v>
      </c>
      <c r="B25" t="str" cm="1">
        <f t="array" ref="B25">IF($A25="","",INDEX(Decisiones!$A$2:$A$237,MATCH(INDEX(Explorador_Integrantes!$GO$2:$GO$30,MATCH(Explorador_Integrantes!$X$2,Explorador_Integrantes!$GN$2:$GN$30,0)),Decisiones!$B$2:$B$237,0)+ROWS($A$2:A25)-1))</f>
        <v>D20211111</v>
      </c>
      <c r="C25" cm="1">
        <f t="array" ref="C25">IF($A25="","",INDEX(Decisiones!$H$2:$H$237,MATCH(INDEX(Explorador_Integrantes!$GO$2:$GO$30,MATCH(Explorador_Integrantes!$X$2,Explorador_Integrantes!$GN$2:$GN$30,0)),Decisiones!$B$2:$B$237,0)+ROWS($A$2:A25)-1))</f>
        <v>5</v>
      </c>
      <c r="D25">
        <f>IF($B25="","",--(COUNTIFS(Votaciones!$A$2:$A$336,$B25,Votaciones!$B$2:$B$336,Explorador_Integrantes!$X$2,Votaciones!$D$2:$D$336,"Disenso restrictivo")&gt;0))</f>
        <v>0</v>
      </c>
      <c r="E25">
        <f>IF($B25="","",--(COUNTIFS(Votaciones!$A$2:$A$336,$B25,Votaciones!$B$2:$B$336,Explorador_Integrantes!$X$2,Votaciones!$D$2:$D$336,"Disenso acomodaticio")&gt;0))</f>
        <v>0</v>
      </c>
    </row>
    <row r="26" spans="1:5">
      <c r="A26" s="84" cm="1">
        <f t="array" ref="A26">IF(ROWS($A$2:A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26)-1),"")</f>
        <v>44546</v>
      </c>
      <c r="B26" t="str" cm="1">
        <f t="array" ref="B26">IF($A26="","",INDEX(Decisiones!$A$2:$A$237,MATCH(INDEX(Explorador_Integrantes!$GO$2:$GO$30,MATCH(Explorador_Integrantes!$X$2,Explorador_Integrantes!$GN$2:$GN$30,0)),Decisiones!$B$2:$B$237,0)+ROWS($A$2:A26)-1))</f>
        <v>D20211216</v>
      </c>
      <c r="C26" cm="1">
        <f t="array" ref="C26">IF($A26="","",INDEX(Decisiones!$H$2:$H$237,MATCH(INDEX(Explorador_Integrantes!$GO$2:$GO$30,MATCH(Explorador_Integrantes!$X$2,Explorador_Integrantes!$GN$2:$GN$30,0)),Decisiones!$B$2:$B$237,0)+ROWS($A$2:A26)-1))</f>
        <v>5.5</v>
      </c>
      <c r="D26">
        <f>IF($B26="","",--(COUNTIFS(Votaciones!$A$2:$A$336,$B26,Votaciones!$B$2:$B$336,Explorador_Integrantes!$X$2,Votaciones!$D$2:$D$336,"Disenso restrictivo")&gt;0))</f>
        <v>0</v>
      </c>
      <c r="E26">
        <f>IF($B26="","",--(COUNTIFS(Votaciones!$A$2:$A$336,$B26,Votaciones!$B$2:$B$336,Explorador_Integrantes!$X$2,Votaciones!$D$2:$D$336,"Disenso acomodaticio")&gt;0))</f>
        <v>0</v>
      </c>
    </row>
    <row r="27" spans="1:5">
      <c r="A27" s="84" cm="1">
        <f t="array" ref="A27">IF(ROWS($A$2:A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27)-1),"")</f>
        <v>44602</v>
      </c>
      <c r="B27" t="str" cm="1">
        <f t="array" ref="B27">IF($A27="","",INDEX(Decisiones!$A$2:$A$237,MATCH(INDEX(Explorador_Integrantes!$GO$2:$GO$30,MATCH(Explorador_Integrantes!$X$2,Explorador_Integrantes!$GN$2:$GN$30,0)),Decisiones!$B$2:$B$237,0)+ROWS($A$2:A27)-1))</f>
        <v>D20220210</v>
      </c>
      <c r="C27" cm="1">
        <f t="array" ref="C27">IF($A27="","",INDEX(Decisiones!$H$2:$H$237,MATCH(INDEX(Explorador_Integrantes!$GO$2:$GO$30,MATCH(Explorador_Integrantes!$X$2,Explorador_Integrantes!$GN$2:$GN$30,0)),Decisiones!$B$2:$B$237,0)+ROWS($A$2:A27)-1))</f>
        <v>6</v>
      </c>
      <c r="D27">
        <f>IF($B27="","",--(COUNTIFS(Votaciones!$A$2:$A$336,$B27,Votaciones!$B$2:$B$336,Explorador_Integrantes!$X$2,Votaciones!$D$2:$D$336,"Disenso restrictivo")&gt;0))</f>
        <v>0</v>
      </c>
      <c r="E27">
        <f>IF($B27="","",--(COUNTIFS(Votaciones!$A$2:$A$336,$B27,Votaciones!$B$2:$B$336,Explorador_Integrantes!$X$2,Votaciones!$D$2:$D$336,"Disenso acomodaticio")&gt;0))</f>
        <v>0</v>
      </c>
    </row>
    <row r="28" spans="1:5">
      <c r="A28" s="84" cm="1">
        <f t="array" ref="A28">IF(ROWS($A$2:A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28)-1),"")</f>
        <v>44644</v>
      </c>
      <c r="B28" t="str" cm="1">
        <f t="array" ref="B28">IF($A28="","",INDEX(Decisiones!$A$2:$A$237,MATCH(INDEX(Explorador_Integrantes!$GO$2:$GO$30,MATCH(Explorador_Integrantes!$X$2,Explorador_Integrantes!$GN$2:$GN$30,0)),Decisiones!$B$2:$B$237,0)+ROWS($A$2:A28)-1))</f>
        <v>D20220324</v>
      </c>
      <c r="C28" cm="1">
        <f t="array" ref="C28">IF($A28="","",INDEX(Decisiones!$H$2:$H$237,MATCH(INDEX(Explorador_Integrantes!$GO$2:$GO$30,MATCH(Explorador_Integrantes!$X$2,Explorador_Integrantes!$GN$2:$GN$30,0)),Decisiones!$B$2:$B$237,0)+ROWS($A$2:A28)-1))</f>
        <v>6.5</v>
      </c>
      <c r="D28">
        <f>IF($B28="","",--(COUNTIFS(Votaciones!$A$2:$A$336,$B28,Votaciones!$B$2:$B$336,Explorador_Integrantes!$X$2,Votaciones!$D$2:$D$336,"Disenso restrictivo")&gt;0))</f>
        <v>0</v>
      </c>
      <c r="E28">
        <f>IF($B28="","",--(COUNTIFS(Votaciones!$A$2:$A$336,$B28,Votaciones!$B$2:$B$336,Explorador_Integrantes!$X$2,Votaciones!$D$2:$D$336,"Disenso acomodaticio")&gt;0))</f>
        <v>0</v>
      </c>
    </row>
    <row r="29" spans="1:5">
      <c r="A29" s="84" cm="1">
        <f t="array" ref="A29">IF(ROWS($A$2:A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29)-1),"")</f>
        <v>44693</v>
      </c>
      <c r="B29" t="str" cm="1">
        <f t="array" ref="B29">IF($A29="","",INDEX(Decisiones!$A$2:$A$237,MATCH(INDEX(Explorador_Integrantes!$GO$2:$GO$30,MATCH(Explorador_Integrantes!$X$2,Explorador_Integrantes!$GN$2:$GN$30,0)),Decisiones!$B$2:$B$237,0)+ROWS($A$2:A29)-1))</f>
        <v>D20220512</v>
      </c>
      <c r="C29" cm="1">
        <f t="array" ref="C29">IF($A29="","",INDEX(Decisiones!$H$2:$H$237,MATCH(INDEX(Explorador_Integrantes!$GO$2:$GO$30,MATCH(Explorador_Integrantes!$X$2,Explorador_Integrantes!$GN$2:$GN$30,0)),Decisiones!$B$2:$B$237,0)+ROWS($A$2:A29)-1))</f>
        <v>7</v>
      </c>
      <c r="D29">
        <f>IF($B29="","",--(COUNTIFS(Votaciones!$A$2:$A$336,$B29,Votaciones!$B$2:$B$336,Explorador_Integrantes!$X$2,Votaciones!$D$2:$D$336,"Disenso restrictivo")&gt;0))</f>
        <v>0</v>
      </c>
      <c r="E29">
        <f>IF($B29="","",--(COUNTIFS(Votaciones!$A$2:$A$336,$B29,Votaciones!$B$2:$B$336,Explorador_Integrantes!$X$2,Votaciones!$D$2:$D$336,"Disenso acomodaticio")&gt;0))</f>
        <v>0</v>
      </c>
    </row>
    <row r="30" spans="1:5">
      <c r="A30" s="84" cm="1">
        <f t="array" ref="A30">IF(ROWS($A$2:A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30)-1),"")</f>
        <v>44735</v>
      </c>
      <c r="B30" t="str" cm="1">
        <f t="array" ref="B30">IF($A30="","",INDEX(Decisiones!$A$2:$A$237,MATCH(INDEX(Explorador_Integrantes!$GO$2:$GO$30,MATCH(Explorador_Integrantes!$X$2,Explorador_Integrantes!$GN$2:$GN$30,0)),Decisiones!$B$2:$B$237,0)+ROWS($A$2:A30)-1))</f>
        <v>D20220623</v>
      </c>
      <c r="C30" cm="1">
        <f t="array" ref="C30">IF($A30="","",INDEX(Decisiones!$H$2:$H$237,MATCH(INDEX(Explorador_Integrantes!$GO$2:$GO$30,MATCH(Explorador_Integrantes!$X$2,Explorador_Integrantes!$GN$2:$GN$30,0)),Decisiones!$B$2:$B$237,0)+ROWS($A$2:A30)-1))</f>
        <v>7.75</v>
      </c>
      <c r="D30">
        <f>IF($B30="","",--(COUNTIFS(Votaciones!$A$2:$A$336,$B30,Votaciones!$B$2:$B$336,Explorador_Integrantes!$X$2,Votaciones!$D$2:$D$336,"Disenso restrictivo")&gt;0))</f>
        <v>0</v>
      </c>
      <c r="E30">
        <f>IF($B30="","",--(COUNTIFS(Votaciones!$A$2:$A$336,$B30,Votaciones!$B$2:$B$336,Explorador_Integrantes!$X$2,Votaciones!$D$2:$D$336,"Disenso acomodaticio")&gt;0))</f>
        <v>0</v>
      </c>
    </row>
    <row r="31" spans="1:5">
      <c r="A31" s="84" cm="1">
        <f t="array" ref="A31">IF(ROWS($A$2:A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31)-1),"")</f>
        <v>44784</v>
      </c>
      <c r="B31" t="str" cm="1">
        <f t="array" ref="B31">IF($A31="","",INDEX(Decisiones!$A$2:$A$237,MATCH(INDEX(Explorador_Integrantes!$GO$2:$GO$30,MATCH(Explorador_Integrantes!$X$2,Explorador_Integrantes!$GN$2:$GN$30,0)),Decisiones!$B$2:$B$237,0)+ROWS($A$2:A31)-1))</f>
        <v>D20220811</v>
      </c>
      <c r="C31" cm="1">
        <f t="array" ref="C31">IF($A31="","",INDEX(Decisiones!$H$2:$H$237,MATCH(INDEX(Explorador_Integrantes!$GO$2:$GO$30,MATCH(Explorador_Integrantes!$X$2,Explorador_Integrantes!$GN$2:$GN$30,0)),Decisiones!$B$2:$B$237,0)+ROWS($A$2:A31)-1))</f>
        <v>8.5</v>
      </c>
      <c r="D31">
        <f>IF($B31="","",--(COUNTIFS(Votaciones!$A$2:$A$336,$B31,Votaciones!$B$2:$B$336,Explorador_Integrantes!$X$2,Votaciones!$D$2:$D$336,"Disenso restrictivo")&gt;0))</f>
        <v>0</v>
      </c>
      <c r="E31">
        <f>IF($B31="","",--(COUNTIFS(Votaciones!$A$2:$A$336,$B31,Votaciones!$B$2:$B$336,Explorador_Integrantes!$X$2,Votaciones!$D$2:$D$336,"Disenso acomodaticio")&gt;0))</f>
        <v>0</v>
      </c>
    </row>
    <row r="32" spans="1:5">
      <c r="A32" s="84" cm="1">
        <f t="array" ref="A32">IF(ROWS($A$2:A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32)-1),"")</f>
        <v>44833</v>
      </c>
      <c r="B32" t="str" cm="1">
        <f t="array" ref="B32">IF($A32="","",INDEX(Decisiones!$A$2:$A$237,MATCH(INDEX(Explorador_Integrantes!$GO$2:$GO$30,MATCH(Explorador_Integrantes!$X$2,Explorador_Integrantes!$GN$2:$GN$30,0)),Decisiones!$B$2:$B$237,0)+ROWS($A$2:A32)-1))</f>
        <v>D20220929</v>
      </c>
      <c r="C32" cm="1">
        <f t="array" ref="C32">IF($A32="","",INDEX(Decisiones!$H$2:$H$237,MATCH(INDEX(Explorador_Integrantes!$GO$2:$GO$30,MATCH(Explorador_Integrantes!$X$2,Explorador_Integrantes!$GN$2:$GN$30,0)),Decisiones!$B$2:$B$237,0)+ROWS($A$2:A32)-1))</f>
        <v>9.25</v>
      </c>
      <c r="D32">
        <f>IF($B32="","",--(COUNTIFS(Votaciones!$A$2:$A$336,$B32,Votaciones!$B$2:$B$336,Explorador_Integrantes!$X$2,Votaciones!$D$2:$D$336,"Disenso restrictivo")&gt;0))</f>
        <v>0</v>
      </c>
      <c r="E32">
        <f>IF($B32="","",--(COUNTIFS(Votaciones!$A$2:$A$336,$B32,Votaciones!$B$2:$B$336,Explorador_Integrantes!$X$2,Votaciones!$D$2:$D$336,"Disenso acomodaticio")&gt;0))</f>
        <v>0</v>
      </c>
    </row>
    <row r="33" spans="1:5">
      <c r="A33" s="84" cm="1">
        <f t="array" ref="A33">IF(ROWS($A$2:A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33)-1),"")</f>
        <v>44875</v>
      </c>
      <c r="B33" t="str" cm="1">
        <f t="array" ref="B33">IF($A33="","",INDEX(Decisiones!$A$2:$A$237,MATCH(INDEX(Explorador_Integrantes!$GO$2:$GO$30,MATCH(Explorador_Integrantes!$X$2,Explorador_Integrantes!$GN$2:$GN$30,0)),Decisiones!$B$2:$B$237,0)+ROWS($A$2:A33)-1))</f>
        <v>D20221110</v>
      </c>
      <c r="C33" cm="1">
        <f t="array" ref="C33">IF($A33="","",INDEX(Decisiones!$H$2:$H$237,MATCH(INDEX(Explorador_Integrantes!$GO$2:$GO$30,MATCH(Explorador_Integrantes!$X$2,Explorador_Integrantes!$GN$2:$GN$30,0)),Decisiones!$B$2:$B$237,0)+ROWS($A$2:A33)-1))</f>
        <v>10</v>
      </c>
      <c r="D33">
        <f>IF($B33="","",--(COUNTIFS(Votaciones!$A$2:$A$336,$B33,Votaciones!$B$2:$B$336,Explorador_Integrantes!$X$2,Votaciones!$D$2:$D$336,"Disenso restrictivo")&gt;0))</f>
        <v>0</v>
      </c>
      <c r="E33">
        <f>IF($B33="","",--(COUNTIFS(Votaciones!$A$2:$A$336,$B33,Votaciones!$B$2:$B$336,Explorador_Integrantes!$X$2,Votaciones!$D$2:$D$336,"Disenso acomodaticio")&gt;0))</f>
        <v>0</v>
      </c>
    </row>
    <row r="34" spans="1:5">
      <c r="A34" s="84" cm="1">
        <f t="array" ref="A34">IF(ROWS($A$2:A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34)-1),"")</f>
        <v>44910</v>
      </c>
      <c r="B34" t="str" cm="1">
        <f t="array" ref="B34">IF($A34="","",INDEX(Decisiones!$A$2:$A$237,MATCH(INDEX(Explorador_Integrantes!$GO$2:$GO$30,MATCH(Explorador_Integrantes!$X$2,Explorador_Integrantes!$GN$2:$GN$30,0)),Decisiones!$B$2:$B$237,0)+ROWS($A$2:A34)-1))</f>
        <v>D20221215</v>
      </c>
      <c r="C34" cm="1">
        <f t="array" ref="C34">IF($A34="","",INDEX(Decisiones!$H$2:$H$237,MATCH(INDEX(Explorador_Integrantes!$GO$2:$GO$30,MATCH(Explorador_Integrantes!$X$2,Explorador_Integrantes!$GN$2:$GN$30,0)),Decisiones!$B$2:$B$237,0)+ROWS($A$2:A34)-1))</f>
        <v>10.5</v>
      </c>
      <c r="D34">
        <f>IF($B34="","",--(COUNTIFS(Votaciones!$A$2:$A$336,$B34,Votaciones!$B$2:$B$336,Explorador_Integrantes!$X$2,Votaciones!$D$2:$D$336,"Disenso restrictivo")&gt;0))</f>
        <v>0</v>
      </c>
      <c r="E34">
        <f>IF($B34="","",--(COUNTIFS(Votaciones!$A$2:$A$336,$B34,Votaciones!$B$2:$B$336,Explorador_Integrantes!$X$2,Votaciones!$D$2:$D$336,"Disenso acomodaticio")&gt;0))</f>
        <v>0</v>
      </c>
    </row>
    <row r="35" spans="1:5">
      <c r="A35" s="84" cm="1">
        <f t="array" ref="A35">IF(ROWS($A$2:A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35)-1),"")</f>
        <v>44966</v>
      </c>
      <c r="B35" t="str" cm="1">
        <f t="array" ref="B35">IF($A35="","",INDEX(Decisiones!$A$2:$A$237,MATCH(INDEX(Explorador_Integrantes!$GO$2:$GO$30,MATCH(Explorador_Integrantes!$X$2,Explorador_Integrantes!$GN$2:$GN$30,0)),Decisiones!$B$2:$B$237,0)+ROWS($A$2:A35)-1))</f>
        <v>D20230209</v>
      </c>
      <c r="C35" cm="1">
        <f t="array" ref="C35">IF($A35="","",INDEX(Decisiones!$H$2:$H$237,MATCH(INDEX(Explorador_Integrantes!$GO$2:$GO$30,MATCH(Explorador_Integrantes!$X$2,Explorador_Integrantes!$GN$2:$GN$30,0)),Decisiones!$B$2:$B$237,0)+ROWS($A$2:A35)-1))</f>
        <v>11</v>
      </c>
      <c r="D35">
        <f>IF($B35="","",--(COUNTIFS(Votaciones!$A$2:$A$336,$B35,Votaciones!$B$2:$B$336,Explorador_Integrantes!$X$2,Votaciones!$D$2:$D$336,"Disenso restrictivo")&gt;0))</f>
        <v>0</v>
      </c>
      <c r="E35">
        <f>IF($B35="","",--(COUNTIFS(Votaciones!$A$2:$A$336,$B35,Votaciones!$B$2:$B$336,Explorador_Integrantes!$X$2,Votaciones!$D$2:$D$336,"Disenso acomodaticio")&gt;0))</f>
        <v>0</v>
      </c>
    </row>
    <row r="36" spans="1:5">
      <c r="A36" s="84" cm="1">
        <f t="array" ref="A36">IF(ROWS($A$2:A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36)-1),"")</f>
        <v>45015</v>
      </c>
      <c r="B36" t="str" cm="1">
        <f t="array" ref="B36">IF($A36="","",INDEX(Decisiones!$A$2:$A$237,MATCH(INDEX(Explorador_Integrantes!$GO$2:$GO$30,MATCH(Explorador_Integrantes!$X$2,Explorador_Integrantes!$GN$2:$GN$30,0)),Decisiones!$B$2:$B$237,0)+ROWS($A$2:A36)-1))</f>
        <v>D20230330</v>
      </c>
      <c r="C36" cm="1">
        <f t="array" ref="C36">IF($A36="","",INDEX(Decisiones!$H$2:$H$237,MATCH(INDEX(Explorador_Integrantes!$GO$2:$GO$30,MATCH(Explorador_Integrantes!$X$2,Explorador_Integrantes!$GN$2:$GN$30,0)),Decisiones!$B$2:$B$237,0)+ROWS($A$2:A36)-1))</f>
        <v>11.25</v>
      </c>
      <c r="D36">
        <f>IF($B36="","",--(COUNTIFS(Votaciones!$A$2:$A$336,$B36,Votaciones!$B$2:$B$336,Explorador_Integrantes!$X$2,Votaciones!$D$2:$D$336,"Disenso restrictivo")&gt;0))</f>
        <v>0</v>
      </c>
      <c r="E36">
        <f>IF($B36="","",--(COUNTIFS(Votaciones!$A$2:$A$336,$B36,Votaciones!$B$2:$B$336,Explorador_Integrantes!$X$2,Votaciones!$D$2:$D$336,"Disenso acomodaticio")&gt;0))</f>
        <v>0</v>
      </c>
    </row>
    <row r="37" spans="1:5">
      <c r="A37" s="84" cm="1">
        <f t="array" ref="A37">IF(ROWS($A$2:A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37)-1),"")</f>
        <v>45064</v>
      </c>
      <c r="B37" t="str" cm="1">
        <f t="array" ref="B37">IF($A37="","",INDEX(Decisiones!$A$2:$A$237,MATCH(INDEX(Explorador_Integrantes!$GO$2:$GO$30,MATCH(Explorador_Integrantes!$X$2,Explorador_Integrantes!$GN$2:$GN$30,0)),Decisiones!$B$2:$B$237,0)+ROWS($A$2:A37)-1))</f>
        <v>D20230518</v>
      </c>
      <c r="C37" cm="1">
        <f t="array" ref="C37">IF($A37="","",INDEX(Decisiones!$H$2:$H$237,MATCH(INDEX(Explorador_Integrantes!$GO$2:$GO$30,MATCH(Explorador_Integrantes!$X$2,Explorador_Integrantes!$GN$2:$GN$30,0)),Decisiones!$B$2:$B$237,0)+ROWS($A$2:A37)-1))</f>
        <v>11.25</v>
      </c>
      <c r="D37">
        <f>IF($B37="","",--(COUNTIFS(Votaciones!$A$2:$A$336,$B37,Votaciones!$B$2:$B$336,Explorador_Integrantes!$X$2,Votaciones!$D$2:$D$336,"Disenso restrictivo")&gt;0))</f>
        <v>0</v>
      </c>
      <c r="E37">
        <f>IF($B37="","",--(COUNTIFS(Votaciones!$A$2:$A$336,$B37,Votaciones!$B$2:$B$336,Explorador_Integrantes!$X$2,Votaciones!$D$2:$D$336,"Disenso acomodaticio")&gt;0))</f>
        <v>0</v>
      </c>
    </row>
    <row r="38" spans="1:5">
      <c r="A38" s="84" cm="1">
        <f t="array" ref="A38">IF(ROWS($A$2:A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38)-1),"")</f>
        <v>45099</v>
      </c>
      <c r="B38" t="str" cm="1">
        <f t="array" ref="B38">IF($A38="","",INDEX(Decisiones!$A$2:$A$237,MATCH(INDEX(Explorador_Integrantes!$GO$2:$GO$30,MATCH(Explorador_Integrantes!$X$2,Explorador_Integrantes!$GN$2:$GN$30,0)),Decisiones!$B$2:$B$237,0)+ROWS($A$2:A38)-1))</f>
        <v>D20230622</v>
      </c>
      <c r="C38" cm="1">
        <f t="array" ref="C38">IF($A38="","",INDEX(Decisiones!$H$2:$H$237,MATCH(INDEX(Explorador_Integrantes!$GO$2:$GO$30,MATCH(Explorador_Integrantes!$X$2,Explorador_Integrantes!$GN$2:$GN$30,0)),Decisiones!$B$2:$B$237,0)+ROWS($A$2:A38)-1))</f>
        <v>11.25</v>
      </c>
      <c r="D38">
        <f>IF($B38="","",--(COUNTIFS(Votaciones!$A$2:$A$336,$B38,Votaciones!$B$2:$B$336,Explorador_Integrantes!$X$2,Votaciones!$D$2:$D$336,"Disenso restrictivo")&gt;0))</f>
        <v>0</v>
      </c>
      <c r="E38">
        <f>IF($B38="","",--(COUNTIFS(Votaciones!$A$2:$A$336,$B38,Votaciones!$B$2:$B$336,Explorador_Integrantes!$X$2,Votaciones!$D$2:$D$336,"Disenso acomodaticio")&gt;0))</f>
        <v>0</v>
      </c>
    </row>
    <row r="39" spans="1:5">
      <c r="A39" s="84" cm="1">
        <f t="array" ref="A39">IF(ROWS($A$2:A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39)-1),"")</f>
        <v>45148</v>
      </c>
      <c r="B39" t="str" cm="1">
        <f t="array" ref="B39">IF($A39="","",INDEX(Decisiones!$A$2:$A$237,MATCH(INDEX(Explorador_Integrantes!$GO$2:$GO$30,MATCH(Explorador_Integrantes!$X$2,Explorador_Integrantes!$GN$2:$GN$30,0)),Decisiones!$B$2:$B$237,0)+ROWS($A$2:A39)-1))</f>
        <v>D20230810</v>
      </c>
      <c r="C39" cm="1">
        <f t="array" ref="C39">IF($A39="","",INDEX(Decisiones!$H$2:$H$237,MATCH(INDEX(Explorador_Integrantes!$GO$2:$GO$30,MATCH(Explorador_Integrantes!$X$2,Explorador_Integrantes!$GN$2:$GN$30,0)),Decisiones!$B$2:$B$237,0)+ROWS($A$2:A39)-1))</f>
        <v>11.25</v>
      </c>
      <c r="D39">
        <f>IF($B39="","",--(COUNTIFS(Votaciones!$A$2:$A$336,$B39,Votaciones!$B$2:$B$336,Explorador_Integrantes!$X$2,Votaciones!$D$2:$D$336,"Disenso restrictivo")&gt;0))</f>
        <v>0</v>
      </c>
      <c r="E39">
        <f>IF($B39="","",--(COUNTIFS(Votaciones!$A$2:$A$336,$B39,Votaciones!$B$2:$B$336,Explorador_Integrantes!$X$2,Votaciones!$D$2:$D$336,"Disenso acomodaticio")&gt;0))</f>
        <v>0</v>
      </c>
    </row>
    <row r="40" spans="1:5">
      <c r="A40" s="84" cm="1">
        <f t="array" ref="A40">IF(ROWS($A$2:A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40)-1),"")</f>
        <v>45197</v>
      </c>
      <c r="B40" t="str" cm="1">
        <f t="array" ref="B40">IF($A40="","",INDEX(Decisiones!$A$2:$A$237,MATCH(INDEX(Explorador_Integrantes!$GO$2:$GO$30,MATCH(Explorador_Integrantes!$X$2,Explorador_Integrantes!$GN$2:$GN$30,0)),Decisiones!$B$2:$B$237,0)+ROWS($A$2:A40)-1))</f>
        <v>D20230928</v>
      </c>
      <c r="C40" cm="1">
        <f t="array" ref="C40">IF($A40="","",INDEX(Decisiones!$H$2:$H$237,MATCH(INDEX(Explorador_Integrantes!$GO$2:$GO$30,MATCH(Explorador_Integrantes!$X$2,Explorador_Integrantes!$GN$2:$GN$30,0)),Decisiones!$B$2:$B$237,0)+ROWS($A$2:A40)-1))</f>
        <v>11.25</v>
      </c>
      <c r="D40">
        <f>IF($B40="","",--(COUNTIFS(Votaciones!$A$2:$A$336,$B40,Votaciones!$B$2:$B$336,Explorador_Integrantes!$X$2,Votaciones!$D$2:$D$336,"Disenso restrictivo")&gt;0))</f>
        <v>0</v>
      </c>
      <c r="E40">
        <f>IF($B40="","",--(COUNTIFS(Votaciones!$A$2:$A$336,$B40,Votaciones!$B$2:$B$336,Explorador_Integrantes!$X$2,Votaciones!$D$2:$D$336,"Disenso acomodaticio")&gt;0))</f>
        <v>0</v>
      </c>
    </row>
    <row r="41" spans="1:5">
      <c r="A41" s="84" cm="1">
        <f t="array" ref="A41">IF(ROWS($A$2:A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41)-1),"")</f>
        <v>45239</v>
      </c>
      <c r="B41" t="str" cm="1">
        <f t="array" ref="B41">IF($A41="","",INDEX(Decisiones!$A$2:$A$237,MATCH(INDEX(Explorador_Integrantes!$GO$2:$GO$30,MATCH(Explorador_Integrantes!$X$2,Explorador_Integrantes!$GN$2:$GN$30,0)),Decisiones!$B$2:$B$237,0)+ROWS($A$2:A41)-1))</f>
        <v>D20231109</v>
      </c>
      <c r="C41" cm="1">
        <f t="array" ref="C41">IF($A41="","",INDEX(Decisiones!$H$2:$H$237,MATCH(INDEX(Explorador_Integrantes!$GO$2:$GO$30,MATCH(Explorador_Integrantes!$X$2,Explorador_Integrantes!$GN$2:$GN$30,0)),Decisiones!$B$2:$B$237,0)+ROWS($A$2:A41)-1))</f>
        <v>11.25</v>
      </c>
      <c r="D41">
        <f>IF($B41="","",--(COUNTIFS(Votaciones!$A$2:$A$336,$B41,Votaciones!$B$2:$B$336,Explorador_Integrantes!$X$2,Votaciones!$D$2:$D$336,"Disenso restrictivo")&gt;0))</f>
        <v>0</v>
      </c>
      <c r="E41">
        <f>IF($B41="","",--(COUNTIFS(Votaciones!$A$2:$A$336,$B41,Votaciones!$B$2:$B$336,Explorador_Integrantes!$X$2,Votaciones!$D$2:$D$336,"Disenso acomodaticio")&gt;0))</f>
        <v>0</v>
      </c>
    </row>
    <row r="42" spans="1:5">
      <c r="A42" s="84" cm="1">
        <f t="array" ref="A42">IF(ROWS($A$2:A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42)-1),"")</f>
        <v>45274</v>
      </c>
      <c r="B42" t="str" cm="1">
        <f t="array" ref="B42">IF($A42="","",INDEX(Decisiones!$A$2:$A$237,MATCH(INDEX(Explorador_Integrantes!$GO$2:$GO$30,MATCH(Explorador_Integrantes!$X$2,Explorador_Integrantes!$GN$2:$GN$30,0)),Decisiones!$B$2:$B$237,0)+ROWS($A$2:A42)-1))</f>
        <v>D20231214</v>
      </c>
      <c r="C42" cm="1">
        <f t="array" ref="C42">IF($A42="","",INDEX(Decisiones!$H$2:$H$237,MATCH(INDEX(Explorador_Integrantes!$GO$2:$GO$30,MATCH(Explorador_Integrantes!$X$2,Explorador_Integrantes!$GN$2:$GN$30,0)),Decisiones!$B$2:$B$237,0)+ROWS($A$2:A42)-1))</f>
        <v>11.25</v>
      </c>
      <c r="D42">
        <f>IF($B42="","",--(COUNTIFS(Votaciones!$A$2:$A$336,$B42,Votaciones!$B$2:$B$336,Explorador_Integrantes!$X$2,Votaciones!$D$2:$D$336,"Disenso restrictivo")&gt;0))</f>
        <v>0</v>
      </c>
      <c r="E42">
        <f>IF($B42="","",--(COUNTIFS(Votaciones!$A$2:$A$336,$B42,Votaciones!$B$2:$B$336,Explorador_Integrantes!$X$2,Votaciones!$D$2:$D$336,"Disenso acomodaticio")&gt;0))</f>
        <v>0</v>
      </c>
    </row>
    <row r="43" spans="1:5">
      <c r="A43" s="84" cm="1">
        <f t="array" ref="A43">IF(ROWS($A$2:A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43)-1),"")</f>
        <v>45330</v>
      </c>
      <c r="B43" t="str" cm="1">
        <f t="array" ref="B43">IF($A43="","",INDEX(Decisiones!$A$2:$A$237,MATCH(INDEX(Explorador_Integrantes!$GO$2:$GO$30,MATCH(Explorador_Integrantes!$X$2,Explorador_Integrantes!$GN$2:$GN$30,0)),Decisiones!$B$2:$B$237,0)+ROWS($A$2:A43)-1))</f>
        <v>D20240208</v>
      </c>
      <c r="C43" cm="1">
        <f t="array" ref="C43">IF($A43="","",INDEX(Decisiones!$H$2:$H$237,MATCH(INDEX(Explorador_Integrantes!$GO$2:$GO$30,MATCH(Explorador_Integrantes!$X$2,Explorador_Integrantes!$GN$2:$GN$30,0)),Decisiones!$B$2:$B$237,0)+ROWS($A$2:A43)-1))</f>
        <v>11.25</v>
      </c>
      <c r="D43">
        <f>IF($B43="","",--(COUNTIFS(Votaciones!$A$2:$A$336,$B43,Votaciones!$B$2:$B$336,Explorador_Integrantes!$X$2,Votaciones!$D$2:$D$336,"Disenso restrictivo")&gt;0))</f>
        <v>0</v>
      </c>
      <c r="E43">
        <f>IF($B43="","",--(COUNTIFS(Votaciones!$A$2:$A$336,$B43,Votaciones!$B$2:$B$336,Explorador_Integrantes!$X$2,Votaciones!$D$2:$D$336,"Disenso acomodaticio")&gt;0))</f>
        <v>0</v>
      </c>
    </row>
    <row r="44" spans="1:5">
      <c r="A44" s="84" cm="1">
        <f t="array" ref="A44">IF(ROWS($A$2:A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44)-1),"")</f>
        <v>45372</v>
      </c>
      <c r="B44" t="str" cm="1">
        <f t="array" ref="B44">IF($A44="","",INDEX(Decisiones!$A$2:$A$237,MATCH(INDEX(Explorador_Integrantes!$GO$2:$GO$30,MATCH(Explorador_Integrantes!$X$2,Explorador_Integrantes!$GN$2:$GN$30,0)),Decisiones!$B$2:$B$237,0)+ROWS($A$2:A44)-1))</f>
        <v>D20240321</v>
      </c>
      <c r="C44" cm="1">
        <f t="array" ref="C44">IF($A44="","",INDEX(Decisiones!$H$2:$H$237,MATCH(INDEX(Explorador_Integrantes!$GO$2:$GO$30,MATCH(Explorador_Integrantes!$X$2,Explorador_Integrantes!$GN$2:$GN$30,0)),Decisiones!$B$2:$B$237,0)+ROWS($A$2:A44)-1))</f>
        <v>11</v>
      </c>
      <c r="D44">
        <f>IF($B44="","",--(COUNTIFS(Votaciones!$A$2:$A$336,$B44,Votaciones!$B$2:$B$336,Explorador_Integrantes!$X$2,Votaciones!$D$2:$D$336,"Disenso restrictivo")&gt;0))</f>
        <v>0</v>
      </c>
      <c r="E44">
        <f>IF($B44="","",--(COUNTIFS(Votaciones!$A$2:$A$336,$B44,Votaciones!$B$2:$B$336,Explorador_Integrantes!$X$2,Votaciones!$D$2:$D$336,"Disenso acomodaticio")&gt;0))</f>
        <v>0</v>
      </c>
    </row>
    <row r="45" spans="1:5">
      <c r="A45" s="84" cm="1">
        <f t="array" ref="A45">IF(ROWS($A$2:A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45)-1),"")</f>
        <v>45421</v>
      </c>
      <c r="B45" t="str" cm="1">
        <f t="array" ref="B45">IF($A45="","",INDEX(Decisiones!$A$2:$A$237,MATCH(INDEX(Explorador_Integrantes!$GO$2:$GO$30,MATCH(Explorador_Integrantes!$X$2,Explorador_Integrantes!$GN$2:$GN$30,0)),Decisiones!$B$2:$B$237,0)+ROWS($A$2:A45)-1))</f>
        <v>D20240509</v>
      </c>
      <c r="C45" cm="1">
        <f t="array" ref="C45">IF($A45="","",INDEX(Decisiones!$H$2:$H$237,MATCH(INDEX(Explorador_Integrantes!$GO$2:$GO$30,MATCH(Explorador_Integrantes!$X$2,Explorador_Integrantes!$GN$2:$GN$30,0)),Decisiones!$B$2:$B$237,0)+ROWS($A$2:A45)-1))</f>
        <v>11</v>
      </c>
      <c r="D45">
        <f>IF($B45="","",--(COUNTIFS(Votaciones!$A$2:$A$336,$B45,Votaciones!$B$2:$B$336,Explorador_Integrantes!$X$2,Votaciones!$D$2:$D$336,"Disenso restrictivo")&gt;0))</f>
        <v>0</v>
      </c>
      <c r="E45">
        <f>IF($B45="","",--(COUNTIFS(Votaciones!$A$2:$A$336,$B45,Votaciones!$B$2:$B$336,Explorador_Integrantes!$X$2,Votaciones!$D$2:$D$336,"Disenso acomodaticio")&gt;0))</f>
        <v>0</v>
      </c>
    </row>
    <row r="46" spans="1:5">
      <c r="A46" s="84" cm="1">
        <f t="array" ref="A46">IF(ROWS($A$2:A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46)-1),"")</f>
        <v>45470</v>
      </c>
      <c r="B46" t="str" cm="1">
        <f t="array" ref="B46">IF($A46="","",INDEX(Decisiones!$A$2:$A$237,MATCH(INDEX(Explorador_Integrantes!$GO$2:$GO$30,MATCH(Explorador_Integrantes!$X$2,Explorador_Integrantes!$GN$2:$GN$30,0)),Decisiones!$B$2:$B$237,0)+ROWS($A$2:A46)-1))</f>
        <v>D20240627</v>
      </c>
      <c r="C46" cm="1">
        <f t="array" ref="C46">IF($A46="","",INDEX(Decisiones!$H$2:$H$237,MATCH(INDEX(Explorador_Integrantes!$GO$2:$GO$30,MATCH(Explorador_Integrantes!$X$2,Explorador_Integrantes!$GN$2:$GN$30,0)),Decisiones!$B$2:$B$237,0)+ROWS($A$2:A46)-1))</f>
        <v>11</v>
      </c>
      <c r="D46">
        <f>IF($B46="","",--(COUNTIFS(Votaciones!$A$2:$A$336,$B46,Votaciones!$B$2:$B$336,Explorador_Integrantes!$X$2,Votaciones!$D$2:$D$336,"Disenso restrictivo")&gt;0))</f>
        <v>0</v>
      </c>
      <c r="E46">
        <f>IF($B46="","",--(COUNTIFS(Votaciones!$A$2:$A$336,$B46,Votaciones!$B$2:$B$336,Explorador_Integrantes!$X$2,Votaciones!$D$2:$D$336,"Disenso acomodaticio")&gt;0))</f>
        <v>0</v>
      </c>
    </row>
    <row r="47" spans="1:5">
      <c r="A47" s="84" cm="1">
        <f t="array" ref="A47">IF(ROWS($A$2:A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47)-1),"")</f>
        <v>45512</v>
      </c>
      <c r="B47" t="str" cm="1">
        <f t="array" ref="B47">IF($A47="","",INDEX(Decisiones!$A$2:$A$237,MATCH(INDEX(Explorador_Integrantes!$GO$2:$GO$30,MATCH(Explorador_Integrantes!$X$2,Explorador_Integrantes!$GN$2:$GN$30,0)),Decisiones!$B$2:$B$237,0)+ROWS($A$2:A47)-1))</f>
        <v>D20240808</v>
      </c>
      <c r="C47" cm="1">
        <f t="array" ref="C47">IF($A47="","",INDEX(Decisiones!$H$2:$H$237,MATCH(INDEX(Explorador_Integrantes!$GO$2:$GO$30,MATCH(Explorador_Integrantes!$X$2,Explorador_Integrantes!$GN$2:$GN$30,0)),Decisiones!$B$2:$B$237,0)+ROWS($A$2:A47)-1))</f>
        <v>10.75</v>
      </c>
      <c r="D47">
        <f>IF($B47="","",--(COUNTIFS(Votaciones!$A$2:$A$336,$B47,Votaciones!$B$2:$B$336,Explorador_Integrantes!$X$2,Votaciones!$D$2:$D$336,"Disenso restrictivo")&gt;0))</f>
        <v>1</v>
      </c>
      <c r="E47">
        <f>IF($B47="","",--(COUNTIFS(Votaciones!$A$2:$A$336,$B47,Votaciones!$B$2:$B$336,Explorador_Integrantes!$X$2,Votaciones!$D$2:$D$336,"Disenso acomodaticio")&gt;0))</f>
        <v>0</v>
      </c>
    </row>
    <row r="48" spans="1:5">
      <c r="A48" s="84" cm="1">
        <f t="array" ref="A48">IF(ROWS($A$2:A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48)-1),"")</f>
        <v>45561</v>
      </c>
      <c r="B48" t="str" cm="1">
        <f t="array" ref="B48">IF($A48="","",INDEX(Decisiones!$A$2:$A$237,MATCH(INDEX(Explorador_Integrantes!$GO$2:$GO$30,MATCH(Explorador_Integrantes!$X$2,Explorador_Integrantes!$GN$2:$GN$30,0)),Decisiones!$B$2:$B$237,0)+ROWS($A$2:A48)-1))</f>
        <v>D20240926</v>
      </c>
      <c r="C48" cm="1">
        <f t="array" ref="C48">IF($A48="","",INDEX(Decisiones!$H$2:$H$237,MATCH(INDEX(Explorador_Integrantes!$GO$2:$GO$30,MATCH(Explorador_Integrantes!$X$2,Explorador_Integrantes!$GN$2:$GN$30,0)),Decisiones!$B$2:$B$237,0)+ROWS($A$2:A48)-1))</f>
        <v>10.5</v>
      </c>
      <c r="D48">
        <f>IF($B48="","",--(COUNTIFS(Votaciones!$A$2:$A$336,$B48,Votaciones!$B$2:$B$336,Explorador_Integrantes!$X$2,Votaciones!$D$2:$D$336,"Disenso restrictivo")&gt;0))</f>
        <v>1</v>
      </c>
      <c r="E48">
        <f>IF($B48="","",--(COUNTIFS(Votaciones!$A$2:$A$336,$B48,Votaciones!$B$2:$B$336,Explorador_Integrantes!$X$2,Votaciones!$D$2:$D$336,"Disenso acomodaticio")&gt;0))</f>
        <v>0</v>
      </c>
    </row>
    <row r="49" spans="1:5">
      <c r="A49" s="84" cm="1">
        <f t="array" ref="A49">IF(ROWS($A$2:A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49)-1),"")</f>
        <v>45610</v>
      </c>
      <c r="B49" t="str" cm="1">
        <f t="array" ref="B49">IF($A49="","",INDEX(Decisiones!$A$2:$A$237,MATCH(INDEX(Explorador_Integrantes!$GO$2:$GO$30,MATCH(Explorador_Integrantes!$X$2,Explorador_Integrantes!$GN$2:$GN$30,0)),Decisiones!$B$2:$B$237,0)+ROWS($A$2:A49)-1))</f>
        <v>D20241114</v>
      </c>
      <c r="C49" cm="1">
        <f t="array" ref="C49">IF($A49="","",INDEX(Decisiones!$H$2:$H$237,MATCH(INDEX(Explorador_Integrantes!$GO$2:$GO$30,MATCH(Explorador_Integrantes!$X$2,Explorador_Integrantes!$GN$2:$GN$30,0)),Decisiones!$B$2:$B$237,0)+ROWS($A$2:A49)-1))</f>
        <v>10.25</v>
      </c>
      <c r="D49">
        <f>IF($B49="","",--(COUNTIFS(Votaciones!$A$2:$A$336,$B49,Votaciones!$B$2:$B$336,Explorador_Integrantes!$X$2,Votaciones!$D$2:$D$336,"Disenso restrictivo")&gt;0))</f>
        <v>0</v>
      </c>
      <c r="E49">
        <f>IF($B49="","",--(COUNTIFS(Votaciones!$A$2:$A$336,$B49,Votaciones!$B$2:$B$336,Explorador_Integrantes!$X$2,Votaciones!$D$2:$D$336,"Disenso acomodaticio")&gt;0))</f>
        <v>0</v>
      </c>
    </row>
    <row r="50" spans="1:5">
      <c r="A50" s="84" cm="1">
        <f t="array" ref="A50">IF(ROWS($A$2:A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50)-1),"")</f>
        <v>45645</v>
      </c>
      <c r="B50" t="str" cm="1">
        <f t="array" ref="B50">IF($A50="","",INDEX(Decisiones!$A$2:$A$237,MATCH(INDEX(Explorador_Integrantes!$GO$2:$GO$30,MATCH(Explorador_Integrantes!$X$2,Explorador_Integrantes!$GN$2:$GN$30,0)),Decisiones!$B$2:$B$237,0)+ROWS($A$2:A50)-1))</f>
        <v>D20241219</v>
      </c>
      <c r="C50" cm="1">
        <f t="array" ref="C50">IF($A50="","",INDEX(Decisiones!$H$2:$H$237,MATCH(INDEX(Explorador_Integrantes!$GO$2:$GO$30,MATCH(Explorador_Integrantes!$X$2,Explorador_Integrantes!$GN$2:$GN$30,0)),Decisiones!$B$2:$B$237,0)+ROWS($A$2:A50)-1))</f>
        <v>10</v>
      </c>
      <c r="D50">
        <f>IF($B50="","",--(COUNTIFS(Votaciones!$A$2:$A$336,$B50,Votaciones!$B$2:$B$336,Explorador_Integrantes!$X$2,Votaciones!$D$2:$D$336,"Disenso restrictivo")&gt;0))</f>
        <v>0</v>
      </c>
      <c r="E50">
        <f>IF($B50="","",--(COUNTIFS(Votaciones!$A$2:$A$336,$B50,Votaciones!$B$2:$B$336,Explorador_Integrantes!$X$2,Votaciones!$D$2:$D$336,"Disenso acomodaticio")&gt;0))</f>
        <v>0</v>
      </c>
    </row>
    <row r="51" spans="1:5">
      <c r="A51" s="84" cm="1">
        <f t="array" ref="A51">IF(ROWS($A$2:A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51)-1),"")</f>
        <v>45694</v>
      </c>
      <c r="B51" t="str" cm="1">
        <f t="array" ref="B51">IF($A51="","",INDEX(Decisiones!$A$2:$A$237,MATCH(INDEX(Explorador_Integrantes!$GO$2:$GO$30,MATCH(Explorador_Integrantes!$X$2,Explorador_Integrantes!$GN$2:$GN$30,0)),Decisiones!$B$2:$B$237,0)+ROWS($A$2:A51)-1))</f>
        <v>D20250206</v>
      </c>
      <c r="C51" cm="1">
        <f t="array" ref="C51">IF($A51="","",INDEX(Decisiones!$H$2:$H$237,MATCH(INDEX(Explorador_Integrantes!$GO$2:$GO$30,MATCH(Explorador_Integrantes!$X$2,Explorador_Integrantes!$GN$2:$GN$30,0)),Decisiones!$B$2:$B$237,0)+ROWS($A$2:A51)-1))</f>
        <v>9.5</v>
      </c>
      <c r="D51">
        <f>IF($B51="","",--(COUNTIFS(Votaciones!$A$2:$A$336,$B51,Votaciones!$B$2:$B$336,Explorador_Integrantes!$X$2,Votaciones!$D$2:$D$336,"Disenso restrictivo")&gt;0))</f>
        <v>1</v>
      </c>
      <c r="E51">
        <f>IF($B51="","",--(COUNTIFS(Votaciones!$A$2:$A$336,$B51,Votaciones!$B$2:$B$336,Explorador_Integrantes!$X$2,Votaciones!$D$2:$D$336,"Disenso acomodaticio")&gt;0))</f>
        <v>0</v>
      </c>
    </row>
    <row r="52" spans="1:5">
      <c r="A52" s="84" cm="1">
        <f t="array" ref="A52">IF(ROWS($A$2:A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52)-1),"")</f>
        <v>45743</v>
      </c>
      <c r="B52" t="str" cm="1">
        <f t="array" ref="B52">IF($A52="","",INDEX(Decisiones!$A$2:$A$237,MATCH(INDEX(Explorador_Integrantes!$GO$2:$GO$30,MATCH(Explorador_Integrantes!$X$2,Explorador_Integrantes!$GN$2:$GN$30,0)),Decisiones!$B$2:$B$237,0)+ROWS($A$2:A52)-1))</f>
        <v>D20250327</v>
      </c>
      <c r="C52" cm="1">
        <f t="array" ref="C52">IF($A52="","",INDEX(Decisiones!$H$2:$H$237,MATCH(INDEX(Explorador_Integrantes!$GO$2:$GO$30,MATCH(Explorador_Integrantes!$X$2,Explorador_Integrantes!$GN$2:$GN$30,0)),Decisiones!$B$2:$B$237,0)+ROWS($A$2:A52)-1))</f>
        <v>9</v>
      </c>
      <c r="D52">
        <f>IF($B52="","",--(COUNTIFS(Votaciones!$A$2:$A$336,$B52,Votaciones!$B$2:$B$336,Explorador_Integrantes!$X$2,Votaciones!$D$2:$D$336,"Disenso restrictivo")&gt;0))</f>
        <v>0</v>
      </c>
      <c r="E52">
        <f>IF($B52="","",--(COUNTIFS(Votaciones!$A$2:$A$336,$B52,Votaciones!$B$2:$B$336,Explorador_Integrantes!$X$2,Votaciones!$D$2:$D$336,"Disenso acomodaticio")&gt;0))</f>
        <v>0</v>
      </c>
    </row>
    <row r="53" spans="1:5">
      <c r="A53" s="84" cm="1">
        <f t="array" ref="A53">IF(ROWS($A$2:A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53)-1),"")</f>
        <v>45792</v>
      </c>
      <c r="B53" t="str" cm="1">
        <f t="array" ref="B53">IF($A53="","",INDEX(Decisiones!$A$2:$A$237,MATCH(INDEX(Explorador_Integrantes!$GO$2:$GO$30,MATCH(Explorador_Integrantes!$X$2,Explorador_Integrantes!$GN$2:$GN$30,0)),Decisiones!$B$2:$B$237,0)+ROWS($A$2:A53)-1))</f>
        <v>D20250515</v>
      </c>
      <c r="C53" cm="1">
        <f t="array" ref="C53">IF($A53="","",INDEX(Decisiones!$H$2:$H$237,MATCH(INDEX(Explorador_Integrantes!$GO$2:$GO$30,MATCH(Explorador_Integrantes!$X$2,Explorador_Integrantes!$GN$2:$GN$30,0)),Decisiones!$B$2:$B$237,0)+ROWS($A$2:A53)-1))</f>
        <v>8.5</v>
      </c>
      <c r="D53">
        <f>IF($B53="","",--(COUNTIFS(Votaciones!$A$2:$A$336,$B53,Votaciones!$B$2:$B$336,Explorador_Integrantes!$X$2,Votaciones!$D$2:$D$336,"Disenso restrictivo")&gt;0))</f>
        <v>0</v>
      </c>
      <c r="E53">
        <f>IF($B53="","",--(COUNTIFS(Votaciones!$A$2:$A$336,$B53,Votaciones!$B$2:$B$336,Explorador_Integrantes!$X$2,Votaciones!$D$2:$D$336,"Disenso acomodaticio")&gt;0))</f>
        <v>0</v>
      </c>
    </row>
    <row r="54" spans="1:5">
      <c r="A54" s="84" cm="1">
        <f t="array" ref="A54">IF(ROWS($A$2:A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54)-1),"")</f>
        <v>45834</v>
      </c>
      <c r="B54" t="str" cm="1">
        <f t="array" ref="B54">IF($A54="","",INDEX(Decisiones!$A$2:$A$237,MATCH(INDEX(Explorador_Integrantes!$GO$2:$GO$30,MATCH(Explorador_Integrantes!$X$2,Explorador_Integrantes!$GN$2:$GN$30,0)),Decisiones!$B$2:$B$237,0)+ROWS($A$2:A54)-1))</f>
        <v>D20250626</v>
      </c>
      <c r="C54" cm="1">
        <f t="array" ref="C54">IF($A54="","",INDEX(Decisiones!$H$2:$H$237,MATCH(INDEX(Explorador_Integrantes!$GO$2:$GO$30,MATCH(Explorador_Integrantes!$X$2,Explorador_Integrantes!$GN$2:$GN$30,0)),Decisiones!$B$2:$B$237,0)+ROWS($A$2:A54)-1))</f>
        <v>8</v>
      </c>
      <c r="D54">
        <f>IF($B54="","",--(COUNTIFS(Votaciones!$A$2:$A$336,$B54,Votaciones!$B$2:$B$336,Explorador_Integrantes!$X$2,Votaciones!$D$2:$D$336,"Disenso restrictivo")&gt;0))</f>
        <v>1</v>
      </c>
      <c r="E54">
        <f>IF($B54="","",--(COUNTIFS(Votaciones!$A$2:$A$336,$B54,Votaciones!$B$2:$B$336,Explorador_Integrantes!$X$2,Votaciones!$D$2:$D$336,"Disenso acomodaticio")&gt;0))</f>
        <v>0</v>
      </c>
    </row>
    <row r="55" spans="1:5">
      <c r="A55" s="84" cm="1">
        <f t="array" ref="A55">IF(ROWS($A$2:A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55)-1),"")</f>
        <v>45876</v>
      </c>
      <c r="B55" t="str" cm="1">
        <f t="array" ref="B55">IF($A55="","",INDEX(Decisiones!$A$2:$A$237,MATCH(INDEX(Explorador_Integrantes!$GO$2:$GO$30,MATCH(Explorador_Integrantes!$X$2,Explorador_Integrantes!$GN$2:$GN$30,0)),Decisiones!$B$2:$B$237,0)+ROWS($A$2:A55)-1))</f>
        <v>D20250807</v>
      </c>
      <c r="C55" cm="1">
        <f t="array" ref="C55">IF($A55="","",INDEX(Decisiones!$H$2:$H$237,MATCH(INDEX(Explorador_Integrantes!$GO$2:$GO$30,MATCH(Explorador_Integrantes!$X$2,Explorador_Integrantes!$GN$2:$GN$30,0)),Decisiones!$B$2:$B$237,0)+ROWS($A$2:A55)-1))</f>
        <v>7.75</v>
      </c>
      <c r="D55">
        <f>IF($B55="","",--(COUNTIFS(Votaciones!$A$2:$A$336,$B55,Votaciones!$B$2:$B$336,Explorador_Integrantes!$X$2,Votaciones!$D$2:$D$336,"Disenso restrictivo")&gt;0))</f>
        <v>1</v>
      </c>
      <c r="E55">
        <f>IF($B55="","",--(COUNTIFS(Votaciones!$A$2:$A$336,$B55,Votaciones!$B$2:$B$336,Explorador_Integrantes!$X$2,Votaciones!$D$2:$D$336,"Disenso acomodaticio")&gt;0))</f>
        <v>0</v>
      </c>
    </row>
    <row r="56" spans="1:5">
      <c r="A56" s="84" cm="1">
        <f t="array" ref="A56">IF(ROWS($A$2:A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56)-1),"")</f>
        <v>45925</v>
      </c>
      <c r="B56" t="str" cm="1">
        <f t="array" ref="B56">IF($A56="","",INDEX(Decisiones!$A$2:$A$237,MATCH(INDEX(Explorador_Integrantes!$GO$2:$GO$30,MATCH(Explorador_Integrantes!$X$2,Explorador_Integrantes!$GN$2:$GN$30,0)),Decisiones!$B$2:$B$237,0)+ROWS($A$2:A56)-1))</f>
        <v>D20250925</v>
      </c>
      <c r="C56" cm="1">
        <f t="array" ref="C56">IF($A56="","",INDEX(Decisiones!$H$2:$H$237,MATCH(INDEX(Explorador_Integrantes!$GO$2:$GO$30,MATCH(Explorador_Integrantes!$X$2,Explorador_Integrantes!$GN$2:$GN$30,0)),Decisiones!$B$2:$B$237,0)+ROWS($A$2:A56)-1))</f>
        <v>7.5</v>
      </c>
      <c r="D56">
        <f>IF($B56="","",--(COUNTIFS(Votaciones!$A$2:$A$336,$B56,Votaciones!$B$2:$B$336,Explorador_Integrantes!$X$2,Votaciones!$D$2:$D$336,"Disenso restrictivo")&gt;0))</f>
        <v>1</v>
      </c>
      <c r="E56">
        <f>IF($B56="","",--(COUNTIFS(Votaciones!$A$2:$A$336,$B56,Votaciones!$B$2:$B$336,Explorador_Integrantes!$X$2,Votaciones!$D$2:$D$336,"Disenso acomodaticio")&gt;0))</f>
        <v>0</v>
      </c>
    </row>
    <row r="57" spans="1:5">
      <c r="A57" s="84" cm="1">
        <f t="array" ref="A57">IF(ROWS($A$2:A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57)-1),"")</f>
        <v>45967</v>
      </c>
      <c r="B57" t="str" cm="1">
        <f t="array" ref="B57">IF($A57="","",INDEX(Decisiones!$A$2:$A$237,MATCH(INDEX(Explorador_Integrantes!$GO$2:$GO$30,MATCH(Explorador_Integrantes!$X$2,Explorador_Integrantes!$GN$2:$GN$30,0)),Decisiones!$B$2:$B$237,0)+ROWS($A$2:A57)-1))</f>
        <v>D20251106</v>
      </c>
      <c r="C57" cm="1">
        <f t="array" ref="C57">IF($A57="","",INDEX(Decisiones!$H$2:$H$237,MATCH(INDEX(Explorador_Integrantes!$GO$2:$GO$30,MATCH(Explorador_Integrantes!$X$2,Explorador_Integrantes!$GN$2:$GN$30,0)),Decisiones!$B$2:$B$237,0)+ROWS($A$2:A57)-1))</f>
        <v>7.25</v>
      </c>
      <c r="D57">
        <f>IF($B57="","",--(COUNTIFS(Votaciones!$A$2:$A$336,$B57,Votaciones!$B$2:$B$336,Explorador_Integrantes!$X$2,Votaciones!$D$2:$D$336,"Disenso restrictivo")&gt;0))</f>
        <v>1</v>
      </c>
      <c r="E57">
        <f>IF($B57="","",--(COUNTIFS(Votaciones!$A$2:$A$336,$B57,Votaciones!$B$2:$B$336,Explorador_Integrantes!$X$2,Votaciones!$D$2:$D$336,"Disenso acomodaticio")&gt;0))</f>
        <v>0</v>
      </c>
    </row>
    <row r="58" spans="1:5">
      <c r="A58" s="84" cm="1">
        <f t="array" ref="A58">IF(ROWS($A$2:A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58)-1),"")</f>
        <v>46009</v>
      </c>
      <c r="B58" t="str" cm="1">
        <f t="array" ref="B58">IF($A58="","",INDEX(Decisiones!$A$2:$A$237,MATCH(INDEX(Explorador_Integrantes!$GO$2:$GO$30,MATCH(Explorador_Integrantes!$X$2,Explorador_Integrantes!$GN$2:$GN$30,0)),Decisiones!$B$2:$B$237,0)+ROWS($A$2:A58)-1))</f>
        <v>D20251218</v>
      </c>
      <c r="C58" cm="1">
        <f t="array" ref="C58">IF($A58="","",INDEX(Decisiones!$H$2:$H$237,MATCH(INDEX(Explorador_Integrantes!$GO$2:$GO$30,MATCH(Explorador_Integrantes!$X$2,Explorador_Integrantes!$GN$2:$GN$30,0)),Decisiones!$B$2:$B$237,0)+ROWS($A$2:A58)-1))</f>
        <v>7</v>
      </c>
      <c r="D58">
        <f>IF($B58="","",--(COUNTIFS(Votaciones!$A$2:$A$336,$B58,Votaciones!$B$2:$B$336,Explorador_Integrantes!$X$2,Votaciones!$D$2:$D$336,"Disenso restrictivo")&gt;0))</f>
        <v>1</v>
      </c>
      <c r="E58">
        <f>IF($B58="","",--(COUNTIFS(Votaciones!$A$2:$A$336,$B58,Votaciones!$B$2:$B$336,Explorador_Integrantes!$X$2,Votaciones!$D$2:$D$336,"Disenso acomodaticio")&gt;0))</f>
        <v>0</v>
      </c>
    </row>
    <row r="59" spans="1:5">
      <c r="A59" s="84" cm="1">
        <f t="array" ref="A59">IF(ROWS($A$2:A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59)-1),"")</f>
        <v>46058</v>
      </c>
      <c r="B59" t="str" cm="1">
        <f t="array" ref="B59">IF($A59="","",INDEX(Decisiones!$A$2:$A$237,MATCH(INDEX(Explorador_Integrantes!$GO$2:$GO$30,MATCH(Explorador_Integrantes!$X$2,Explorador_Integrantes!$GN$2:$GN$30,0)),Decisiones!$B$2:$B$237,0)+ROWS($A$2:A59)-1))</f>
        <v>D20260205</v>
      </c>
      <c r="C59" cm="1">
        <f t="array" ref="C59">IF($A59="","",INDEX(Decisiones!$H$2:$H$237,MATCH(INDEX(Explorador_Integrantes!$GO$2:$GO$30,MATCH(Explorador_Integrantes!$X$2,Explorador_Integrantes!$GN$2:$GN$30,0)),Decisiones!$B$2:$B$237,0)+ROWS($A$2:A59)-1))</f>
        <v>7</v>
      </c>
      <c r="D59">
        <f>IF($B59="","",--(COUNTIFS(Votaciones!$A$2:$A$336,$B59,Votaciones!$B$2:$B$336,Explorador_Integrantes!$X$2,Votaciones!$D$2:$D$336,"Disenso restrictivo")&gt;0))</f>
        <v>0</v>
      </c>
      <c r="E59">
        <f>IF($B59="","",--(COUNTIFS(Votaciones!$A$2:$A$336,$B59,Votaciones!$B$2:$B$336,Explorador_Integrantes!$X$2,Votaciones!$D$2:$D$336,"Disenso acomodaticio")&gt;0))</f>
        <v>0</v>
      </c>
    </row>
    <row r="60" spans="1:5">
      <c r="A60" s="84" cm="1">
        <f t="array" ref="A60">IF(ROWS($A$2:A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60)-1),"")</f>
        <v>46107</v>
      </c>
      <c r="B60" t="str" cm="1">
        <f t="array" ref="B60">IF($A60="","",INDEX(Decisiones!$A$2:$A$237,MATCH(INDEX(Explorador_Integrantes!$GO$2:$GO$30,MATCH(Explorador_Integrantes!$X$2,Explorador_Integrantes!$GN$2:$GN$30,0)),Decisiones!$B$2:$B$237,0)+ROWS($A$2:A60)-1))</f>
        <v>D20260326</v>
      </c>
      <c r="C60" cm="1">
        <f t="array" ref="C60">IF($A60="","",INDEX(Decisiones!$H$2:$H$237,MATCH(INDEX(Explorador_Integrantes!$GO$2:$GO$30,MATCH(Explorador_Integrantes!$X$2,Explorador_Integrantes!$GN$2:$GN$30,0)),Decisiones!$B$2:$B$237,0)+ROWS($A$2:A60)-1))</f>
        <v>6.75</v>
      </c>
      <c r="D60">
        <f>IF($B60="","",--(COUNTIFS(Votaciones!$A$2:$A$336,$B60,Votaciones!$B$2:$B$336,Explorador_Integrantes!$X$2,Votaciones!$D$2:$D$336,"Disenso restrictivo")&gt;0))</f>
        <v>1</v>
      </c>
      <c r="E60">
        <f>IF($B60="","",--(COUNTIFS(Votaciones!$A$2:$A$336,$B60,Votaciones!$B$2:$B$336,Explorador_Integrantes!$X$2,Votaciones!$D$2:$D$336,"Disenso acomodaticio")&gt;0))</f>
        <v>0</v>
      </c>
    </row>
    <row r="61" spans="1:5">
      <c r="A61" s="84" cm="1">
        <f t="array" ref="A61">IF(ROWS($A$2:A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61)-1),"")</f>
        <v>46149</v>
      </c>
      <c r="B61" t="str" cm="1">
        <f t="array" ref="B61">IF($A61="","",INDEX(Decisiones!$A$2:$A$237,MATCH(INDEX(Explorador_Integrantes!$GO$2:$GO$30,MATCH(Explorador_Integrantes!$X$2,Explorador_Integrantes!$GN$2:$GN$30,0)),Decisiones!$B$2:$B$237,0)+ROWS($A$2:A61)-1))</f>
        <v>D20260507</v>
      </c>
      <c r="C61" cm="1">
        <f t="array" ref="C61">IF($A61="","",INDEX(Decisiones!$H$2:$H$237,MATCH(INDEX(Explorador_Integrantes!$GO$2:$GO$30,MATCH(Explorador_Integrantes!$X$2,Explorador_Integrantes!$GN$2:$GN$30,0)),Decisiones!$B$2:$B$237,0)+ROWS($A$2:A61)-1))</f>
        <v>6.5</v>
      </c>
      <c r="D61">
        <f>IF($B61="","",--(COUNTIFS(Votaciones!$A$2:$A$336,$B61,Votaciones!$B$2:$B$336,Explorador_Integrantes!$X$2,Votaciones!$D$2:$D$336,"Disenso restrictivo")&gt;0))</f>
        <v>1</v>
      </c>
      <c r="E61">
        <f>IF($B61="","",--(COUNTIFS(Votaciones!$A$2:$A$336,$B61,Votaciones!$B$2:$B$336,Explorador_Integrantes!$X$2,Votaciones!$D$2:$D$336,"Disenso acomodaticio")&gt;0))</f>
        <v>0</v>
      </c>
    </row>
    <row r="62" spans="1:5">
      <c r="A62" s="84" cm="1">
        <f t="array" ref="A62">IF(ROWS($A$2:A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62)-1),"")</f>
        <v>46198</v>
      </c>
      <c r="B62" t="str" cm="1">
        <f t="array" ref="B62">IF($A62="","",INDEX(Decisiones!$A$2:$A$237,MATCH(INDEX(Explorador_Integrantes!$GO$2:$GO$30,MATCH(Explorador_Integrantes!$X$2,Explorador_Integrantes!$GN$2:$GN$30,0)),Decisiones!$B$2:$B$237,0)+ROWS($A$2:A62)-1))</f>
        <v>D20260625</v>
      </c>
      <c r="C62" cm="1">
        <f t="array" ref="C62">IF($A62="","",INDEX(Decisiones!$H$2:$H$237,MATCH(INDEX(Explorador_Integrantes!$GO$2:$GO$30,MATCH(Explorador_Integrantes!$X$2,Explorador_Integrantes!$GN$2:$GN$30,0)),Decisiones!$B$2:$B$237,0)+ROWS($A$2:A62)-1))</f>
        <v>6.5</v>
      </c>
      <c r="D62">
        <f>IF($B62="","",--(COUNTIFS(Votaciones!$A$2:$A$336,$B62,Votaciones!$B$2:$B$336,Explorador_Integrantes!$X$2,Votaciones!$D$2:$D$336,"Disenso restrictivo")&gt;0))</f>
        <v>0</v>
      </c>
      <c r="E62">
        <f>IF($B62="","",--(COUNTIFS(Votaciones!$A$2:$A$336,$B62,Votaciones!$B$2:$B$336,Explorador_Integrantes!$X$2,Votaciones!$D$2:$D$336,"Disenso acomodaticio")&gt;0))</f>
        <v>0</v>
      </c>
    </row>
    <row r="63" spans="1:5">
      <c r="A63" s="84" t="str" cm="1">
        <f t="array" ref="A63">IF(ROWS($A$2:A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63)-1),"")</f>
        <v/>
      </c>
      <c r="B63" t="str" cm="1">
        <f t="array" ref="B63">IF($A63="","",INDEX(Decisiones!$A$2:$A$237,MATCH(INDEX(Explorador_Integrantes!$GO$2:$GO$30,MATCH(Explorador_Integrantes!$X$2,Explorador_Integrantes!$GN$2:$GN$30,0)),Decisiones!$B$2:$B$237,0)+ROWS($A$2:A63)-1))</f>
        <v/>
      </c>
      <c r="C63" t="str" cm="1">
        <f t="array" ref="C63">IF($A63="","",INDEX(Decisiones!$H$2:$H$237,MATCH(INDEX(Explorador_Integrantes!$GO$2:$GO$30,MATCH(Explorador_Integrantes!$X$2,Explorador_Integrantes!$GN$2:$GN$30,0)),Decisiones!$B$2:$B$237,0)+ROWS($A$2:A63)-1))</f>
        <v/>
      </c>
      <c r="D63" t="str">
        <f>IF($B63="","",--(COUNTIFS(Votaciones!$A$2:$A$336,$B63,Votaciones!$B$2:$B$336,Explorador_Integrantes!$X$2,Votaciones!$D$2:$D$336,"Disenso restrictivo")&gt;0))</f>
        <v/>
      </c>
      <c r="E63" t="str">
        <f>IF($B63="","",--(COUNTIFS(Votaciones!$A$2:$A$336,$B63,Votaciones!$B$2:$B$336,Explorador_Integrantes!$X$2,Votaciones!$D$2:$D$336,"Disenso acomodaticio")&gt;0))</f>
        <v/>
      </c>
    </row>
    <row r="64" spans="1:5">
      <c r="A64" s="84" t="str" cm="1">
        <f t="array" ref="A64">IF(ROWS($A$2:A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64)-1),"")</f>
        <v/>
      </c>
      <c r="B64" t="str" cm="1">
        <f t="array" ref="B64">IF($A64="","",INDEX(Decisiones!$A$2:$A$237,MATCH(INDEX(Explorador_Integrantes!$GO$2:$GO$30,MATCH(Explorador_Integrantes!$X$2,Explorador_Integrantes!$GN$2:$GN$30,0)),Decisiones!$B$2:$B$237,0)+ROWS($A$2:A64)-1))</f>
        <v/>
      </c>
      <c r="C64" t="str" cm="1">
        <f t="array" ref="C64">IF($A64="","",INDEX(Decisiones!$H$2:$H$237,MATCH(INDEX(Explorador_Integrantes!$GO$2:$GO$30,MATCH(Explorador_Integrantes!$X$2,Explorador_Integrantes!$GN$2:$GN$30,0)),Decisiones!$B$2:$B$237,0)+ROWS($A$2:A64)-1))</f>
        <v/>
      </c>
      <c r="D64" t="str">
        <f>IF($B64="","",--(COUNTIFS(Votaciones!$A$2:$A$336,$B64,Votaciones!$B$2:$B$336,Explorador_Integrantes!$X$2,Votaciones!$D$2:$D$336,"Disenso restrictivo")&gt;0))</f>
        <v/>
      </c>
      <c r="E64" t="str">
        <f>IF($B64="","",--(COUNTIFS(Votaciones!$A$2:$A$336,$B64,Votaciones!$B$2:$B$336,Explorador_Integrantes!$X$2,Votaciones!$D$2:$D$336,"Disenso acomodaticio")&gt;0))</f>
        <v/>
      </c>
    </row>
    <row r="65" spans="1:5">
      <c r="A65" s="84" t="str" cm="1">
        <f t="array" ref="A65">IF(ROWS($A$2:A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65)-1),"")</f>
        <v/>
      </c>
      <c r="B65" t="str" cm="1">
        <f t="array" ref="B65">IF($A65="","",INDEX(Decisiones!$A$2:$A$237,MATCH(INDEX(Explorador_Integrantes!$GO$2:$GO$30,MATCH(Explorador_Integrantes!$X$2,Explorador_Integrantes!$GN$2:$GN$30,0)),Decisiones!$B$2:$B$237,0)+ROWS($A$2:A65)-1))</f>
        <v/>
      </c>
      <c r="C65" t="str" cm="1">
        <f t="array" ref="C65">IF($A65="","",INDEX(Decisiones!$H$2:$H$237,MATCH(INDEX(Explorador_Integrantes!$GO$2:$GO$30,MATCH(Explorador_Integrantes!$X$2,Explorador_Integrantes!$GN$2:$GN$30,0)),Decisiones!$B$2:$B$237,0)+ROWS($A$2:A65)-1))</f>
        <v/>
      </c>
      <c r="D65" t="str">
        <f>IF($B65="","",--(COUNTIFS(Votaciones!$A$2:$A$336,$B65,Votaciones!$B$2:$B$336,Explorador_Integrantes!$X$2,Votaciones!$D$2:$D$336,"Disenso restrictivo")&gt;0))</f>
        <v/>
      </c>
      <c r="E65" t="str">
        <f>IF($B65="","",--(COUNTIFS(Votaciones!$A$2:$A$336,$B65,Votaciones!$B$2:$B$336,Explorador_Integrantes!$X$2,Votaciones!$D$2:$D$336,"Disenso acomodaticio")&gt;0))</f>
        <v/>
      </c>
    </row>
    <row r="66" spans="1:5">
      <c r="A66" s="84" t="str" cm="1">
        <f t="array" ref="A66">IF(ROWS($A$2:A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66)-1),"")</f>
        <v/>
      </c>
      <c r="B66" t="str" cm="1">
        <f t="array" ref="B66">IF($A66="","",INDEX(Decisiones!$A$2:$A$237,MATCH(INDEX(Explorador_Integrantes!$GO$2:$GO$30,MATCH(Explorador_Integrantes!$X$2,Explorador_Integrantes!$GN$2:$GN$30,0)),Decisiones!$B$2:$B$237,0)+ROWS($A$2:A66)-1))</f>
        <v/>
      </c>
      <c r="C66" t="str" cm="1">
        <f t="array" ref="C66">IF($A66="","",INDEX(Decisiones!$H$2:$H$237,MATCH(INDEX(Explorador_Integrantes!$GO$2:$GO$30,MATCH(Explorador_Integrantes!$X$2,Explorador_Integrantes!$GN$2:$GN$30,0)),Decisiones!$B$2:$B$237,0)+ROWS($A$2:A66)-1))</f>
        <v/>
      </c>
      <c r="D66" t="str">
        <f>IF($B66="","",--(COUNTIFS(Votaciones!$A$2:$A$336,$B66,Votaciones!$B$2:$B$336,Explorador_Integrantes!$X$2,Votaciones!$D$2:$D$336,"Disenso restrictivo")&gt;0))</f>
        <v/>
      </c>
      <c r="E66" t="str">
        <f>IF($B66="","",--(COUNTIFS(Votaciones!$A$2:$A$336,$B66,Votaciones!$B$2:$B$336,Explorador_Integrantes!$X$2,Votaciones!$D$2:$D$336,"Disenso acomodaticio")&gt;0))</f>
        <v/>
      </c>
    </row>
    <row r="67" spans="1:5">
      <c r="A67" s="84" t="str" cm="1">
        <f t="array" ref="A67">IF(ROWS($A$2:A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67)-1),"")</f>
        <v/>
      </c>
      <c r="B67" t="str" cm="1">
        <f t="array" ref="B67">IF($A67="","",INDEX(Decisiones!$A$2:$A$237,MATCH(INDEX(Explorador_Integrantes!$GO$2:$GO$30,MATCH(Explorador_Integrantes!$X$2,Explorador_Integrantes!$GN$2:$GN$30,0)),Decisiones!$B$2:$B$237,0)+ROWS($A$2:A67)-1))</f>
        <v/>
      </c>
      <c r="C67" t="str" cm="1">
        <f t="array" ref="C67">IF($A67="","",INDEX(Decisiones!$H$2:$H$237,MATCH(INDEX(Explorador_Integrantes!$GO$2:$GO$30,MATCH(Explorador_Integrantes!$X$2,Explorador_Integrantes!$GN$2:$GN$30,0)),Decisiones!$B$2:$B$237,0)+ROWS($A$2:A67)-1))</f>
        <v/>
      </c>
      <c r="D67" t="str">
        <f>IF($B67="","",--(COUNTIFS(Votaciones!$A$2:$A$336,$B67,Votaciones!$B$2:$B$336,Explorador_Integrantes!$X$2,Votaciones!$D$2:$D$336,"Disenso restrictivo")&gt;0))</f>
        <v/>
      </c>
      <c r="E67" t="str">
        <f>IF($B67="","",--(COUNTIFS(Votaciones!$A$2:$A$336,$B67,Votaciones!$B$2:$B$336,Explorador_Integrantes!$X$2,Votaciones!$D$2:$D$336,"Disenso acomodaticio")&gt;0))</f>
        <v/>
      </c>
    </row>
    <row r="68" spans="1:5">
      <c r="A68" s="84" t="str" cm="1">
        <f t="array" ref="A68">IF(ROWS($A$2:A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68)-1),"")</f>
        <v/>
      </c>
      <c r="B68" t="str" cm="1">
        <f t="array" ref="B68">IF($A68="","",INDEX(Decisiones!$A$2:$A$237,MATCH(INDEX(Explorador_Integrantes!$GO$2:$GO$30,MATCH(Explorador_Integrantes!$X$2,Explorador_Integrantes!$GN$2:$GN$30,0)),Decisiones!$B$2:$B$237,0)+ROWS($A$2:A68)-1))</f>
        <v/>
      </c>
      <c r="C68" t="str" cm="1">
        <f t="array" ref="C68">IF($A68="","",INDEX(Decisiones!$H$2:$H$237,MATCH(INDEX(Explorador_Integrantes!$GO$2:$GO$30,MATCH(Explorador_Integrantes!$X$2,Explorador_Integrantes!$GN$2:$GN$30,0)),Decisiones!$B$2:$B$237,0)+ROWS($A$2:A68)-1))</f>
        <v/>
      </c>
      <c r="D68" t="str">
        <f>IF($B68="","",--(COUNTIFS(Votaciones!$A$2:$A$336,$B68,Votaciones!$B$2:$B$336,Explorador_Integrantes!$X$2,Votaciones!$D$2:$D$336,"Disenso restrictivo")&gt;0))</f>
        <v/>
      </c>
      <c r="E68" t="str">
        <f>IF($B68="","",--(COUNTIFS(Votaciones!$A$2:$A$336,$B68,Votaciones!$B$2:$B$336,Explorador_Integrantes!$X$2,Votaciones!$D$2:$D$336,"Disenso acomodaticio")&gt;0))</f>
        <v/>
      </c>
    </row>
    <row r="69" spans="1:5">
      <c r="A69" s="84" t="str" cm="1">
        <f t="array" ref="A69">IF(ROWS($A$2:A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69)-1),"")</f>
        <v/>
      </c>
      <c r="B69" t="str" cm="1">
        <f t="array" ref="B69">IF($A69="","",INDEX(Decisiones!$A$2:$A$237,MATCH(INDEX(Explorador_Integrantes!$GO$2:$GO$30,MATCH(Explorador_Integrantes!$X$2,Explorador_Integrantes!$GN$2:$GN$30,0)),Decisiones!$B$2:$B$237,0)+ROWS($A$2:A69)-1))</f>
        <v/>
      </c>
      <c r="C69" t="str" cm="1">
        <f t="array" ref="C69">IF($A69="","",INDEX(Decisiones!$H$2:$H$237,MATCH(INDEX(Explorador_Integrantes!$GO$2:$GO$30,MATCH(Explorador_Integrantes!$X$2,Explorador_Integrantes!$GN$2:$GN$30,0)),Decisiones!$B$2:$B$237,0)+ROWS($A$2:A69)-1))</f>
        <v/>
      </c>
      <c r="D69" t="str">
        <f>IF($B69="","",--(COUNTIFS(Votaciones!$A$2:$A$336,$B69,Votaciones!$B$2:$B$336,Explorador_Integrantes!$X$2,Votaciones!$D$2:$D$336,"Disenso restrictivo")&gt;0))</f>
        <v/>
      </c>
      <c r="E69" t="str">
        <f>IF($B69="","",--(COUNTIFS(Votaciones!$A$2:$A$336,$B69,Votaciones!$B$2:$B$336,Explorador_Integrantes!$X$2,Votaciones!$D$2:$D$336,"Disenso acomodaticio")&gt;0))</f>
        <v/>
      </c>
    </row>
    <row r="70" spans="1:5">
      <c r="A70" s="84" t="str" cm="1">
        <f t="array" ref="A70">IF(ROWS($A$2:A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70)-1),"")</f>
        <v/>
      </c>
      <c r="B70" t="str" cm="1">
        <f t="array" ref="B70">IF($A70="","",INDEX(Decisiones!$A$2:$A$237,MATCH(INDEX(Explorador_Integrantes!$GO$2:$GO$30,MATCH(Explorador_Integrantes!$X$2,Explorador_Integrantes!$GN$2:$GN$30,0)),Decisiones!$B$2:$B$237,0)+ROWS($A$2:A70)-1))</f>
        <v/>
      </c>
      <c r="C70" t="str" cm="1">
        <f t="array" ref="C70">IF($A70="","",INDEX(Decisiones!$H$2:$H$237,MATCH(INDEX(Explorador_Integrantes!$GO$2:$GO$30,MATCH(Explorador_Integrantes!$X$2,Explorador_Integrantes!$GN$2:$GN$30,0)),Decisiones!$B$2:$B$237,0)+ROWS($A$2:A70)-1))</f>
        <v/>
      </c>
      <c r="D70" t="str">
        <f>IF($B70="","",--(COUNTIFS(Votaciones!$A$2:$A$336,$B70,Votaciones!$B$2:$B$336,Explorador_Integrantes!$X$2,Votaciones!$D$2:$D$336,"Disenso restrictivo")&gt;0))</f>
        <v/>
      </c>
      <c r="E70" t="str">
        <f>IF($B70="","",--(COUNTIFS(Votaciones!$A$2:$A$336,$B70,Votaciones!$B$2:$B$336,Explorador_Integrantes!$X$2,Votaciones!$D$2:$D$336,"Disenso acomodaticio")&gt;0))</f>
        <v/>
      </c>
    </row>
    <row r="71" spans="1:5">
      <c r="A71" s="84" t="str" cm="1">
        <f t="array" ref="A71">IF(ROWS($A$2:A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71)-1),"")</f>
        <v/>
      </c>
      <c r="B71" t="str" cm="1">
        <f t="array" ref="B71">IF($A71="","",INDEX(Decisiones!$A$2:$A$237,MATCH(INDEX(Explorador_Integrantes!$GO$2:$GO$30,MATCH(Explorador_Integrantes!$X$2,Explorador_Integrantes!$GN$2:$GN$30,0)),Decisiones!$B$2:$B$237,0)+ROWS($A$2:A71)-1))</f>
        <v/>
      </c>
      <c r="C71" t="str" cm="1">
        <f t="array" ref="C71">IF($A71="","",INDEX(Decisiones!$H$2:$H$237,MATCH(INDEX(Explorador_Integrantes!$GO$2:$GO$30,MATCH(Explorador_Integrantes!$X$2,Explorador_Integrantes!$GN$2:$GN$30,0)),Decisiones!$B$2:$B$237,0)+ROWS($A$2:A71)-1))</f>
        <v/>
      </c>
      <c r="D71" t="str">
        <f>IF($B71="","",--(COUNTIFS(Votaciones!$A$2:$A$336,$B71,Votaciones!$B$2:$B$336,Explorador_Integrantes!$X$2,Votaciones!$D$2:$D$336,"Disenso restrictivo")&gt;0))</f>
        <v/>
      </c>
      <c r="E71" t="str">
        <f>IF($B71="","",--(COUNTIFS(Votaciones!$A$2:$A$336,$B71,Votaciones!$B$2:$B$336,Explorador_Integrantes!$X$2,Votaciones!$D$2:$D$336,"Disenso acomodaticio")&gt;0))</f>
        <v/>
      </c>
    </row>
    <row r="72" spans="1:5">
      <c r="A72" s="84" t="str" cm="1">
        <f t="array" ref="A72">IF(ROWS($A$2:A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72)-1),"")</f>
        <v/>
      </c>
      <c r="B72" t="str" cm="1">
        <f t="array" ref="B72">IF($A72="","",INDEX(Decisiones!$A$2:$A$237,MATCH(INDEX(Explorador_Integrantes!$GO$2:$GO$30,MATCH(Explorador_Integrantes!$X$2,Explorador_Integrantes!$GN$2:$GN$30,0)),Decisiones!$B$2:$B$237,0)+ROWS($A$2:A72)-1))</f>
        <v/>
      </c>
      <c r="C72" t="str" cm="1">
        <f t="array" ref="C72">IF($A72="","",INDEX(Decisiones!$H$2:$H$237,MATCH(INDEX(Explorador_Integrantes!$GO$2:$GO$30,MATCH(Explorador_Integrantes!$X$2,Explorador_Integrantes!$GN$2:$GN$30,0)),Decisiones!$B$2:$B$237,0)+ROWS($A$2:A72)-1))</f>
        <v/>
      </c>
      <c r="D72" t="str">
        <f>IF($B72="","",--(COUNTIFS(Votaciones!$A$2:$A$336,$B72,Votaciones!$B$2:$B$336,Explorador_Integrantes!$X$2,Votaciones!$D$2:$D$336,"Disenso restrictivo")&gt;0))</f>
        <v/>
      </c>
      <c r="E72" t="str">
        <f>IF($B72="","",--(COUNTIFS(Votaciones!$A$2:$A$336,$B72,Votaciones!$B$2:$B$336,Explorador_Integrantes!$X$2,Votaciones!$D$2:$D$336,"Disenso acomodaticio")&gt;0))</f>
        <v/>
      </c>
    </row>
    <row r="73" spans="1:5">
      <c r="A73" s="84" t="str" cm="1">
        <f t="array" ref="A73">IF(ROWS($A$2:A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73)-1),"")</f>
        <v/>
      </c>
      <c r="B73" t="str" cm="1">
        <f t="array" ref="B73">IF($A73="","",INDEX(Decisiones!$A$2:$A$237,MATCH(INDEX(Explorador_Integrantes!$GO$2:$GO$30,MATCH(Explorador_Integrantes!$X$2,Explorador_Integrantes!$GN$2:$GN$30,0)),Decisiones!$B$2:$B$237,0)+ROWS($A$2:A73)-1))</f>
        <v/>
      </c>
      <c r="C73" t="str" cm="1">
        <f t="array" ref="C73">IF($A73="","",INDEX(Decisiones!$H$2:$H$237,MATCH(INDEX(Explorador_Integrantes!$GO$2:$GO$30,MATCH(Explorador_Integrantes!$X$2,Explorador_Integrantes!$GN$2:$GN$30,0)),Decisiones!$B$2:$B$237,0)+ROWS($A$2:A73)-1))</f>
        <v/>
      </c>
      <c r="D73" t="str">
        <f>IF($B73="","",--(COUNTIFS(Votaciones!$A$2:$A$336,$B73,Votaciones!$B$2:$B$336,Explorador_Integrantes!$X$2,Votaciones!$D$2:$D$336,"Disenso restrictivo")&gt;0))</f>
        <v/>
      </c>
      <c r="E73" t="str">
        <f>IF($B73="","",--(COUNTIFS(Votaciones!$A$2:$A$336,$B73,Votaciones!$B$2:$B$336,Explorador_Integrantes!$X$2,Votaciones!$D$2:$D$336,"Disenso acomodaticio")&gt;0))</f>
        <v/>
      </c>
    </row>
    <row r="74" spans="1:5">
      <c r="A74" s="84" t="str" cm="1">
        <f t="array" ref="A74">IF(ROWS($A$2:A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74)-1),"")</f>
        <v/>
      </c>
      <c r="B74" t="str" cm="1">
        <f t="array" ref="B74">IF($A74="","",INDEX(Decisiones!$A$2:$A$237,MATCH(INDEX(Explorador_Integrantes!$GO$2:$GO$30,MATCH(Explorador_Integrantes!$X$2,Explorador_Integrantes!$GN$2:$GN$30,0)),Decisiones!$B$2:$B$237,0)+ROWS($A$2:A74)-1))</f>
        <v/>
      </c>
      <c r="C74" t="str" cm="1">
        <f t="array" ref="C74">IF($A74="","",INDEX(Decisiones!$H$2:$H$237,MATCH(INDEX(Explorador_Integrantes!$GO$2:$GO$30,MATCH(Explorador_Integrantes!$X$2,Explorador_Integrantes!$GN$2:$GN$30,0)),Decisiones!$B$2:$B$237,0)+ROWS($A$2:A74)-1))</f>
        <v/>
      </c>
      <c r="D74" t="str">
        <f>IF($B74="","",--(COUNTIFS(Votaciones!$A$2:$A$336,$B74,Votaciones!$B$2:$B$336,Explorador_Integrantes!$X$2,Votaciones!$D$2:$D$336,"Disenso restrictivo")&gt;0))</f>
        <v/>
      </c>
      <c r="E74" t="str">
        <f>IF($B74="","",--(COUNTIFS(Votaciones!$A$2:$A$336,$B74,Votaciones!$B$2:$B$336,Explorador_Integrantes!$X$2,Votaciones!$D$2:$D$336,"Disenso acomodaticio")&gt;0))</f>
        <v/>
      </c>
    </row>
    <row r="75" spans="1:5">
      <c r="A75" s="84" t="str" cm="1">
        <f t="array" ref="A75">IF(ROWS($A$2:A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75)-1),"")</f>
        <v/>
      </c>
      <c r="B75" t="str" cm="1">
        <f t="array" ref="B75">IF($A75="","",INDEX(Decisiones!$A$2:$A$237,MATCH(INDEX(Explorador_Integrantes!$GO$2:$GO$30,MATCH(Explorador_Integrantes!$X$2,Explorador_Integrantes!$GN$2:$GN$30,0)),Decisiones!$B$2:$B$237,0)+ROWS($A$2:A75)-1))</f>
        <v/>
      </c>
      <c r="C75" t="str" cm="1">
        <f t="array" ref="C75">IF($A75="","",INDEX(Decisiones!$H$2:$H$237,MATCH(INDEX(Explorador_Integrantes!$GO$2:$GO$30,MATCH(Explorador_Integrantes!$X$2,Explorador_Integrantes!$GN$2:$GN$30,0)),Decisiones!$B$2:$B$237,0)+ROWS($A$2:A75)-1))</f>
        <v/>
      </c>
      <c r="D75" t="str">
        <f>IF($B75="","",--(COUNTIFS(Votaciones!$A$2:$A$336,$B75,Votaciones!$B$2:$B$336,Explorador_Integrantes!$X$2,Votaciones!$D$2:$D$336,"Disenso restrictivo")&gt;0))</f>
        <v/>
      </c>
      <c r="E75" t="str">
        <f>IF($B75="","",--(COUNTIFS(Votaciones!$A$2:$A$336,$B75,Votaciones!$B$2:$B$336,Explorador_Integrantes!$X$2,Votaciones!$D$2:$D$336,"Disenso acomodaticio")&gt;0))</f>
        <v/>
      </c>
    </row>
    <row r="76" spans="1:5">
      <c r="A76" s="84" t="str" cm="1">
        <f t="array" ref="A76">IF(ROWS($A$2:A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76)-1),"")</f>
        <v/>
      </c>
      <c r="B76" t="str" cm="1">
        <f t="array" ref="B76">IF($A76="","",INDEX(Decisiones!$A$2:$A$237,MATCH(INDEX(Explorador_Integrantes!$GO$2:$GO$30,MATCH(Explorador_Integrantes!$X$2,Explorador_Integrantes!$GN$2:$GN$30,0)),Decisiones!$B$2:$B$237,0)+ROWS($A$2:A76)-1))</f>
        <v/>
      </c>
      <c r="C76" t="str" cm="1">
        <f t="array" ref="C76">IF($A76="","",INDEX(Decisiones!$H$2:$H$237,MATCH(INDEX(Explorador_Integrantes!$GO$2:$GO$30,MATCH(Explorador_Integrantes!$X$2,Explorador_Integrantes!$GN$2:$GN$30,0)),Decisiones!$B$2:$B$237,0)+ROWS($A$2:A76)-1))</f>
        <v/>
      </c>
      <c r="D76" t="str">
        <f>IF($B76="","",--(COUNTIFS(Votaciones!$A$2:$A$336,$B76,Votaciones!$B$2:$B$336,Explorador_Integrantes!$X$2,Votaciones!$D$2:$D$336,"Disenso restrictivo")&gt;0))</f>
        <v/>
      </c>
      <c r="E76" t="str">
        <f>IF($B76="","",--(COUNTIFS(Votaciones!$A$2:$A$336,$B76,Votaciones!$B$2:$B$336,Explorador_Integrantes!$X$2,Votaciones!$D$2:$D$336,"Disenso acomodaticio")&gt;0))</f>
        <v/>
      </c>
    </row>
    <row r="77" spans="1:5">
      <c r="A77" s="84" t="str" cm="1">
        <f t="array" ref="A77">IF(ROWS($A$2:A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77)-1),"")</f>
        <v/>
      </c>
      <c r="B77" t="str" cm="1">
        <f t="array" ref="B77">IF($A77="","",INDEX(Decisiones!$A$2:$A$237,MATCH(INDEX(Explorador_Integrantes!$GO$2:$GO$30,MATCH(Explorador_Integrantes!$X$2,Explorador_Integrantes!$GN$2:$GN$30,0)),Decisiones!$B$2:$B$237,0)+ROWS($A$2:A77)-1))</f>
        <v/>
      </c>
      <c r="C77" t="str" cm="1">
        <f t="array" ref="C77">IF($A77="","",INDEX(Decisiones!$H$2:$H$237,MATCH(INDEX(Explorador_Integrantes!$GO$2:$GO$30,MATCH(Explorador_Integrantes!$X$2,Explorador_Integrantes!$GN$2:$GN$30,0)),Decisiones!$B$2:$B$237,0)+ROWS($A$2:A77)-1))</f>
        <v/>
      </c>
      <c r="D77" t="str">
        <f>IF($B77="","",--(COUNTIFS(Votaciones!$A$2:$A$336,$B77,Votaciones!$B$2:$B$336,Explorador_Integrantes!$X$2,Votaciones!$D$2:$D$336,"Disenso restrictivo")&gt;0))</f>
        <v/>
      </c>
      <c r="E77" t="str">
        <f>IF($B77="","",--(COUNTIFS(Votaciones!$A$2:$A$336,$B77,Votaciones!$B$2:$B$336,Explorador_Integrantes!$X$2,Votaciones!$D$2:$D$336,"Disenso acomodaticio")&gt;0))</f>
        <v/>
      </c>
    </row>
    <row r="78" spans="1:5">
      <c r="A78" s="84" t="str" cm="1">
        <f t="array" ref="A78">IF(ROWS($A$2:A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78)-1),"")</f>
        <v/>
      </c>
      <c r="B78" t="str" cm="1">
        <f t="array" ref="B78">IF($A78="","",INDEX(Decisiones!$A$2:$A$237,MATCH(INDEX(Explorador_Integrantes!$GO$2:$GO$30,MATCH(Explorador_Integrantes!$X$2,Explorador_Integrantes!$GN$2:$GN$30,0)),Decisiones!$B$2:$B$237,0)+ROWS($A$2:A78)-1))</f>
        <v/>
      </c>
      <c r="C78" t="str" cm="1">
        <f t="array" ref="C78">IF($A78="","",INDEX(Decisiones!$H$2:$H$237,MATCH(INDEX(Explorador_Integrantes!$GO$2:$GO$30,MATCH(Explorador_Integrantes!$X$2,Explorador_Integrantes!$GN$2:$GN$30,0)),Decisiones!$B$2:$B$237,0)+ROWS($A$2:A78)-1))</f>
        <v/>
      </c>
      <c r="D78" t="str">
        <f>IF($B78="","",--(COUNTIFS(Votaciones!$A$2:$A$336,$B78,Votaciones!$B$2:$B$336,Explorador_Integrantes!$X$2,Votaciones!$D$2:$D$336,"Disenso restrictivo")&gt;0))</f>
        <v/>
      </c>
      <c r="E78" t="str">
        <f>IF($B78="","",--(COUNTIFS(Votaciones!$A$2:$A$336,$B78,Votaciones!$B$2:$B$336,Explorador_Integrantes!$X$2,Votaciones!$D$2:$D$336,"Disenso acomodaticio")&gt;0))</f>
        <v/>
      </c>
    </row>
    <row r="79" spans="1:5">
      <c r="A79" s="84" t="str" cm="1">
        <f t="array" ref="A79">IF(ROWS($A$2:A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79)-1),"")</f>
        <v/>
      </c>
      <c r="B79" t="str" cm="1">
        <f t="array" ref="B79">IF($A79="","",INDEX(Decisiones!$A$2:$A$237,MATCH(INDEX(Explorador_Integrantes!$GO$2:$GO$30,MATCH(Explorador_Integrantes!$X$2,Explorador_Integrantes!$GN$2:$GN$30,0)),Decisiones!$B$2:$B$237,0)+ROWS($A$2:A79)-1))</f>
        <v/>
      </c>
      <c r="C79" t="str" cm="1">
        <f t="array" ref="C79">IF($A79="","",INDEX(Decisiones!$H$2:$H$237,MATCH(INDEX(Explorador_Integrantes!$GO$2:$GO$30,MATCH(Explorador_Integrantes!$X$2,Explorador_Integrantes!$GN$2:$GN$30,0)),Decisiones!$B$2:$B$237,0)+ROWS($A$2:A79)-1))</f>
        <v/>
      </c>
      <c r="D79" t="str">
        <f>IF($B79="","",--(COUNTIFS(Votaciones!$A$2:$A$336,$B79,Votaciones!$B$2:$B$336,Explorador_Integrantes!$X$2,Votaciones!$D$2:$D$336,"Disenso restrictivo")&gt;0))</f>
        <v/>
      </c>
      <c r="E79" t="str">
        <f>IF($B79="","",--(COUNTIFS(Votaciones!$A$2:$A$336,$B79,Votaciones!$B$2:$B$336,Explorador_Integrantes!$X$2,Votaciones!$D$2:$D$336,"Disenso acomodaticio")&gt;0))</f>
        <v/>
      </c>
    </row>
    <row r="80" spans="1:5">
      <c r="A80" s="84" t="str" cm="1">
        <f t="array" ref="A80">IF(ROWS($A$2:A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80)-1),"")</f>
        <v/>
      </c>
      <c r="B80" t="str" cm="1">
        <f t="array" ref="B80">IF($A80="","",INDEX(Decisiones!$A$2:$A$237,MATCH(INDEX(Explorador_Integrantes!$GO$2:$GO$30,MATCH(Explorador_Integrantes!$X$2,Explorador_Integrantes!$GN$2:$GN$30,0)),Decisiones!$B$2:$B$237,0)+ROWS($A$2:A80)-1))</f>
        <v/>
      </c>
      <c r="C80" t="str" cm="1">
        <f t="array" ref="C80">IF($A80="","",INDEX(Decisiones!$H$2:$H$237,MATCH(INDEX(Explorador_Integrantes!$GO$2:$GO$30,MATCH(Explorador_Integrantes!$X$2,Explorador_Integrantes!$GN$2:$GN$30,0)),Decisiones!$B$2:$B$237,0)+ROWS($A$2:A80)-1))</f>
        <v/>
      </c>
      <c r="D80" t="str">
        <f>IF($B80="","",--(COUNTIFS(Votaciones!$A$2:$A$336,$B80,Votaciones!$B$2:$B$336,Explorador_Integrantes!$X$2,Votaciones!$D$2:$D$336,"Disenso restrictivo")&gt;0))</f>
        <v/>
      </c>
      <c r="E80" t="str">
        <f>IF($B80="","",--(COUNTIFS(Votaciones!$A$2:$A$336,$B80,Votaciones!$B$2:$B$336,Explorador_Integrantes!$X$2,Votaciones!$D$2:$D$336,"Disenso acomodaticio")&gt;0))</f>
        <v/>
      </c>
    </row>
    <row r="81" spans="1:5">
      <c r="A81" s="84" t="str" cm="1">
        <f t="array" ref="A81">IF(ROWS($A$2:A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81)-1),"")</f>
        <v/>
      </c>
      <c r="B81" t="str" cm="1">
        <f t="array" ref="B81">IF($A81="","",INDEX(Decisiones!$A$2:$A$237,MATCH(INDEX(Explorador_Integrantes!$GO$2:$GO$30,MATCH(Explorador_Integrantes!$X$2,Explorador_Integrantes!$GN$2:$GN$30,0)),Decisiones!$B$2:$B$237,0)+ROWS($A$2:A81)-1))</f>
        <v/>
      </c>
      <c r="C81" t="str" cm="1">
        <f t="array" ref="C81">IF($A81="","",INDEX(Decisiones!$H$2:$H$237,MATCH(INDEX(Explorador_Integrantes!$GO$2:$GO$30,MATCH(Explorador_Integrantes!$X$2,Explorador_Integrantes!$GN$2:$GN$30,0)),Decisiones!$B$2:$B$237,0)+ROWS($A$2:A81)-1))</f>
        <v/>
      </c>
      <c r="D81" t="str">
        <f>IF($B81="","",--(COUNTIFS(Votaciones!$A$2:$A$336,$B81,Votaciones!$B$2:$B$336,Explorador_Integrantes!$X$2,Votaciones!$D$2:$D$336,"Disenso restrictivo")&gt;0))</f>
        <v/>
      </c>
      <c r="E81" t="str">
        <f>IF($B81="","",--(COUNTIFS(Votaciones!$A$2:$A$336,$B81,Votaciones!$B$2:$B$336,Explorador_Integrantes!$X$2,Votaciones!$D$2:$D$336,"Disenso acomodaticio")&gt;0))</f>
        <v/>
      </c>
    </row>
    <row r="82" spans="1:5">
      <c r="A82" s="84" t="str" cm="1">
        <f t="array" ref="A82">IF(ROWS($A$2:A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82)-1),"")</f>
        <v/>
      </c>
      <c r="B82" t="str" cm="1">
        <f t="array" ref="B82">IF($A82="","",INDEX(Decisiones!$A$2:$A$237,MATCH(INDEX(Explorador_Integrantes!$GO$2:$GO$30,MATCH(Explorador_Integrantes!$X$2,Explorador_Integrantes!$GN$2:$GN$30,0)),Decisiones!$B$2:$B$237,0)+ROWS($A$2:A82)-1))</f>
        <v/>
      </c>
      <c r="C82" t="str" cm="1">
        <f t="array" ref="C82">IF($A82="","",INDEX(Decisiones!$H$2:$H$237,MATCH(INDEX(Explorador_Integrantes!$GO$2:$GO$30,MATCH(Explorador_Integrantes!$X$2,Explorador_Integrantes!$GN$2:$GN$30,0)),Decisiones!$B$2:$B$237,0)+ROWS($A$2:A82)-1))</f>
        <v/>
      </c>
      <c r="D82" t="str">
        <f>IF($B82="","",--(COUNTIFS(Votaciones!$A$2:$A$336,$B82,Votaciones!$B$2:$B$336,Explorador_Integrantes!$X$2,Votaciones!$D$2:$D$336,"Disenso restrictivo")&gt;0))</f>
        <v/>
      </c>
      <c r="E82" t="str">
        <f>IF($B82="","",--(COUNTIFS(Votaciones!$A$2:$A$336,$B82,Votaciones!$B$2:$B$336,Explorador_Integrantes!$X$2,Votaciones!$D$2:$D$336,"Disenso acomodaticio")&gt;0))</f>
        <v/>
      </c>
    </row>
    <row r="83" spans="1:5">
      <c r="A83" s="84" t="str" cm="1">
        <f t="array" ref="A83">IF(ROWS($A$2:A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83)-1),"")</f>
        <v/>
      </c>
      <c r="B83" t="str" cm="1">
        <f t="array" ref="B83">IF($A83="","",INDEX(Decisiones!$A$2:$A$237,MATCH(INDEX(Explorador_Integrantes!$GO$2:$GO$30,MATCH(Explorador_Integrantes!$X$2,Explorador_Integrantes!$GN$2:$GN$30,0)),Decisiones!$B$2:$B$237,0)+ROWS($A$2:A83)-1))</f>
        <v/>
      </c>
      <c r="C83" t="str" cm="1">
        <f t="array" ref="C83">IF($A83="","",INDEX(Decisiones!$H$2:$H$237,MATCH(INDEX(Explorador_Integrantes!$GO$2:$GO$30,MATCH(Explorador_Integrantes!$X$2,Explorador_Integrantes!$GN$2:$GN$30,0)),Decisiones!$B$2:$B$237,0)+ROWS($A$2:A83)-1))</f>
        <v/>
      </c>
      <c r="D83" t="str">
        <f>IF($B83="","",--(COUNTIFS(Votaciones!$A$2:$A$336,$B83,Votaciones!$B$2:$B$336,Explorador_Integrantes!$X$2,Votaciones!$D$2:$D$336,"Disenso restrictivo")&gt;0))</f>
        <v/>
      </c>
      <c r="E83" t="str">
        <f>IF($B83="","",--(COUNTIFS(Votaciones!$A$2:$A$336,$B83,Votaciones!$B$2:$B$336,Explorador_Integrantes!$X$2,Votaciones!$D$2:$D$336,"Disenso acomodaticio")&gt;0))</f>
        <v/>
      </c>
    </row>
    <row r="84" spans="1:5">
      <c r="A84" s="84" t="str" cm="1">
        <f t="array" ref="A84">IF(ROWS($A$2:A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84)-1),"")</f>
        <v/>
      </c>
      <c r="B84" t="str" cm="1">
        <f t="array" ref="B84">IF($A84="","",INDEX(Decisiones!$A$2:$A$237,MATCH(INDEX(Explorador_Integrantes!$GO$2:$GO$30,MATCH(Explorador_Integrantes!$X$2,Explorador_Integrantes!$GN$2:$GN$30,0)),Decisiones!$B$2:$B$237,0)+ROWS($A$2:A84)-1))</f>
        <v/>
      </c>
      <c r="C84" t="str" cm="1">
        <f t="array" ref="C84">IF($A84="","",INDEX(Decisiones!$H$2:$H$237,MATCH(INDEX(Explorador_Integrantes!$GO$2:$GO$30,MATCH(Explorador_Integrantes!$X$2,Explorador_Integrantes!$GN$2:$GN$30,0)),Decisiones!$B$2:$B$237,0)+ROWS($A$2:A84)-1))</f>
        <v/>
      </c>
      <c r="D84" t="str">
        <f>IF($B84="","",--(COUNTIFS(Votaciones!$A$2:$A$336,$B84,Votaciones!$B$2:$B$336,Explorador_Integrantes!$X$2,Votaciones!$D$2:$D$336,"Disenso restrictivo")&gt;0))</f>
        <v/>
      </c>
      <c r="E84" t="str">
        <f>IF($B84="","",--(COUNTIFS(Votaciones!$A$2:$A$336,$B84,Votaciones!$B$2:$B$336,Explorador_Integrantes!$X$2,Votaciones!$D$2:$D$336,"Disenso acomodaticio")&gt;0))</f>
        <v/>
      </c>
    </row>
    <row r="85" spans="1:5">
      <c r="A85" s="84" t="str" cm="1">
        <f t="array" ref="A85">IF(ROWS($A$2:A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85)-1),"")</f>
        <v/>
      </c>
      <c r="B85" t="str" cm="1">
        <f t="array" ref="B85">IF($A85="","",INDEX(Decisiones!$A$2:$A$237,MATCH(INDEX(Explorador_Integrantes!$GO$2:$GO$30,MATCH(Explorador_Integrantes!$X$2,Explorador_Integrantes!$GN$2:$GN$30,0)),Decisiones!$B$2:$B$237,0)+ROWS($A$2:A85)-1))</f>
        <v/>
      </c>
      <c r="C85" t="str" cm="1">
        <f t="array" ref="C85">IF($A85="","",INDEX(Decisiones!$H$2:$H$237,MATCH(INDEX(Explorador_Integrantes!$GO$2:$GO$30,MATCH(Explorador_Integrantes!$X$2,Explorador_Integrantes!$GN$2:$GN$30,0)),Decisiones!$B$2:$B$237,0)+ROWS($A$2:A85)-1))</f>
        <v/>
      </c>
      <c r="D85" t="str">
        <f>IF($B85="","",--(COUNTIFS(Votaciones!$A$2:$A$336,$B85,Votaciones!$B$2:$B$336,Explorador_Integrantes!$X$2,Votaciones!$D$2:$D$336,"Disenso restrictivo")&gt;0))</f>
        <v/>
      </c>
      <c r="E85" t="str">
        <f>IF($B85="","",--(COUNTIFS(Votaciones!$A$2:$A$336,$B85,Votaciones!$B$2:$B$336,Explorador_Integrantes!$X$2,Votaciones!$D$2:$D$336,"Disenso acomodaticio")&gt;0))</f>
        <v/>
      </c>
    </row>
    <row r="86" spans="1:5">
      <c r="A86" s="84" t="str" cm="1">
        <f t="array" ref="A86">IF(ROWS($A$2:A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86)-1),"")</f>
        <v/>
      </c>
      <c r="B86" t="str" cm="1">
        <f t="array" ref="B86">IF($A86="","",INDEX(Decisiones!$A$2:$A$237,MATCH(INDEX(Explorador_Integrantes!$GO$2:$GO$30,MATCH(Explorador_Integrantes!$X$2,Explorador_Integrantes!$GN$2:$GN$30,0)),Decisiones!$B$2:$B$237,0)+ROWS($A$2:A86)-1))</f>
        <v/>
      </c>
      <c r="C86" t="str" cm="1">
        <f t="array" ref="C86">IF($A86="","",INDEX(Decisiones!$H$2:$H$237,MATCH(INDEX(Explorador_Integrantes!$GO$2:$GO$30,MATCH(Explorador_Integrantes!$X$2,Explorador_Integrantes!$GN$2:$GN$30,0)),Decisiones!$B$2:$B$237,0)+ROWS($A$2:A86)-1))</f>
        <v/>
      </c>
      <c r="D86" t="str">
        <f>IF($B86="","",--(COUNTIFS(Votaciones!$A$2:$A$336,$B86,Votaciones!$B$2:$B$336,Explorador_Integrantes!$X$2,Votaciones!$D$2:$D$336,"Disenso restrictivo")&gt;0))</f>
        <v/>
      </c>
      <c r="E86" t="str">
        <f>IF($B86="","",--(COUNTIFS(Votaciones!$A$2:$A$336,$B86,Votaciones!$B$2:$B$336,Explorador_Integrantes!$X$2,Votaciones!$D$2:$D$336,"Disenso acomodaticio")&gt;0))</f>
        <v/>
      </c>
    </row>
    <row r="87" spans="1:5">
      <c r="A87" s="84" t="str" cm="1">
        <f t="array" ref="A87">IF(ROWS($A$2:A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87)-1),"")</f>
        <v/>
      </c>
      <c r="B87" t="str" cm="1">
        <f t="array" ref="B87">IF($A87="","",INDEX(Decisiones!$A$2:$A$237,MATCH(INDEX(Explorador_Integrantes!$GO$2:$GO$30,MATCH(Explorador_Integrantes!$X$2,Explorador_Integrantes!$GN$2:$GN$30,0)),Decisiones!$B$2:$B$237,0)+ROWS($A$2:A87)-1))</f>
        <v/>
      </c>
      <c r="C87" t="str" cm="1">
        <f t="array" ref="C87">IF($A87="","",INDEX(Decisiones!$H$2:$H$237,MATCH(INDEX(Explorador_Integrantes!$GO$2:$GO$30,MATCH(Explorador_Integrantes!$X$2,Explorador_Integrantes!$GN$2:$GN$30,0)),Decisiones!$B$2:$B$237,0)+ROWS($A$2:A87)-1))</f>
        <v/>
      </c>
      <c r="D87" t="str">
        <f>IF($B87="","",--(COUNTIFS(Votaciones!$A$2:$A$336,$B87,Votaciones!$B$2:$B$336,Explorador_Integrantes!$X$2,Votaciones!$D$2:$D$336,"Disenso restrictivo")&gt;0))</f>
        <v/>
      </c>
      <c r="E87" t="str">
        <f>IF($B87="","",--(COUNTIFS(Votaciones!$A$2:$A$336,$B87,Votaciones!$B$2:$B$336,Explorador_Integrantes!$X$2,Votaciones!$D$2:$D$336,"Disenso acomodaticio")&gt;0))</f>
        <v/>
      </c>
    </row>
    <row r="88" spans="1:5">
      <c r="A88" s="84" t="str" cm="1">
        <f t="array" ref="A88">IF(ROWS($A$2:A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88)-1),"")</f>
        <v/>
      </c>
      <c r="B88" t="str" cm="1">
        <f t="array" ref="B88">IF($A88="","",INDEX(Decisiones!$A$2:$A$237,MATCH(INDEX(Explorador_Integrantes!$GO$2:$GO$30,MATCH(Explorador_Integrantes!$X$2,Explorador_Integrantes!$GN$2:$GN$30,0)),Decisiones!$B$2:$B$237,0)+ROWS($A$2:A88)-1))</f>
        <v/>
      </c>
      <c r="C88" t="str" cm="1">
        <f t="array" ref="C88">IF($A88="","",INDEX(Decisiones!$H$2:$H$237,MATCH(INDEX(Explorador_Integrantes!$GO$2:$GO$30,MATCH(Explorador_Integrantes!$X$2,Explorador_Integrantes!$GN$2:$GN$30,0)),Decisiones!$B$2:$B$237,0)+ROWS($A$2:A88)-1))</f>
        <v/>
      </c>
      <c r="D88" t="str">
        <f>IF($B88="","",--(COUNTIFS(Votaciones!$A$2:$A$336,$B88,Votaciones!$B$2:$B$336,Explorador_Integrantes!$X$2,Votaciones!$D$2:$D$336,"Disenso restrictivo")&gt;0))</f>
        <v/>
      </c>
      <c r="E88" t="str">
        <f>IF($B88="","",--(COUNTIFS(Votaciones!$A$2:$A$336,$B88,Votaciones!$B$2:$B$336,Explorador_Integrantes!$X$2,Votaciones!$D$2:$D$336,"Disenso acomodaticio")&gt;0))</f>
        <v/>
      </c>
    </row>
    <row r="89" spans="1:5">
      <c r="A89" s="84" t="str" cm="1">
        <f t="array" ref="A89">IF(ROWS($A$2:A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89)-1),"")</f>
        <v/>
      </c>
      <c r="B89" t="str" cm="1">
        <f t="array" ref="B89">IF($A89="","",INDEX(Decisiones!$A$2:$A$237,MATCH(INDEX(Explorador_Integrantes!$GO$2:$GO$30,MATCH(Explorador_Integrantes!$X$2,Explorador_Integrantes!$GN$2:$GN$30,0)),Decisiones!$B$2:$B$237,0)+ROWS($A$2:A89)-1))</f>
        <v/>
      </c>
      <c r="C89" t="str" cm="1">
        <f t="array" ref="C89">IF($A89="","",INDEX(Decisiones!$H$2:$H$237,MATCH(INDEX(Explorador_Integrantes!$GO$2:$GO$30,MATCH(Explorador_Integrantes!$X$2,Explorador_Integrantes!$GN$2:$GN$30,0)),Decisiones!$B$2:$B$237,0)+ROWS($A$2:A89)-1))</f>
        <v/>
      </c>
      <c r="D89" t="str">
        <f>IF($B89="","",--(COUNTIFS(Votaciones!$A$2:$A$336,$B89,Votaciones!$B$2:$B$336,Explorador_Integrantes!$X$2,Votaciones!$D$2:$D$336,"Disenso restrictivo")&gt;0))</f>
        <v/>
      </c>
      <c r="E89" t="str">
        <f>IF($B89="","",--(COUNTIFS(Votaciones!$A$2:$A$336,$B89,Votaciones!$B$2:$B$336,Explorador_Integrantes!$X$2,Votaciones!$D$2:$D$336,"Disenso acomodaticio")&gt;0))</f>
        <v/>
      </c>
    </row>
    <row r="90" spans="1:5">
      <c r="A90" s="84" t="str" cm="1">
        <f t="array" ref="A90">IF(ROWS($A$2:A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90)-1),"")</f>
        <v/>
      </c>
      <c r="B90" t="str" cm="1">
        <f t="array" ref="B90">IF($A90="","",INDEX(Decisiones!$A$2:$A$237,MATCH(INDEX(Explorador_Integrantes!$GO$2:$GO$30,MATCH(Explorador_Integrantes!$X$2,Explorador_Integrantes!$GN$2:$GN$30,0)),Decisiones!$B$2:$B$237,0)+ROWS($A$2:A90)-1))</f>
        <v/>
      </c>
      <c r="C90" t="str" cm="1">
        <f t="array" ref="C90">IF($A90="","",INDEX(Decisiones!$H$2:$H$237,MATCH(INDEX(Explorador_Integrantes!$GO$2:$GO$30,MATCH(Explorador_Integrantes!$X$2,Explorador_Integrantes!$GN$2:$GN$30,0)),Decisiones!$B$2:$B$237,0)+ROWS($A$2:A90)-1))</f>
        <v/>
      </c>
      <c r="D90" t="str">
        <f>IF($B90="","",--(COUNTIFS(Votaciones!$A$2:$A$336,$B90,Votaciones!$B$2:$B$336,Explorador_Integrantes!$X$2,Votaciones!$D$2:$D$336,"Disenso restrictivo")&gt;0))</f>
        <v/>
      </c>
      <c r="E90" t="str">
        <f>IF($B90="","",--(COUNTIFS(Votaciones!$A$2:$A$336,$B90,Votaciones!$B$2:$B$336,Explorador_Integrantes!$X$2,Votaciones!$D$2:$D$336,"Disenso acomodaticio")&gt;0))</f>
        <v/>
      </c>
    </row>
    <row r="91" spans="1:5">
      <c r="A91" s="84" t="str" cm="1">
        <f t="array" ref="A91">IF(ROWS($A$2:A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91)-1),"")</f>
        <v/>
      </c>
      <c r="B91" t="str" cm="1">
        <f t="array" ref="B91">IF($A91="","",INDEX(Decisiones!$A$2:$A$237,MATCH(INDEX(Explorador_Integrantes!$GO$2:$GO$30,MATCH(Explorador_Integrantes!$X$2,Explorador_Integrantes!$GN$2:$GN$30,0)),Decisiones!$B$2:$B$237,0)+ROWS($A$2:A91)-1))</f>
        <v/>
      </c>
      <c r="C91" t="str" cm="1">
        <f t="array" ref="C91">IF($A91="","",INDEX(Decisiones!$H$2:$H$237,MATCH(INDEX(Explorador_Integrantes!$GO$2:$GO$30,MATCH(Explorador_Integrantes!$X$2,Explorador_Integrantes!$GN$2:$GN$30,0)),Decisiones!$B$2:$B$237,0)+ROWS($A$2:A91)-1))</f>
        <v/>
      </c>
      <c r="D91" t="str">
        <f>IF($B91="","",--(COUNTIFS(Votaciones!$A$2:$A$336,$B91,Votaciones!$B$2:$B$336,Explorador_Integrantes!$X$2,Votaciones!$D$2:$D$336,"Disenso restrictivo")&gt;0))</f>
        <v/>
      </c>
      <c r="E91" t="str">
        <f>IF($B91="","",--(COUNTIFS(Votaciones!$A$2:$A$336,$B91,Votaciones!$B$2:$B$336,Explorador_Integrantes!$X$2,Votaciones!$D$2:$D$336,"Disenso acomodaticio")&gt;0))</f>
        <v/>
      </c>
    </row>
    <row r="92" spans="1:5">
      <c r="A92" s="84" t="str" cm="1">
        <f t="array" ref="A92">IF(ROWS($A$2:A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92)-1),"")</f>
        <v/>
      </c>
      <c r="B92" t="str" cm="1">
        <f t="array" ref="B92">IF($A92="","",INDEX(Decisiones!$A$2:$A$237,MATCH(INDEX(Explorador_Integrantes!$GO$2:$GO$30,MATCH(Explorador_Integrantes!$X$2,Explorador_Integrantes!$GN$2:$GN$30,0)),Decisiones!$B$2:$B$237,0)+ROWS($A$2:A92)-1))</f>
        <v/>
      </c>
      <c r="C92" t="str" cm="1">
        <f t="array" ref="C92">IF($A92="","",INDEX(Decisiones!$H$2:$H$237,MATCH(INDEX(Explorador_Integrantes!$GO$2:$GO$30,MATCH(Explorador_Integrantes!$X$2,Explorador_Integrantes!$GN$2:$GN$30,0)),Decisiones!$B$2:$B$237,0)+ROWS($A$2:A92)-1))</f>
        <v/>
      </c>
      <c r="D92" t="str">
        <f>IF($B92="","",--(COUNTIFS(Votaciones!$A$2:$A$336,$B92,Votaciones!$B$2:$B$336,Explorador_Integrantes!$X$2,Votaciones!$D$2:$D$336,"Disenso restrictivo")&gt;0))</f>
        <v/>
      </c>
      <c r="E92" t="str">
        <f>IF($B92="","",--(COUNTIFS(Votaciones!$A$2:$A$336,$B92,Votaciones!$B$2:$B$336,Explorador_Integrantes!$X$2,Votaciones!$D$2:$D$336,"Disenso acomodaticio")&gt;0))</f>
        <v/>
      </c>
    </row>
    <row r="93" spans="1:5">
      <c r="A93" s="84" t="str" cm="1">
        <f t="array" ref="A93">IF(ROWS($A$2:A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93)-1),"")</f>
        <v/>
      </c>
      <c r="B93" t="str" cm="1">
        <f t="array" ref="B93">IF($A93="","",INDEX(Decisiones!$A$2:$A$237,MATCH(INDEX(Explorador_Integrantes!$GO$2:$GO$30,MATCH(Explorador_Integrantes!$X$2,Explorador_Integrantes!$GN$2:$GN$30,0)),Decisiones!$B$2:$B$237,0)+ROWS($A$2:A93)-1))</f>
        <v/>
      </c>
      <c r="C93" t="str" cm="1">
        <f t="array" ref="C93">IF($A93="","",INDEX(Decisiones!$H$2:$H$237,MATCH(INDEX(Explorador_Integrantes!$GO$2:$GO$30,MATCH(Explorador_Integrantes!$X$2,Explorador_Integrantes!$GN$2:$GN$30,0)),Decisiones!$B$2:$B$237,0)+ROWS($A$2:A93)-1))</f>
        <v/>
      </c>
      <c r="D93" t="str">
        <f>IF($B93="","",--(COUNTIFS(Votaciones!$A$2:$A$336,$B93,Votaciones!$B$2:$B$336,Explorador_Integrantes!$X$2,Votaciones!$D$2:$D$336,"Disenso restrictivo")&gt;0))</f>
        <v/>
      </c>
      <c r="E93" t="str">
        <f>IF($B93="","",--(COUNTIFS(Votaciones!$A$2:$A$336,$B93,Votaciones!$B$2:$B$336,Explorador_Integrantes!$X$2,Votaciones!$D$2:$D$336,"Disenso acomodaticio")&gt;0))</f>
        <v/>
      </c>
    </row>
    <row r="94" spans="1:5">
      <c r="A94" s="84" t="str" cm="1">
        <f t="array" ref="A94">IF(ROWS($A$2:A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94)-1),"")</f>
        <v/>
      </c>
      <c r="B94" t="str" cm="1">
        <f t="array" ref="B94">IF($A94="","",INDEX(Decisiones!$A$2:$A$237,MATCH(INDEX(Explorador_Integrantes!$GO$2:$GO$30,MATCH(Explorador_Integrantes!$X$2,Explorador_Integrantes!$GN$2:$GN$30,0)),Decisiones!$B$2:$B$237,0)+ROWS($A$2:A94)-1))</f>
        <v/>
      </c>
      <c r="C94" t="str" cm="1">
        <f t="array" ref="C94">IF($A94="","",INDEX(Decisiones!$H$2:$H$237,MATCH(INDEX(Explorador_Integrantes!$GO$2:$GO$30,MATCH(Explorador_Integrantes!$X$2,Explorador_Integrantes!$GN$2:$GN$30,0)),Decisiones!$B$2:$B$237,0)+ROWS($A$2:A94)-1))</f>
        <v/>
      </c>
      <c r="D94" t="str">
        <f>IF($B94="","",--(COUNTIFS(Votaciones!$A$2:$A$336,$B94,Votaciones!$B$2:$B$336,Explorador_Integrantes!$X$2,Votaciones!$D$2:$D$336,"Disenso restrictivo")&gt;0))</f>
        <v/>
      </c>
      <c r="E94" t="str">
        <f>IF($B94="","",--(COUNTIFS(Votaciones!$A$2:$A$336,$B94,Votaciones!$B$2:$B$336,Explorador_Integrantes!$X$2,Votaciones!$D$2:$D$336,"Disenso acomodaticio")&gt;0))</f>
        <v/>
      </c>
    </row>
    <row r="95" spans="1:5">
      <c r="A95" s="84" t="str" cm="1">
        <f t="array" ref="A95">IF(ROWS($A$2:A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95)-1),"")</f>
        <v/>
      </c>
      <c r="B95" t="str" cm="1">
        <f t="array" ref="B95">IF($A95="","",INDEX(Decisiones!$A$2:$A$237,MATCH(INDEX(Explorador_Integrantes!$GO$2:$GO$30,MATCH(Explorador_Integrantes!$X$2,Explorador_Integrantes!$GN$2:$GN$30,0)),Decisiones!$B$2:$B$237,0)+ROWS($A$2:A95)-1))</f>
        <v/>
      </c>
      <c r="C95" t="str" cm="1">
        <f t="array" ref="C95">IF($A95="","",INDEX(Decisiones!$H$2:$H$237,MATCH(INDEX(Explorador_Integrantes!$GO$2:$GO$30,MATCH(Explorador_Integrantes!$X$2,Explorador_Integrantes!$GN$2:$GN$30,0)),Decisiones!$B$2:$B$237,0)+ROWS($A$2:A95)-1))</f>
        <v/>
      </c>
      <c r="D95" t="str">
        <f>IF($B95="","",--(COUNTIFS(Votaciones!$A$2:$A$336,$B95,Votaciones!$B$2:$B$336,Explorador_Integrantes!$X$2,Votaciones!$D$2:$D$336,"Disenso restrictivo")&gt;0))</f>
        <v/>
      </c>
      <c r="E95" t="str">
        <f>IF($B95="","",--(COUNTIFS(Votaciones!$A$2:$A$336,$B95,Votaciones!$B$2:$B$336,Explorador_Integrantes!$X$2,Votaciones!$D$2:$D$336,"Disenso acomodaticio")&gt;0))</f>
        <v/>
      </c>
    </row>
    <row r="96" spans="1:5">
      <c r="A96" s="84" t="str" cm="1">
        <f t="array" ref="A96">IF(ROWS($A$2:A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96)-1),"")</f>
        <v/>
      </c>
      <c r="B96" t="str" cm="1">
        <f t="array" ref="B96">IF($A96="","",INDEX(Decisiones!$A$2:$A$237,MATCH(INDEX(Explorador_Integrantes!$GO$2:$GO$30,MATCH(Explorador_Integrantes!$X$2,Explorador_Integrantes!$GN$2:$GN$30,0)),Decisiones!$B$2:$B$237,0)+ROWS($A$2:A96)-1))</f>
        <v/>
      </c>
      <c r="C96" t="str" cm="1">
        <f t="array" ref="C96">IF($A96="","",INDEX(Decisiones!$H$2:$H$237,MATCH(INDEX(Explorador_Integrantes!$GO$2:$GO$30,MATCH(Explorador_Integrantes!$X$2,Explorador_Integrantes!$GN$2:$GN$30,0)),Decisiones!$B$2:$B$237,0)+ROWS($A$2:A96)-1))</f>
        <v/>
      </c>
      <c r="D96" t="str">
        <f>IF($B96="","",--(COUNTIFS(Votaciones!$A$2:$A$336,$B96,Votaciones!$B$2:$B$336,Explorador_Integrantes!$X$2,Votaciones!$D$2:$D$336,"Disenso restrictivo")&gt;0))</f>
        <v/>
      </c>
      <c r="E96" t="str">
        <f>IF($B96="","",--(COUNTIFS(Votaciones!$A$2:$A$336,$B96,Votaciones!$B$2:$B$336,Explorador_Integrantes!$X$2,Votaciones!$D$2:$D$336,"Disenso acomodaticio")&gt;0))</f>
        <v/>
      </c>
    </row>
    <row r="97" spans="1:5">
      <c r="A97" s="84" t="str" cm="1">
        <f t="array" ref="A97">IF(ROWS($A$2:A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97)-1),"")</f>
        <v/>
      </c>
      <c r="B97" t="str" cm="1">
        <f t="array" ref="B97">IF($A97="","",INDEX(Decisiones!$A$2:$A$237,MATCH(INDEX(Explorador_Integrantes!$GO$2:$GO$30,MATCH(Explorador_Integrantes!$X$2,Explorador_Integrantes!$GN$2:$GN$30,0)),Decisiones!$B$2:$B$237,0)+ROWS($A$2:A97)-1))</f>
        <v/>
      </c>
      <c r="C97" t="str" cm="1">
        <f t="array" ref="C97">IF($A97="","",INDEX(Decisiones!$H$2:$H$237,MATCH(INDEX(Explorador_Integrantes!$GO$2:$GO$30,MATCH(Explorador_Integrantes!$X$2,Explorador_Integrantes!$GN$2:$GN$30,0)),Decisiones!$B$2:$B$237,0)+ROWS($A$2:A97)-1))</f>
        <v/>
      </c>
      <c r="D97" t="str">
        <f>IF($B97="","",--(COUNTIFS(Votaciones!$A$2:$A$336,$B97,Votaciones!$B$2:$B$336,Explorador_Integrantes!$X$2,Votaciones!$D$2:$D$336,"Disenso restrictivo")&gt;0))</f>
        <v/>
      </c>
      <c r="E97" t="str">
        <f>IF($B97="","",--(COUNTIFS(Votaciones!$A$2:$A$336,$B97,Votaciones!$B$2:$B$336,Explorador_Integrantes!$X$2,Votaciones!$D$2:$D$336,"Disenso acomodaticio")&gt;0))</f>
        <v/>
      </c>
    </row>
    <row r="98" spans="1:5">
      <c r="A98" s="84" t="str" cm="1">
        <f t="array" ref="A98">IF(ROWS($A$2:A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98)-1),"")</f>
        <v/>
      </c>
      <c r="B98" t="str" cm="1">
        <f t="array" ref="B98">IF($A98="","",INDEX(Decisiones!$A$2:$A$237,MATCH(INDEX(Explorador_Integrantes!$GO$2:$GO$30,MATCH(Explorador_Integrantes!$X$2,Explorador_Integrantes!$GN$2:$GN$30,0)),Decisiones!$B$2:$B$237,0)+ROWS($A$2:A98)-1))</f>
        <v/>
      </c>
      <c r="C98" t="str" cm="1">
        <f t="array" ref="C98">IF($A98="","",INDEX(Decisiones!$H$2:$H$237,MATCH(INDEX(Explorador_Integrantes!$GO$2:$GO$30,MATCH(Explorador_Integrantes!$X$2,Explorador_Integrantes!$GN$2:$GN$30,0)),Decisiones!$B$2:$B$237,0)+ROWS($A$2:A98)-1))</f>
        <v/>
      </c>
      <c r="D98" t="str">
        <f>IF($B98="","",--(COUNTIFS(Votaciones!$A$2:$A$336,$B98,Votaciones!$B$2:$B$336,Explorador_Integrantes!$X$2,Votaciones!$D$2:$D$336,"Disenso restrictivo")&gt;0))</f>
        <v/>
      </c>
      <c r="E98" t="str">
        <f>IF($B98="","",--(COUNTIFS(Votaciones!$A$2:$A$336,$B98,Votaciones!$B$2:$B$336,Explorador_Integrantes!$X$2,Votaciones!$D$2:$D$336,"Disenso acomodaticio")&gt;0))</f>
        <v/>
      </c>
    </row>
    <row r="99" spans="1:5">
      <c r="A99" s="84" t="str" cm="1">
        <f t="array" ref="A99">IF(ROWS($A$2:A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99)-1),"")</f>
        <v/>
      </c>
      <c r="B99" t="str" cm="1">
        <f t="array" ref="B99">IF($A99="","",INDEX(Decisiones!$A$2:$A$237,MATCH(INDEX(Explorador_Integrantes!$GO$2:$GO$30,MATCH(Explorador_Integrantes!$X$2,Explorador_Integrantes!$GN$2:$GN$30,0)),Decisiones!$B$2:$B$237,0)+ROWS($A$2:A99)-1))</f>
        <v/>
      </c>
      <c r="C99" t="str" cm="1">
        <f t="array" ref="C99">IF($A99="","",INDEX(Decisiones!$H$2:$H$237,MATCH(INDEX(Explorador_Integrantes!$GO$2:$GO$30,MATCH(Explorador_Integrantes!$X$2,Explorador_Integrantes!$GN$2:$GN$30,0)),Decisiones!$B$2:$B$237,0)+ROWS($A$2:A99)-1))</f>
        <v/>
      </c>
      <c r="D99" t="str">
        <f>IF($B99="","",--(COUNTIFS(Votaciones!$A$2:$A$336,$B99,Votaciones!$B$2:$B$336,Explorador_Integrantes!$X$2,Votaciones!$D$2:$D$336,"Disenso restrictivo")&gt;0))</f>
        <v/>
      </c>
      <c r="E99" t="str">
        <f>IF($B99="","",--(COUNTIFS(Votaciones!$A$2:$A$336,$B99,Votaciones!$B$2:$B$336,Explorador_Integrantes!$X$2,Votaciones!$D$2:$D$336,"Disenso acomodaticio")&gt;0))</f>
        <v/>
      </c>
    </row>
    <row r="100" spans="1:5">
      <c r="A100" s="84" t="str" cm="1">
        <f t="array" ref="A100">IF(ROWS($A$2:A100)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100)-1),"")</f>
        <v/>
      </c>
      <c r="B100" t="str" cm="1">
        <f t="array" ref="B100">IF($A100="","",INDEX(Decisiones!$A$2:$A$237,MATCH(INDEX(Explorador_Integrantes!$GO$2:$GO$30,MATCH(Explorador_Integrantes!$X$2,Explorador_Integrantes!$GN$2:$GN$30,0)),Decisiones!$B$2:$B$237,0)+ROWS($A$2:A100)-1))</f>
        <v/>
      </c>
      <c r="C100" t="str" cm="1">
        <f t="array" ref="C100">IF($A100="","",INDEX(Decisiones!$H$2:$H$237,MATCH(INDEX(Explorador_Integrantes!$GO$2:$GO$30,MATCH(Explorador_Integrantes!$X$2,Explorador_Integrantes!$GN$2:$GN$30,0)),Decisiones!$B$2:$B$237,0)+ROWS($A$2:A100)-1))</f>
        <v/>
      </c>
      <c r="D100" t="str">
        <f>IF($B100="","",--(COUNTIFS(Votaciones!$A$2:$A$336,$B100,Votaciones!$B$2:$B$336,Explorador_Integrantes!$X$2,Votaciones!$D$2:$D$336,"Disenso restrictivo")&gt;0))</f>
        <v/>
      </c>
      <c r="E100" t="str">
        <f>IF($B100="","",--(COUNTIFS(Votaciones!$A$2:$A$336,$B100,Votaciones!$B$2:$B$336,Explorador_Integrantes!$X$2,Votaciones!$D$2:$D$336,"Disenso acomodaticio")&gt;0))</f>
        <v/>
      </c>
    </row>
    <row r="101" spans="1:5">
      <c r="A101" s="84" t="str" cm="1">
        <f t="array" ref="A101">IF(ROWS($A$2:A101)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101)-1),"")</f>
        <v/>
      </c>
      <c r="B101" t="str" cm="1">
        <f t="array" ref="B101">IF($A101="","",INDEX(Decisiones!$A$2:$A$237,MATCH(INDEX(Explorador_Integrantes!$GO$2:$GO$30,MATCH(Explorador_Integrantes!$X$2,Explorador_Integrantes!$GN$2:$GN$30,0)),Decisiones!$B$2:$B$237,0)+ROWS($A$2:A101)-1))</f>
        <v/>
      </c>
      <c r="C101" t="str" cm="1">
        <f t="array" ref="C101">IF($A101="","",INDEX(Decisiones!$H$2:$H$237,MATCH(INDEX(Explorador_Integrantes!$GO$2:$GO$30,MATCH(Explorador_Integrantes!$X$2,Explorador_Integrantes!$GN$2:$GN$30,0)),Decisiones!$B$2:$B$237,0)+ROWS($A$2:A101)-1))</f>
        <v/>
      </c>
      <c r="D101" t="str">
        <f>IF($B101="","",--(COUNTIFS(Votaciones!$A$2:$A$336,$B101,Votaciones!$B$2:$B$336,Explorador_Integrantes!$X$2,Votaciones!$D$2:$D$336,"Disenso restrictivo")&gt;0))</f>
        <v/>
      </c>
      <c r="E101" t="str">
        <f>IF($B101="","",--(COUNTIFS(Votaciones!$A$2:$A$336,$B101,Votaciones!$B$2:$B$336,Explorador_Integrantes!$X$2,Votaciones!$D$2:$D$336,"Disenso acomodaticio")&gt;0))</f>
        <v/>
      </c>
    </row>
    <row r="102" spans="1:5">
      <c r="A102" s="84" t="str" cm="1">
        <f t="array" ref="A102">IF(ROWS($A$2:A102)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102)-1),"")</f>
        <v/>
      </c>
      <c r="B102" t="str" cm="1">
        <f t="array" ref="B102">IF($A102="","",INDEX(Decisiones!$A$2:$A$237,MATCH(INDEX(Explorador_Integrantes!$GO$2:$GO$30,MATCH(Explorador_Integrantes!$X$2,Explorador_Integrantes!$GN$2:$GN$30,0)),Decisiones!$B$2:$B$237,0)+ROWS($A$2:A102)-1))</f>
        <v/>
      </c>
      <c r="C102" t="str" cm="1">
        <f t="array" ref="C102">IF($A102="","",INDEX(Decisiones!$H$2:$H$237,MATCH(INDEX(Explorador_Integrantes!$GO$2:$GO$30,MATCH(Explorador_Integrantes!$X$2,Explorador_Integrantes!$GN$2:$GN$30,0)),Decisiones!$B$2:$B$237,0)+ROWS($A$2:A102)-1))</f>
        <v/>
      </c>
      <c r="D102" t="str">
        <f>IF($B102="","",--(COUNTIFS(Votaciones!$A$2:$A$336,$B102,Votaciones!$B$2:$B$336,Explorador_Integrantes!$X$2,Votaciones!$D$2:$D$336,"Disenso restrictivo")&gt;0))</f>
        <v/>
      </c>
      <c r="E102" t="str">
        <f>IF($B102="","",--(COUNTIFS(Votaciones!$A$2:$A$336,$B102,Votaciones!$B$2:$B$336,Explorador_Integrantes!$X$2,Votaciones!$D$2:$D$336,"Disenso acomodaticio")&gt;0))</f>
        <v/>
      </c>
    </row>
    <row r="103" spans="1:5">
      <c r="A103" s="84" t="str" cm="1">
        <f t="array" ref="A103">IF(ROWS($A$2:A103)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103)-1),"")</f>
        <v/>
      </c>
      <c r="B103" t="str" cm="1">
        <f t="array" ref="B103">IF($A103="","",INDEX(Decisiones!$A$2:$A$237,MATCH(INDEX(Explorador_Integrantes!$GO$2:$GO$30,MATCH(Explorador_Integrantes!$X$2,Explorador_Integrantes!$GN$2:$GN$30,0)),Decisiones!$B$2:$B$237,0)+ROWS($A$2:A103)-1))</f>
        <v/>
      </c>
      <c r="C103" t="str" cm="1">
        <f t="array" ref="C103">IF($A103="","",INDEX(Decisiones!$H$2:$H$237,MATCH(INDEX(Explorador_Integrantes!$GO$2:$GO$30,MATCH(Explorador_Integrantes!$X$2,Explorador_Integrantes!$GN$2:$GN$30,0)),Decisiones!$B$2:$B$237,0)+ROWS($A$2:A103)-1))</f>
        <v/>
      </c>
      <c r="D103" t="str">
        <f>IF($B103="","",--(COUNTIFS(Votaciones!$A$2:$A$336,$B103,Votaciones!$B$2:$B$336,Explorador_Integrantes!$X$2,Votaciones!$D$2:$D$336,"Disenso restrictivo")&gt;0))</f>
        <v/>
      </c>
      <c r="E103" t="str">
        <f>IF($B103="","",--(COUNTIFS(Votaciones!$A$2:$A$336,$B103,Votaciones!$B$2:$B$336,Explorador_Integrantes!$X$2,Votaciones!$D$2:$D$336,"Disenso acomodaticio")&gt;0))</f>
        <v/>
      </c>
    </row>
    <row r="104" spans="1:5">
      <c r="A104" s="84" t="str" cm="1">
        <f t="array" ref="A104">IF(ROWS($A$2:A104)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104)-1),"")</f>
        <v/>
      </c>
      <c r="B104" t="str" cm="1">
        <f t="array" ref="B104">IF($A104="","",INDEX(Decisiones!$A$2:$A$237,MATCH(INDEX(Explorador_Integrantes!$GO$2:$GO$30,MATCH(Explorador_Integrantes!$X$2,Explorador_Integrantes!$GN$2:$GN$30,0)),Decisiones!$B$2:$B$237,0)+ROWS($A$2:A104)-1))</f>
        <v/>
      </c>
      <c r="C104" t="str" cm="1">
        <f t="array" ref="C104">IF($A104="","",INDEX(Decisiones!$H$2:$H$237,MATCH(INDEX(Explorador_Integrantes!$GO$2:$GO$30,MATCH(Explorador_Integrantes!$X$2,Explorador_Integrantes!$GN$2:$GN$30,0)),Decisiones!$B$2:$B$237,0)+ROWS($A$2:A104)-1))</f>
        <v/>
      </c>
      <c r="D104" t="str">
        <f>IF($B104="","",--(COUNTIFS(Votaciones!$A$2:$A$336,$B104,Votaciones!$B$2:$B$336,Explorador_Integrantes!$X$2,Votaciones!$D$2:$D$336,"Disenso restrictivo")&gt;0))</f>
        <v/>
      </c>
      <c r="E104" t="str">
        <f>IF($B104="","",--(COUNTIFS(Votaciones!$A$2:$A$336,$B104,Votaciones!$B$2:$B$336,Explorador_Integrantes!$X$2,Votaciones!$D$2:$D$336,"Disenso acomodaticio")&gt;0))</f>
        <v/>
      </c>
    </row>
    <row r="105" spans="1:5">
      <c r="A105" s="84" t="str" cm="1">
        <f t="array" ref="A105">IF(ROWS($A$2:A105)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105)-1),"")</f>
        <v/>
      </c>
      <c r="B105" t="str" cm="1">
        <f t="array" ref="B105">IF($A105="","",INDEX(Decisiones!$A$2:$A$237,MATCH(INDEX(Explorador_Integrantes!$GO$2:$GO$30,MATCH(Explorador_Integrantes!$X$2,Explorador_Integrantes!$GN$2:$GN$30,0)),Decisiones!$B$2:$B$237,0)+ROWS($A$2:A105)-1))</f>
        <v/>
      </c>
      <c r="C105" t="str" cm="1">
        <f t="array" ref="C105">IF($A105="","",INDEX(Decisiones!$H$2:$H$237,MATCH(INDEX(Explorador_Integrantes!$GO$2:$GO$30,MATCH(Explorador_Integrantes!$X$2,Explorador_Integrantes!$GN$2:$GN$30,0)),Decisiones!$B$2:$B$237,0)+ROWS($A$2:A105)-1))</f>
        <v/>
      </c>
      <c r="D105" t="str">
        <f>IF($B105="","",--(COUNTIFS(Votaciones!$A$2:$A$336,$B105,Votaciones!$B$2:$B$336,Explorador_Integrantes!$X$2,Votaciones!$D$2:$D$336,"Disenso restrictivo")&gt;0))</f>
        <v/>
      </c>
      <c r="E105" t="str">
        <f>IF($B105="","",--(COUNTIFS(Votaciones!$A$2:$A$336,$B105,Votaciones!$B$2:$B$336,Explorador_Integrantes!$X$2,Votaciones!$D$2:$D$336,"Disenso acomodaticio")&gt;0))</f>
        <v/>
      </c>
    </row>
    <row r="106" spans="1:5">
      <c r="A106" s="84" t="str" cm="1">
        <f t="array" ref="A106">IF(ROWS($A$2:A106)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106)-1),"")</f>
        <v/>
      </c>
      <c r="B106" t="str" cm="1">
        <f t="array" ref="B106">IF($A106="","",INDEX(Decisiones!$A$2:$A$237,MATCH(INDEX(Explorador_Integrantes!$GO$2:$GO$30,MATCH(Explorador_Integrantes!$X$2,Explorador_Integrantes!$GN$2:$GN$30,0)),Decisiones!$B$2:$B$237,0)+ROWS($A$2:A106)-1))</f>
        <v/>
      </c>
      <c r="C106" t="str" cm="1">
        <f t="array" ref="C106">IF($A106="","",INDEX(Decisiones!$H$2:$H$237,MATCH(INDEX(Explorador_Integrantes!$GO$2:$GO$30,MATCH(Explorador_Integrantes!$X$2,Explorador_Integrantes!$GN$2:$GN$30,0)),Decisiones!$B$2:$B$237,0)+ROWS($A$2:A106)-1))</f>
        <v/>
      </c>
      <c r="D106" t="str">
        <f>IF($B106="","",--(COUNTIFS(Votaciones!$A$2:$A$336,$B106,Votaciones!$B$2:$B$336,Explorador_Integrantes!$X$2,Votaciones!$D$2:$D$336,"Disenso restrictivo")&gt;0))</f>
        <v/>
      </c>
      <c r="E106" t="str">
        <f>IF($B106="","",--(COUNTIFS(Votaciones!$A$2:$A$336,$B106,Votaciones!$B$2:$B$336,Explorador_Integrantes!$X$2,Votaciones!$D$2:$D$336,"Disenso acomodaticio")&gt;0))</f>
        <v/>
      </c>
    </row>
    <row r="107" spans="1:5">
      <c r="A107" s="84" t="str" cm="1">
        <f t="array" ref="A107">IF(ROWS($A$2:A107)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107)-1),"")</f>
        <v/>
      </c>
      <c r="B107" t="str" cm="1">
        <f t="array" ref="B107">IF($A107="","",INDEX(Decisiones!$A$2:$A$237,MATCH(INDEX(Explorador_Integrantes!$GO$2:$GO$30,MATCH(Explorador_Integrantes!$X$2,Explorador_Integrantes!$GN$2:$GN$30,0)),Decisiones!$B$2:$B$237,0)+ROWS($A$2:A107)-1))</f>
        <v/>
      </c>
      <c r="C107" t="str" cm="1">
        <f t="array" ref="C107">IF($A107="","",INDEX(Decisiones!$H$2:$H$237,MATCH(INDEX(Explorador_Integrantes!$GO$2:$GO$30,MATCH(Explorador_Integrantes!$X$2,Explorador_Integrantes!$GN$2:$GN$30,0)),Decisiones!$B$2:$B$237,0)+ROWS($A$2:A107)-1))</f>
        <v/>
      </c>
      <c r="D107" t="str">
        <f>IF($B107="","",--(COUNTIFS(Votaciones!$A$2:$A$336,$B107,Votaciones!$B$2:$B$336,Explorador_Integrantes!$X$2,Votaciones!$D$2:$D$336,"Disenso restrictivo")&gt;0))</f>
        <v/>
      </c>
      <c r="E107" t="str">
        <f>IF($B107="","",--(COUNTIFS(Votaciones!$A$2:$A$336,$B107,Votaciones!$B$2:$B$336,Explorador_Integrantes!$X$2,Votaciones!$D$2:$D$336,"Disenso acomodaticio")&gt;0))</f>
        <v/>
      </c>
    </row>
    <row r="108" spans="1:5">
      <c r="A108" s="84" t="str" cm="1">
        <f t="array" ref="A108">IF(ROWS($A$2:A108)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108)-1),"")</f>
        <v/>
      </c>
      <c r="B108" t="str" cm="1">
        <f t="array" ref="B108">IF($A108="","",INDEX(Decisiones!$A$2:$A$237,MATCH(INDEX(Explorador_Integrantes!$GO$2:$GO$30,MATCH(Explorador_Integrantes!$X$2,Explorador_Integrantes!$GN$2:$GN$30,0)),Decisiones!$B$2:$B$237,0)+ROWS($A$2:A108)-1))</f>
        <v/>
      </c>
      <c r="C108" t="str" cm="1">
        <f t="array" ref="C108">IF($A108="","",INDEX(Decisiones!$H$2:$H$237,MATCH(INDEX(Explorador_Integrantes!$GO$2:$GO$30,MATCH(Explorador_Integrantes!$X$2,Explorador_Integrantes!$GN$2:$GN$30,0)),Decisiones!$B$2:$B$237,0)+ROWS($A$2:A108)-1))</f>
        <v/>
      </c>
      <c r="D108" t="str">
        <f>IF($B108="","",--(COUNTIFS(Votaciones!$A$2:$A$336,$B108,Votaciones!$B$2:$B$336,Explorador_Integrantes!$X$2,Votaciones!$D$2:$D$336,"Disenso restrictivo")&gt;0))</f>
        <v/>
      </c>
      <c r="E108" t="str">
        <f>IF($B108="","",--(COUNTIFS(Votaciones!$A$2:$A$336,$B108,Votaciones!$B$2:$B$336,Explorador_Integrantes!$X$2,Votaciones!$D$2:$D$336,"Disenso acomodaticio")&gt;0))</f>
        <v/>
      </c>
    </row>
    <row r="109" spans="1:5">
      <c r="A109" s="84" t="str" cm="1">
        <f t="array" ref="A109">IF(ROWS($A$2:A109)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109)-1),"")</f>
        <v/>
      </c>
      <c r="B109" t="str" cm="1">
        <f t="array" ref="B109">IF($A109="","",INDEX(Decisiones!$A$2:$A$237,MATCH(INDEX(Explorador_Integrantes!$GO$2:$GO$30,MATCH(Explorador_Integrantes!$X$2,Explorador_Integrantes!$GN$2:$GN$30,0)),Decisiones!$B$2:$B$237,0)+ROWS($A$2:A109)-1))</f>
        <v/>
      </c>
      <c r="C109" t="str" cm="1">
        <f t="array" ref="C109">IF($A109="","",INDEX(Decisiones!$H$2:$H$237,MATCH(INDEX(Explorador_Integrantes!$GO$2:$GO$30,MATCH(Explorador_Integrantes!$X$2,Explorador_Integrantes!$GN$2:$GN$30,0)),Decisiones!$B$2:$B$237,0)+ROWS($A$2:A109)-1))</f>
        <v/>
      </c>
      <c r="D109" t="str">
        <f>IF($B109="","",--(COUNTIFS(Votaciones!$A$2:$A$336,$B109,Votaciones!$B$2:$B$336,Explorador_Integrantes!$X$2,Votaciones!$D$2:$D$336,"Disenso restrictivo")&gt;0))</f>
        <v/>
      </c>
      <c r="E109" t="str">
        <f>IF($B109="","",--(COUNTIFS(Votaciones!$A$2:$A$336,$B109,Votaciones!$B$2:$B$336,Explorador_Integrantes!$X$2,Votaciones!$D$2:$D$336,"Disenso acomodaticio")&gt;0))</f>
        <v/>
      </c>
    </row>
    <row r="110" spans="1:5">
      <c r="A110" s="84" t="str" cm="1">
        <f t="array" ref="A110">IF(ROWS($A$2:A110)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110)-1),"")</f>
        <v/>
      </c>
      <c r="B110" t="str" cm="1">
        <f t="array" ref="B110">IF($A110="","",INDEX(Decisiones!$A$2:$A$237,MATCH(INDEX(Explorador_Integrantes!$GO$2:$GO$30,MATCH(Explorador_Integrantes!$X$2,Explorador_Integrantes!$GN$2:$GN$30,0)),Decisiones!$B$2:$B$237,0)+ROWS($A$2:A110)-1))</f>
        <v/>
      </c>
      <c r="C110" t="str" cm="1">
        <f t="array" ref="C110">IF($A110="","",INDEX(Decisiones!$H$2:$H$237,MATCH(INDEX(Explorador_Integrantes!$GO$2:$GO$30,MATCH(Explorador_Integrantes!$X$2,Explorador_Integrantes!$GN$2:$GN$30,0)),Decisiones!$B$2:$B$237,0)+ROWS($A$2:A110)-1))</f>
        <v/>
      </c>
      <c r="D110" t="str">
        <f>IF($B110="","",--(COUNTIFS(Votaciones!$A$2:$A$336,$B110,Votaciones!$B$2:$B$336,Explorador_Integrantes!$X$2,Votaciones!$D$2:$D$336,"Disenso restrictivo")&gt;0))</f>
        <v/>
      </c>
      <c r="E110" t="str">
        <f>IF($B110="","",--(COUNTIFS(Votaciones!$A$2:$A$336,$B110,Votaciones!$B$2:$B$336,Explorador_Integrantes!$X$2,Votaciones!$D$2:$D$336,"Disenso acomodaticio")&gt;0))</f>
        <v/>
      </c>
    </row>
    <row r="111" spans="1:5">
      <c r="A111" s="84" t="str" cm="1">
        <f t="array" ref="A111">IF(ROWS($A$2:A111)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111)-1),"")</f>
        <v/>
      </c>
      <c r="B111" t="str" cm="1">
        <f t="array" ref="B111">IF($A111="","",INDEX(Decisiones!$A$2:$A$237,MATCH(INDEX(Explorador_Integrantes!$GO$2:$GO$30,MATCH(Explorador_Integrantes!$X$2,Explorador_Integrantes!$GN$2:$GN$30,0)),Decisiones!$B$2:$B$237,0)+ROWS($A$2:A111)-1))</f>
        <v/>
      </c>
      <c r="C111" t="str" cm="1">
        <f t="array" ref="C111">IF($A111="","",INDEX(Decisiones!$H$2:$H$237,MATCH(INDEX(Explorador_Integrantes!$GO$2:$GO$30,MATCH(Explorador_Integrantes!$X$2,Explorador_Integrantes!$GN$2:$GN$30,0)),Decisiones!$B$2:$B$237,0)+ROWS($A$2:A111)-1))</f>
        <v/>
      </c>
      <c r="D111" t="str">
        <f>IF($B111="","",--(COUNTIFS(Votaciones!$A$2:$A$336,$B111,Votaciones!$B$2:$B$336,Explorador_Integrantes!$X$2,Votaciones!$D$2:$D$336,"Disenso restrictivo")&gt;0))</f>
        <v/>
      </c>
      <c r="E111" t="str">
        <f>IF($B111="","",--(COUNTIFS(Votaciones!$A$2:$A$336,$B111,Votaciones!$B$2:$B$336,Explorador_Integrantes!$X$2,Votaciones!$D$2:$D$336,"Disenso acomodaticio")&gt;0))</f>
        <v/>
      </c>
    </row>
    <row r="112" spans="1:5">
      <c r="A112" s="84" t="str" cm="1">
        <f t="array" ref="A112">IF(ROWS($A$2:A112)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112)-1),"")</f>
        <v/>
      </c>
      <c r="B112" t="str" cm="1">
        <f t="array" ref="B112">IF($A112="","",INDEX(Decisiones!$A$2:$A$237,MATCH(INDEX(Explorador_Integrantes!$GO$2:$GO$30,MATCH(Explorador_Integrantes!$X$2,Explorador_Integrantes!$GN$2:$GN$30,0)),Decisiones!$B$2:$B$237,0)+ROWS($A$2:A112)-1))</f>
        <v/>
      </c>
      <c r="C112" t="str" cm="1">
        <f t="array" ref="C112">IF($A112="","",INDEX(Decisiones!$H$2:$H$237,MATCH(INDEX(Explorador_Integrantes!$GO$2:$GO$30,MATCH(Explorador_Integrantes!$X$2,Explorador_Integrantes!$GN$2:$GN$30,0)),Decisiones!$B$2:$B$237,0)+ROWS($A$2:A112)-1))</f>
        <v/>
      </c>
      <c r="D112" t="str">
        <f>IF($B112="","",--(COUNTIFS(Votaciones!$A$2:$A$336,$B112,Votaciones!$B$2:$B$336,Explorador_Integrantes!$X$2,Votaciones!$D$2:$D$336,"Disenso restrictivo")&gt;0))</f>
        <v/>
      </c>
      <c r="E112" t="str">
        <f>IF($B112="","",--(COUNTIFS(Votaciones!$A$2:$A$336,$B112,Votaciones!$B$2:$B$336,Explorador_Integrantes!$X$2,Votaciones!$D$2:$D$336,"Disenso acomodaticio")&gt;0))</f>
        <v/>
      </c>
    </row>
    <row r="113" spans="1:5">
      <c r="A113" s="84" t="str" cm="1">
        <f t="array" ref="A113">IF(ROWS($A$2:A113)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113)-1),"")</f>
        <v/>
      </c>
      <c r="B113" t="str" cm="1">
        <f t="array" ref="B113">IF($A113="","",INDEX(Decisiones!$A$2:$A$237,MATCH(INDEX(Explorador_Integrantes!$GO$2:$GO$30,MATCH(Explorador_Integrantes!$X$2,Explorador_Integrantes!$GN$2:$GN$30,0)),Decisiones!$B$2:$B$237,0)+ROWS($A$2:A113)-1))</f>
        <v/>
      </c>
      <c r="C113" t="str" cm="1">
        <f t="array" ref="C113">IF($A113="","",INDEX(Decisiones!$H$2:$H$237,MATCH(INDEX(Explorador_Integrantes!$GO$2:$GO$30,MATCH(Explorador_Integrantes!$X$2,Explorador_Integrantes!$GN$2:$GN$30,0)),Decisiones!$B$2:$B$237,0)+ROWS($A$2:A113)-1))</f>
        <v/>
      </c>
      <c r="D113" t="str">
        <f>IF($B113="","",--(COUNTIFS(Votaciones!$A$2:$A$336,$B113,Votaciones!$B$2:$B$336,Explorador_Integrantes!$X$2,Votaciones!$D$2:$D$336,"Disenso restrictivo")&gt;0))</f>
        <v/>
      </c>
      <c r="E113" t="str">
        <f>IF($B113="","",--(COUNTIFS(Votaciones!$A$2:$A$336,$B113,Votaciones!$B$2:$B$336,Explorador_Integrantes!$X$2,Votaciones!$D$2:$D$336,"Disenso acomodaticio")&gt;0))</f>
        <v/>
      </c>
    </row>
    <row r="114" spans="1:5">
      <c r="A114" s="84" t="str" cm="1">
        <f t="array" ref="A114">IF(ROWS($A$2:A114)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114)-1),"")</f>
        <v/>
      </c>
      <c r="B114" t="str" cm="1">
        <f t="array" ref="B114">IF($A114="","",INDEX(Decisiones!$A$2:$A$237,MATCH(INDEX(Explorador_Integrantes!$GO$2:$GO$30,MATCH(Explorador_Integrantes!$X$2,Explorador_Integrantes!$GN$2:$GN$30,0)),Decisiones!$B$2:$B$237,0)+ROWS($A$2:A114)-1))</f>
        <v/>
      </c>
      <c r="C114" t="str" cm="1">
        <f t="array" ref="C114">IF($A114="","",INDEX(Decisiones!$H$2:$H$237,MATCH(INDEX(Explorador_Integrantes!$GO$2:$GO$30,MATCH(Explorador_Integrantes!$X$2,Explorador_Integrantes!$GN$2:$GN$30,0)),Decisiones!$B$2:$B$237,0)+ROWS($A$2:A114)-1))</f>
        <v/>
      </c>
      <c r="D114" t="str">
        <f>IF($B114="","",--(COUNTIFS(Votaciones!$A$2:$A$336,$B114,Votaciones!$B$2:$B$336,Explorador_Integrantes!$X$2,Votaciones!$D$2:$D$336,"Disenso restrictivo")&gt;0))</f>
        <v/>
      </c>
      <c r="E114" t="str">
        <f>IF($B114="","",--(COUNTIFS(Votaciones!$A$2:$A$336,$B114,Votaciones!$B$2:$B$336,Explorador_Integrantes!$X$2,Votaciones!$D$2:$D$336,"Disenso acomodaticio")&gt;0))</f>
        <v/>
      </c>
    </row>
    <row r="115" spans="1:5">
      <c r="A115" s="84" t="str" cm="1">
        <f t="array" ref="A115">IF(ROWS($A$2:A115)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115)-1),"")</f>
        <v/>
      </c>
      <c r="B115" t="str" cm="1">
        <f t="array" ref="B115">IF($A115="","",INDEX(Decisiones!$A$2:$A$237,MATCH(INDEX(Explorador_Integrantes!$GO$2:$GO$30,MATCH(Explorador_Integrantes!$X$2,Explorador_Integrantes!$GN$2:$GN$30,0)),Decisiones!$B$2:$B$237,0)+ROWS($A$2:A115)-1))</f>
        <v/>
      </c>
      <c r="C115" t="str" cm="1">
        <f t="array" ref="C115">IF($A115="","",INDEX(Decisiones!$H$2:$H$237,MATCH(INDEX(Explorador_Integrantes!$GO$2:$GO$30,MATCH(Explorador_Integrantes!$X$2,Explorador_Integrantes!$GN$2:$GN$30,0)),Decisiones!$B$2:$B$237,0)+ROWS($A$2:A115)-1))</f>
        <v/>
      </c>
      <c r="D115" t="str">
        <f>IF($B115="","",--(COUNTIFS(Votaciones!$A$2:$A$336,$B115,Votaciones!$B$2:$B$336,Explorador_Integrantes!$X$2,Votaciones!$D$2:$D$336,"Disenso restrictivo")&gt;0))</f>
        <v/>
      </c>
      <c r="E115" t="str">
        <f>IF($B115="","",--(COUNTIFS(Votaciones!$A$2:$A$336,$B115,Votaciones!$B$2:$B$336,Explorador_Integrantes!$X$2,Votaciones!$D$2:$D$336,"Disenso acomodaticio")&gt;0))</f>
        <v/>
      </c>
    </row>
    <row r="116" spans="1:5">
      <c r="A116" s="84" t="str" cm="1">
        <f t="array" ref="A116">IF(ROWS($A$2:A116)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116)-1),"")</f>
        <v/>
      </c>
      <c r="B116" t="str" cm="1">
        <f t="array" ref="B116">IF($A116="","",INDEX(Decisiones!$A$2:$A$237,MATCH(INDEX(Explorador_Integrantes!$GO$2:$GO$30,MATCH(Explorador_Integrantes!$X$2,Explorador_Integrantes!$GN$2:$GN$30,0)),Decisiones!$B$2:$B$237,0)+ROWS($A$2:A116)-1))</f>
        <v/>
      </c>
      <c r="C116" t="str" cm="1">
        <f t="array" ref="C116">IF($A116="","",INDEX(Decisiones!$H$2:$H$237,MATCH(INDEX(Explorador_Integrantes!$GO$2:$GO$30,MATCH(Explorador_Integrantes!$X$2,Explorador_Integrantes!$GN$2:$GN$30,0)),Decisiones!$B$2:$B$237,0)+ROWS($A$2:A116)-1))</f>
        <v/>
      </c>
      <c r="D116" t="str">
        <f>IF($B116="","",--(COUNTIFS(Votaciones!$A$2:$A$336,$B116,Votaciones!$B$2:$B$336,Explorador_Integrantes!$X$2,Votaciones!$D$2:$D$336,"Disenso restrictivo")&gt;0))</f>
        <v/>
      </c>
      <c r="E116" t="str">
        <f>IF($B116="","",--(COUNTIFS(Votaciones!$A$2:$A$336,$B116,Votaciones!$B$2:$B$336,Explorador_Integrantes!$X$2,Votaciones!$D$2:$D$336,"Disenso acomodaticio")&gt;0))</f>
        <v/>
      </c>
    </row>
    <row r="117" spans="1:5">
      <c r="A117" s="84" t="str" cm="1">
        <f t="array" ref="A117">IF(ROWS($A$2:A117)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117)-1),"")</f>
        <v/>
      </c>
      <c r="B117" t="str" cm="1">
        <f t="array" ref="B117">IF($A117="","",INDEX(Decisiones!$A$2:$A$237,MATCH(INDEX(Explorador_Integrantes!$GO$2:$GO$30,MATCH(Explorador_Integrantes!$X$2,Explorador_Integrantes!$GN$2:$GN$30,0)),Decisiones!$B$2:$B$237,0)+ROWS($A$2:A117)-1))</f>
        <v/>
      </c>
      <c r="C117" t="str" cm="1">
        <f t="array" ref="C117">IF($A117="","",INDEX(Decisiones!$H$2:$H$237,MATCH(INDEX(Explorador_Integrantes!$GO$2:$GO$30,MATCH(Explorador_Integrantes!$X$2,Explorador_Integrantes!$GN$2:$GN$30,0)),Decisiones!$B$2:$B$237,0)+ROWS($A$2:A117)-1))</f>
        <v/>
      </c>
      <c r="D117" t="str">
        <f>IF($B117="","",--(COUNTIFS(Votaciones!$A$2:$A$336,$B117,Votaciones!$B$2:$B$336,Explorador_Integrantes!$X$2,Votaciones!$D$2:$D$336,"Disenso restrictivo")&gt;0))</f>
        <v/>
      </c>
      <c r="E117" t="str">
        <f>IF($B117="","",--(COUNTIFS(Votaciones!$A$2:$A$336,$B117,Votaciones!$B$2:$B$336,Explorador_Integrantes!$X$2,Votaciones!$D$2:$D$336,"Disenso acomodaticio")&gt;0))</f>
        <v/>
      </c>
    </row>
    <row r="118" spans="1:5">
      <c r="A118" s="84" t="str" cm="1">
        <f t="array" ref="A118">IF(ROWS($A$2:A118)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118)-1),"")</f>
        <v/>
      </c>
      <c r="B118" t="str" cm="1">
        <f t="array" ref="B118">IF($A118="","",INDEX(Decisiones!$A$2:$A$237,MATCH(INDEX(Explorador_Integrantes!$GO$2:$GO$30,MATCH(Explorador_Integrantes!$X$2,Explorador_Integrantes!$GN$2:$GN$30,0)),Decisiones!$B$2:$B$237,0)+ROWS($A$2:A118)-1))</f>
        <v/>
      </c>
      <c r="C118" t="str" cm="1">
        <f t="array" ref="C118">IF($A118="","",INDEX(Decisiones!$H$2:$H$237,MATCH(INDEX(Explorador_Integrantes!$GO$2:$GO$30,MATCH(Explorador_Integrantes!$X$2,Explorador_Integrantes!$GN$2:$GN$30,0)),Decisiones!$B$2:$B$237,0)+ROWS($A$2:A118)-1))</f>
        <v/>
      </c>
      <c r="D118" t="str">
        <f>IF($B118="","",--(COUNTIFS(Votaciones!$A$2:$A$336,$B118,Votaciones!$B$2:$B$336,Explorador_Integrantes!$X$2,Votaciones!$D$2:$D$336,"Disenso restrictivo")&gt;0))</f>
        <v/>
      </c>
      <c r="E118" t="str">
        <f>IF($B118="","",--(COUNTIFS(Votaciones!$A$2:$A$336,$B118,Votaciones!$B$2:$B$336,Explorador_Integrantes!$X$2,Votaciones!$D$2:$D$336,"Disenso acomodaticio")&gt;0))</f>
        <v/>
      </c>
    </row>
    <row r="119" spans="1:5">
      <c r="A119" s="84" t="str" cm="1">
        <f t="array" ref="A119">IF(ROWS($A$2:A119)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119)-1),"")</f>
        <v/>
      </c>
      <c r="B119" t="str" cm="1">
        <f t="array" ref="B119">IF($A119="","",INDEX(Decisiones!$A$2:$A$237,MATCH(INDEX(Explorador_Integrantes!$GO$2:$GO$30,MATCH(Explorador_Integrantes!$X$2,Explorador_Integrantes!$GN$2:$GN$30,0)),Decisiones!$B$2:$B$237,0)+ROWS($A$2:A119)-1))</f>
        <v/>
      </c>
      <c r="C119" t="str" cm="1">
        <f t="array" ref="C119">IF($A119="","",INDEX(Decisiones!$H$2:$H$237,MATCH(INDEX(Explorador_Integrantes!$GO$2:$GO$30,MATCH(Explorador_Integrantes!$X$2,Explorador_Integrantes!$GN$2:$GN$30,0)),Decisiones!$B$2:$B$237,0)+ROWS($A$2:A119)-1))</f>
        <v/>
      </c>
      <c r="D119" t="str">
        <f>IF($B119="","",--(COUNTIFS(Votaciones!$A$2:$A$336,$B119,Votaciones!$B$2:$B$336,Explorador_Integrantes!$X$2,Votaciones!$D$2:$D$336,"Disenso restrictivo")&gt;0))</f>
        <v/>
      </c>
      <c r="E119" t="str">
        <f>IF($B119="","",--(COUNTIFS(Votaciones!$A$2:$A$336,$B119,Votaciones!$B$2:$B$336,Explorador_Integrantes!$X$2,Votaciones!$D$2:$D$336,"Disenso acomodaticio")&gt;0))</f>
        <v/>
      </c>
    </row>
    <row r="120" spans="1:5">
      <c r="A120" s="84" t="str" cm="1">
        <f t="array" ref="A120">IF(ROWS($A$2:A120)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120)-1),"")</f>
        <v/>
      </c>
      <c r="B120" t="str" cm="1">
        <f t="array" ref="B120">IF($A120="","",INDEX(Decisiones!$A$2:$A$237,MATCH(INDEX(Explorador_Integrantes!$GO$2:$GO$30,MATCH(Explorador_Integrantes!$X$2,Explorador_Integrantes!$GN$2:$GN$30,0)),Decisiones!$B$2:$B$237,0)+ROWS($A$2:A120)-1))</f>
        <v/>
      </c>
      <c r="C120" t="str" cm="1">
        <f t="array" ref="C120">IF($A120="","",INDEX(Decisiones!$H$2:$H$237,MATCH(INDEX(Explorador_Integrantes!$GO$2:$GO$30,MATCH(Explorador_Integrantes!$X$2,Explorador_Integrantes!$GN$2:$GN$30,0)),Decisiones!$B$2:$B$237,0)+ROWS($A$2:A120)-1))</f>
        <v/>
      </c>
      <c r="D120" t="str">
        <f>IF($B120="","",--(COUNTIFS(Votaciones!$A$2:$A$336,$B120,Votaciones!$B$2:$B$336,Explorador_Integrantes!$X$2,Votaciones!$D$2:$D$336,"Disenso restrictivo")&gt;0))</f>
        <v/>
      </c>
      <c r="E120" t="str">
        <f>IF($B120="","",--(COUNTIFS(Votaciones!$A$2:$A$336,$B120,Votaciones!$B$2:$B$336,Explorador_Integrantes!$X$2,Votaciones!$D$2:$D$336,"Disenso acomodaticio")&gt;0))</f>
        <v/>
      </c>
    </row>
    <row r="121" spans="1:5">
      <c r="A121" s="84" t="str" cm="1">
        <f t="array" ref="A121">IF(ROWS($A$2:A121)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121)-1),"")</f>
        <v/>
      </c>
      <c r="B121" t="str" cm="1">
        <f t="array" ref="B121">IF($A121="","",INDEX(Decisiones!$A$2:$A$237,MATCH(INDEX(Explorador_Integrantes!$GO$2:$GO$30,MATCH(Explorador_Integrantes!$X$2,Explorador_Integrantes!$GN$2:$GN$30,0)),Decisiones!$B$2:$B$237,0)+ROWS($A$2:A121)-1))</f>
        <v/>
      </c>
      <c r="C121" t="str" cm="1">
        <f t="array" ref="C121">IF($A121="","",INDEX(Decisiones!$H$2:$H$237,MATCH(INDEX(Explorador_Integrantes!$GO$2:$GO$30,MATCH(Explorador_Integrantes!$X$2,Explorador_Integrantes!$GN$2:$GN$30,0)),Decisiones!$B$2:$B$237,0)+ROWS($A$2:A121)-1))</f>
        <v/>
      </c>
      <c r="D121" t="str">
        <f>IF($B121="","",--(COUNTIFS(Votaciones!$A$2:$A$336,$B121,Votaciones!$B$2:$B$336,Explorador_Integrantes!$X$2,Votaciones!$D$2:$D$336,"Disenso restrictivo")&gt;0))</f>
        <v/>
      </c>
      <c r="E121" t="str">
        <f>IF($B121="","",--(COUNTIFS(Votaciones!$A$2:$A$336,$B121,Votaciones!$B$2:$B$336,Explorador_Integrantes!$X$2,Votaciones!$D$2:$D$336,"Disenso acomodaticio")&gt;0))</f>
        <v/>
      </c>
    </row>
    <row r="122" spans="1:5">
      <c r="A122" s="84" t="str" cm="1">
        <f t="array" ref="A122">IF(ROWS($A$2:A122)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122)-1),"")</f>
        <v/>
      </c>
      <c r="B122" t="str" cm="1">
        <f t="array" ref="B122">IF($A122="","",INDEX(Decisiones!$A$2:$A$237,MATCH(INDEX(Explorador_Integrantes!$GO$2:$GO$30,MATCH(Explorador_Integrantes!$X$2,Explorador_Integrantes!$GN$2:$GN$30,0)),Decisiones!$B$2:$B$237,0)+ROWS($A$2:A122)-1))</f>
        <v/>
      </c>
      <c r="C122" t="str" cm="1">
        <f t="array" ref="C122">IF($A122="","",INDEX(Decisiones!$H$2:$H$237,MATCH(INDEX(Explorador_Integrantes!$GO$2:$GO$30,MATCH(Explorador_Integrantes!$X$2,Explorador_Integrantes!$GN$2:$GN$30,0)),Decisiones!$B$2:$B$237,0)+ROWS($A$2:A122)-1))</f>
        <v/>
      </c>
      <c r="D122" t="str">
        <f>IF($B122="","",--(COUNTIFS(Votaciones!$A$2:$A$336,$B122,Votaciones!$B$2:$B$336,Explorador_Integrantes!$X$2,Votaciones!$D$2:$D$336,"Disenso restrictivo")&gt;0))</f>
        <v/>
      </c>
      <c r="E122" t="str">
        <f>IF($B122="","",--(COUNTIFS(Votaciones!$A$2:$A$336,$B122,Votaciones!$B$2:$B$336,Explorador_Integrantes!$X$2,Votaciones!$D$2:$D$336,"Disenso acomodaticio")&gt;0))</f>
        <v/>
      </c>
    </row>
    <row r="123" spans="1:5">
      <c r="A123" s="84" t="str" cm="1">
        <f t="array" ref="A123">IF(ROWS($A$2:A123)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123)-1),"")</f>
        <v/>
      </c>
      <c r="B123" t="str" cm="1">
        <f t="array" ref="B123">IF($A123="","",INDEX(Decisiones!$A$2:$A$237,MATCH(INDEX(Explorador_Integrantes!$GO$2:$GO$30,MATCH(Explorador_Integrantes!$X$2,Explorador_Integrantes!$GN$2:$GN$30,0)),Decisiones!$B$2:$B$237,0)+ROWS($A$2:A123)-1))</f>
        <v/>
      </c>
      <c r="C123" t="str" cm="1">
        <f t="array" ref="C123">IF($A123="","",INDEX(Decisiones!$H$2:$H$237,MATCH(INDEX(Explorador_Integrantes!$GO$2:$GO$30,MATCH(Explorador_Integrantes!$X$2,Explorador_Integrantes!$GN$2:$GN$30,0)),Decisiones!$B$2:$B$237,0)+ROWS($A$2:A123)-1))</f>
        <v/>
      </c>
      <c r="D123" t="str">
        <f>IF($B123="","",--(COUNTIFS(Votaciones!$A$2:$A$336,$B123,Votaciones!$B$2:$B$336,Explorador_Integrantes!$X$2,Votaciones!$D$2:$D$336,"Disenso restrictivo")&gt;0))</f>
        <v/>
      </c>
      <c r="E123" t="str">
        <f>IF($B123="","",--(COUNTIFS(Votaciones!$A$2:$A$336,$B123,Votaciones!$B$2:$B$336,Explorador_Integrantes!$X$2,Votaciones!$D$2:$D$336,"Disenso acomodaticio")&gt;0))</f>
        <v/>
      </c>
    </row>
    <row r="124" spans="1:5">
      <c r="A124" s="84" t="str" cm="1">
        <f t="array" ref="A124">IF(ROWS($A$2:A124)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124)-1),"")</f>
        <v/>
      </c>
      <c r="B124" t="str" cm="1">
        <f t="array" ref="B124">IF($A124="","",INDEX(Decisiones!$A$2:$A$237,MATCH(INDEX(Explorador_Integrantes!$GO$2:$GO$30,MATCH(Explorador_Integrantes!$X$2,Explorador_Integrantes!$GN$2:$GN$30,0)),Decisiones!$B$2:$B$237,0)+ROWS($A$2:A124)-1))</f>
        <v/>
      </c>
      <c r="C124" t="str" cm="1">
        <f t="array" ref="C124">IF($A124="","",INDEX(Decisiones!$H$2:$H$237,MATCH(INDEX(Explorador_Integrantes!$GO$2:$GO$30,MATCH(Explorador_Integrantes!$X$2,Explorador_Integrantes!$GN$2:$GN$30,0)),Decisiones!$B$2:$B$237,0)+ROWS($A$2:A124)-1))</f>
        <v/>
      </c>
      <c r="D124" t="str">
        <f>IF($B124="","",--(COUNTIFS(Votaciones!$A$2:$A$336,$B124,Votaciones!$B$2:$B$336,Explorador_Integrantes!$X$2,Votaciones!$D$2:$D$336,"Disenso restrictivo")&gt;0))</f>
        <v/>
      </c>
      <c r="E124" t="str">
        <f>IF($B124="","",--(COUNTIFS(Votaciones!$A$2:$A$336,$B124,Votaciones!$B$2:$B$336,Explorador_Integrantes!$X$2,Votaciones!$D$2:$D$336,"Disenso acomodaticio")&gt;0))</f>
        <v/>
      </c>
    </row>
    <row r="125" spans="1:5">
      <c r="A125" s="84" t="str" cm="1">
        <f t="array" ref="A125">IF(ROWS($A$2:A125)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125)-1),"")</f>
        <v/>
      </c>
      <c r="B125" t="str" cm="1">
        <f t="array" ref="B125">IF($A125="","",INDEX(Decisiones!$A$2:$A$237,MATCH(INDEX(Explorador_Integrantes!$GO$2:$GO$30,MATCH(Explorador_Integrantes!$X$2,Explorador_Integrantes!$GN$2:$GN$30,0)),Decisiones!$B$2:$B$237,0)+ROWS($A$2:A125)-1))</f>
        <v/>
      </c>
      <c r="C125" t="str" cm="1">
        <f t="array" ref="C125">IF($A125="","",INDEX(Decisiones!$H$2:$H$237,MATCH(INDEX(Explorador_Integrantes!$GO$2:$GO$30,MATCH(Explorador_Integrantes!$X$2,Explorador_Integrantes!$GN$2:$GN$30,0)),Decisiones!$B$2:$B$237,0)+ROWS($A$2:A125)-1))</f>
        <v/>
      </c>
      <c r="D125" t="str">
        <f>IF($B125="","",--(COUNTIFS(Votaciones!$A$2:$A$336,$B125,Votaciones!$B$2:$B$336,Explorador_Integrantes!$X$2,Votaciones!$D$2:$D$336,"Disenso restrictivo")&gt;0))</f>
        <v/>
      </c>
      <c r="E125" t="str">
        <f>IF($B125="","",--(COUNTIFS(Votaciones!$A$2:$A$336,$B125,Votaciones!$B$2:$B$336,Explorador_Integrantes!$X$2,Votaciones!$D$2:$D$336,"Disenso acomodaticio")&gt;0))</f>
        <v/>
      </c>
    </row>
    <row r="126" spans="1:5">
      <c r="A126" s="84" t="str" cm="1">
        <f t="array" ref="A126">IF(ROWS($A$2:A126)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126)-1),"")</f>
        <v/>
      </c>
      <c r="B126" t="str" cm="1">
        <f t="array" ref="B126">IF($A126="","",INDEX(Decisiones!$A$2:$A$237,MATCH(INDEX(Explorador_Integrantes!$GO$2:$GO$30,MATCH(Explorador_Integrantes!$X$2,Explorador_Integrantes!$GN$2:$GN$30,0)),Decisiones!$B$2:$B$237,0)+ROWS($A$2:A126)-1))</f>
        <v/>
      </c>
      <c r="C126" t="str" cm="1">
        <f t="array" ref="C126">IF($A126="","",INDEX(Decisiones!$H$2:$H$237,MATCH(INDEX(Explorador_Integrantes!$GO$2:$GO$30,MATCH(Explorador_Integrantes!$X$2,Explorador_Integrantes!$GN$2:$GN$30,0)),Decisiones!$B$2:$B$237,0)+ROWS($A$2:A126)-1))</f>
        <v/>
      </c>
      <c r="D126" t="str">
        <f>IF($B126="","",--(COUNTIFS(Votaciones!$A$2:$A$336,$B126,Votaciones!$B$2:$B$336,Explorador_Integrantes!$X$2,Votaciones!$D$2:$D$336,"Disenso restrictivo")&gt;0))</f>
        <v/>
      </c>
      <c r="E126" t="str">
        <f>IF($B126="","",--(COUNTIFS(Votaciones!$A$2:$A$336,$B126,Votaciones!$B$2:$B$336,Explorador_Integrantes!$X$2,Votaciones!$D$2:$D$336,"Disenso acomodaticio")&gt;0))</f>
        <v/>
      </c>
    </row>
    <row r="127" spans="1:5">
      <c r="A127" s="84" t="str" cm="1">
        <f t="array" ref="A127">IF(ROWS($A$2:A127)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127)-1),"")</f>
        <v/>
      </c>
      <c r="B127" t="str" cm="1">
        <f t="array" ref="B127">IF($A127="","",INDEX(Decisiones!$A$2:$A$237,MATCH(INDEX(Explorador_Integrantes!$GO$2:$GO$30,MATCH(Explorador_Integrantes!$X$2,Explorador_Integrantes!$GN$2:$GN$30,0)),Decisiones!$B$2:$B$237,0)+ROWS($A$2:A127)-1))</f>
        <v/>
      </c>
      <c r="C127" t="str" cm="1">
        <f t="array" ref="C127">IF($A127="","",INDEX(Decisiones!$H$2:$H$237,MATCH(INDEX(Explorador_Integrantes!$GO$2:$GO$30,MATCH(Explorador_Integrantes!$X$2,Explorador_Integrantes!$GN$2:$GN$30,0)),Decisiones!$B$2:$B$237,0)+ROWS($A$2:A127)-1))</f>
        <v/>
      </c>
      <c r="D127" t="str">
        <f>IF($B127="","",--(COUNTIFS(Votaciones!$A$2:$A$336,$B127,Votaciones!$B$2:$B$336,Explorador_Integrantes!$X$2,Votaciones!$D$2:$D$336,"Disenso restrictivo")&gt;0))</f>
        <v/>
      </c>
      <c r="E127" t="str">
        <f>IF($B127="","",--(COUNTIFS(Votaciones!$A$2:$A$336,$B127,Votaciones!$B$2:$B$336,Explorador_Integrantes!$X$2,Votaciones!$D$2:$D$336,"Disenso acomodaticio")&gt;0))</f>
        <v/>
      </c>
    </row>
    <row r="128" spans="1:5">
      <c r="A128" s="84" t="str" cm="1">
        <f t="array" ref="A128">IF(ROWS($A$2:A128)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128)-1),"")</f>
        <v/>
      </c>
      <c r="B128" t="str" cm="1">
        <f t="array" ref="B128">IF($A128="","",INDEX(Decisiones!$A$2:$A$237,MATCH(INDEX(Explorador_Integrantes!$GO$2:$GO$30,MATCH(Explorador_Integrantes!$X$2,Explorador_Integrantes!$GN$2:$GN$30,0)),Decisiones!$B$2:$B$237,0)+ROWS($A$2:A128)-1))</f>
        <v/>
      </c>
      <c r="C128" t="str" cm="1">
        <f t="array" ref="C128">IF($A128="","",INDEX(Decisiones!$H$2:$H$237,MATCH(INDEX(Explorador_Integrantes!$GO$2:$GO$30,MATCH(Explorador_Integrantes!$X$2,Explorador_Integrantes!$GN$2:$GN$30,0)),Decisiones!$B$2:$B$237,0)+ROWS($A$2:A128)-1))</f>
        <v/>
      </c>
      <c r="D128" t="str">
        <f>IF($B128="","",--(COUNTIFS(Votaciones!$A$2:$A$336,$B128,Votaciones!$B$2:$B$336,Explorador_Integrantes!$X$2,Votaciones!$D$2:$D$336,"Disenso restrictivo")&gt;0))</f>
        <v/>
      </c>
      <c r="E128" t="str">
        <f>IF($B128="","",--(COUNTIFS(Votaciones!$A$2:$A$336,$B128,Votaciones!$B$2:$B$336,Explorador_Integrantes!$X$2,Votaciones!$D$2:$D$336,"Disenso acomodaticio")&gt;0))</f>
        <v/>
      </c>
    </row>
    <row r="129" spans="1:5">
      <c r="A129" s="84" t="str" cm="1">
        <f t="array" ref="A129">IF(ROWS($A$2:A129)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129)-1),"")</f>
        <v/>
      </c>
      <c r="B129" t="str" cm="1">
        <f t="array" ref="B129">IF($A129="","",INDEX(Decisiones!$A$2:$A$237,MATCH(INDEX(Explorador_Integrantes!$GO$2:$GO$30,MATCH(Explorador_Integrantes!$X$2,Explorador_Integrantes!$GN$2:$GN$30,0)),Decisiones!$B$2:$B$237,0)+ROWS($A$2:A129)-1))</f>
        <v/>
      </c>
      <c r="C129" t="str" cm="1">
        <f t="array" ref="C129">IF($A129="","",INDEX(Decisiones!$H$2:$H$237,MATCH(INDEX(Explorador_Integrantes!$GO$2:$GO$30,MATCH(Explorador_Integrantes!$X$2,Explorador_Integrantes!$GN$2:$GN$30,0)),Decisiones!$B$2:$B$237,0)+ROWS($A$2:A129)-1))</f>
        <v/>
      </c>
      <c r="D129" t="str">
        <f>IF($B129="","",--(COUNTIFS(Votaciones!$A$2:$A$336,$B129,Votaciones!$B$2:$B$336,Explorador_Integrantes!$X$2,Votaciones!$D$2:$D$336,"Disenso restrictivo")&gt;0))</f>
        <v/>
      </c>
      <c r="E129" t="str">
        <f>IF($B129="","",--(COUNTIFS(Votaciones!$A$2:$A$336,$B129,Votaciones!$B$2:$B$336,Explorador_Integrantes!$X$2,Votaciones!$D$2:$D$336,"Disenso acomodaticio")&gt;0))</f>
        <v/>
      </c>
    </row>
    <row r="130" spans="1:5">
      <c r="A130" s="84" t="str" cm="1">
        <f t="array" ref="A130">IF(ROWS($A$2:A130)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130)-1),"")</f>
        <v/>
      </c>
      <c r="B130" t="str" cm="1">
        <f t="array" ref="B130">IF($A130="","",INDEX(Decisiones!$A$2:$A$237,MATCH(INDEX(Explorador_Integrantes!$GO$2:$GO$30,MATCH(Explorador_Integrantes!$X$2,Explorador_Integrantes!$GN$2:$GN$30,0)),Decisiones!$B$2:$B$237,0)+ROWS($A$2:A130)-1))</f>
        <v/>
      </c>
      <c r="C130" t="str" cm="1">
        <f t="array" ref="C130">IF($A130="","",INDEX(Decisiones!$H$2:$H$237,MATCH(INDEX(Explorador_Integrantes!$GO$2:$GO$30,MATCH(Explorador_Integrantes!$X$2,Explorador_Integrantes!$GN$2:$GN$30,0)),Decisiones!$B$2:$B$237,0)+ROWS($A$2:A130)-1))</f>
        <v/>
      </c>
      <c r="D130" t="str">
        <f>IF($B130="","",--(COUNTIFS(Votaciones!$A$2:$A$336,$B130,Votaciones!$B$2:$B$336,Explorador_Integrantes!$X$2,Votaciones!$D$2:$D$336,"Disenso restrictivo")&gt;0))</f>
        <v/>
      </c>
      <c r="E130" t="str">
        <f>IF($B130="","",--(COUNTIFS(Votaciones!$A$2:$A$336,$B130,Votaciones!$B$2:$B$336,Explorador_Integrantes!$X$2,Votaciones!$D$2:$D$336,"Disenso acomodaticio")&gt;0))</f>
        <v/>
      </c>
    </row>
    <row r="131" spans="1:5">
      <c r="A131" s="84" t="str" cm="1">
        <f t="array" ref="A131">IF(ROWS($A$2:A131)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131)-1),"")</f>
        <v/>
      </c>
      <c r="B131" t="str" cm="1">
        <f t="array" ref="B131">IF($A131="","",INDEX(Decisiones!$A$2:$A$237,MATCH(INDEX(Explorador_Integrantes!$GO$2:$GO$30,MATCH(Explorador_Integrantes!$X$2,Explorador_Integrantes!$GN$2:$GN$30,0)),Decisiones!$B$2:$B$237,0)+ROWS($A$2:A131)-1))</f>
        <v/>
      </c>
      <c r="C131" t="str" cm="1">
        <f t="array" ref="C131">IF($A131="","",INDEX(Decisiones!$H$2:$H$237,MATCH(INDEX(Explorador_Integrantes!$GO$2:$GO$30,MATCH(Explorador_Integrantes!$X$2,Explorador_Integrantes!$GN$2:$GN$30,0)),Decisiones!$B$2:$B$237,0)+ROWS($A$2:A131)-1))</f>
        <v/>
      </c>
      <c r="D131" t="str">
        <f>IF($B131="","",--(COUNTIFS(Votaciones!$A$2:$A$336,$B131,Votaciones!$B$2:$B$336,Explorador_Integrantes!$X$2,Votaciones!$D$2:$D$336,"Disenso restrictivo")&gt;0))</f>
        <v/>
      </c>
      <c r="E131" t="str">
        <f>IF($B131="","",--(COUNTIFS(Votaciones!$A$2:$A$336,$B131,Votaciones!$B$2:$B$336,Explorador_Integrantes!$X$2,Votaciones!$D$2:$D$336,"Disenso acomodaticio")&gt;0))</f>
        <v/>
      </c>
    </row>
    <row r="132" spans="1:5">
      <c r="A132" s="84" t="str" cm="1">
        <f t="array" ref="A132">IF(ROWS($A$2:A132)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132)-1),"")</f>
        <v/>
      </c>
      <c r="B132" t="str" cm="1">
        <f t="array" ref="B132">IF($A132="","",INDEX(Decisiones!$A$2:$A$237,MATCH(INDEX(Explorador_Integrantes!$GO$2:$GO$30,MATCH(Explorador_Integrantes!$X$2,Explorador_Integrantes!$GN$2:$GN$30,0)),Decisiones!$B$2:$B$237,0)+ROWS($A$2:A132)-1))</f>
        <v/>
      </c>
      <c r="C132" t="str" cm="1">
        <f t="array" ref="C132">IF($A132="","",INDEX(Decisiones!$H$2:$H$237,MATCH(INDEX(Explorador_Integrantes!$GO$2:$GO$30,MATCH(Explorador_Integrantes!$X$2,Explorador_Integrantes!$GN$2:$GN$30,0)),Decisiones!$B$2:$B$237,0)+ROWS($A$2:A132)-1))</f>
        <v/>
      </c>
      <c r="D132" t="str">
        <f>IF($B132="","",--(COUNTIFS(Votaciones!$A$2:$A$336,$B132,Votaciones!$B$2:$B$336,Explorador_Integrantes!$X$2,Votaciones!$D$2:$D$336,"Disenso restrictivo")&gt;0))</f>
        <v/>
      </c>
      <c r="E132" t="str">
        <f>IF($B132="","",--(COUNTIFS(Votaciones!$A$2:$A$336,$B132,Votaciones!$B$2:$B$336,Explorador_Integrantes!$X$2,Votaciones!$D$2:$D$336,"Disenso acomodaticio")&gt;0))</f>
        <v/>
      </c>
    </row>
    <row r="133" spans="1:5">
      <c r="A133" s="84" t="str" cm="1">
        <f t="array" ref="A133">IF(ROWS($A$2:A133)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133)-1),"")</f>
        <v/>
      </c>
      <c r="B133" t="str" cm="1">
        <f t="array" ref="B133">IF($A133="","",INDEX(Decisiones!$A$2:$A$237,MATCH(INDEX(Explorador_Integrantes!$GO$2:$GO$30,MATCH(Explorador_Integrantes!$X$2,Explorador_Integrantes!$GN$2:$GN$30,0)),Decisiones!$B$2:$B$237,0)+ROWS($A$2:A133)-1))</f>
        <v/>
      </c>
      <c r="C133" t="str" cm="1">
        <f t="array" ref="C133">IF($A133="","",INDEX(Decisiones!$H$2:$H$237,MATCH(INDEX(Explorador_Integrantes!$GO$2:$GO$30,MATCH(Explorador_Integrantes!$X$2,Explorador_Integrantes!$GN$2:$GN$30,0)),Decisiones!$B$2:$B$237,0)+ROWS($A$2:A133)-1))</f>
        <v/>
      </c>
      <c r="D133" t="str">
        <f>IF($B133="","",--(COUNTIFS(Votaciones!$A$2:$A$336,$B133,Votaciones!$B$2:$B$336,Explorador_Integrantes!$X$2,Votaciones!$D$2:$D$336,"Disenso restrictivo")&gt;0))</f>
        <v/>
      </c>
      <c r="E133" t="str">
        <f>IF($B133="","",--(COUNTIFS(Votaciones!$A$2:$A$336,$B133,Votaciones!$B$2:$B$336,Explorador_Integrantes!$X$2,Votaciones!$D$2:$D$336,"Disenso acomodaticio")&gt;0))</f>
        <v/>
      </c>
    </row>
    <row r="134" spans="1:5">
      <c r="A134" s="84" t="str" cm="1">
        <f t="array" ref="A134">IF(ROWS($A$2:A134)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134)-1),"")</f>
        <v/>
      </c>
      <c r="B134" t="str" cm="1">
        <f t="array" ref="B134">IF($A134="","",INDEX(Decisiones!$A$2:$A$237,MATCH(INDEX(Explorador_Integrantes!$GO$2:$GO$30,MATCH(Explorador_Integrantes!$X$2,Explorador_Integrantes!$GN$2:$GN$30,0)),Decisiones!$B$2:$B$237,0)+ROWS($A$2:A134)-1))</f>
        <v/>
      </c>
      <c r="C134" t="str" cm="1">
        <f t="array" ref="C134">IF($A134="","",INDEX(Decisiones!$H$2:$H$237,MATCH(INDEX(Explorador_Integrantes!$GO$2:$GO$30,MATCH(Explorador_Integrantes!$X$2,Explorador_Integrantes!$GN$2:$GN$30,0)),Decisiones!$B$2:$B$237,0)+ROWS($A$2:A134)-1))</f>
        <v/>
      </c>
      <c r="D134" t="str">
        <f>IF($B134="","",--(COUNTIFS(Votaciones!$A$2:$A$336,$B134,Votaciones!$B$2:$B$336,Explorador_Integrantes!$X$2,Votaciones!$D$2:$D$336,"Disenso restrictivo")&gt;0))</f>
        <v/>
      </c>
      <c r="E134" t="str">
        <f>IF($B134="","",--(COUNTIFS(Votaciones!$A$2:$A$336,$B134,Votaciones!$B$2:$B$336,Explorador_Integrantes!$X$2,Votaciones!$D$2:$D$336,"Disenso acomodaticio")&gt;0))</f>
        <v/>
      </c>
    </row>
    <row r="135" spans="1:5">
      <c r="A135" s="84" t="str" cm="1">
        <f t="array" ref="A135">IF(ROWS($A$2:A135)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135)-1),"")</f>
        <v/>
      </c>
      <c r="B135" t="str" cm="1">
        <f t="array" ref="B135">IF($A135="","",INDEX(Decisiones!$A$2:$A$237,MATCH(INDEX(Explorador_Integrantes!$GO$2:$GO$30,MATCH(Explorador_Integrantes!$X$2,Explorador_Integrantes!$GN$2:$GN$30,0)),Decisiones!$B$2:$B$237,0)+ROWS($A$2:A135)-1))</f>
        <v/>
      </c>
      <c r="C135" t="str" cm="1">
        <f t="array" ref="C135">IF($A135="","",INDEX(Decisiones!$H$2:$H$237,MATCH(INDEX(Explorador_Integrantes!$GO$2:$GO$30,MATCH(Explorador_Integrantes!$X$2,Explorador_Integrantes!$GN$2:$GN$30,0)),Decisiones!$B$2:$B$237,0)+ROWS($A$2:A135)-1))</f>
        <v/>
      </c>
      <c r="D135" t="str">
        <f>IF($B135="","",--(COUNTIFS(Votaciones!$A$2:$A$336,$B135,Votaciones!$B$2:$B$336,Explorador_Integrantes!$X$2,Votaciones!$D$2:$D$336,"Disenso restrictivo")&gt;0))</f>
        <v/>
      </c>
      <c r="E135" t="str">
        <f>IF($B135="","",--(COUNTIFS(Votaciones!$A$2:$A$336,$B135,Votaciones!$B$2:$B$336,Explorador_Integrantes!$X$2,Votaciones!$D$2:$D$336,"Disenso acomodaticio")&gt;0))</f>
        <v/>
      </c>
    </row>
    <row r="136" spans="1:5">
      <c r="A136" s="84" t="str" cm="1">
        <f t="array" ref="A136">IF(ROWS($A$2:A136)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136)-1),"")</f>
        <v/>
      </c>
      <c r="B136" t="str" cm="1">
        <f t="array" ref="B136">IF($A136="","",INDEX(Decisiones!$A$2:$A$237,MATCH(INDEX(Explorador_Integrantes!$GO$2:$GO$30,MATCH(Explorador_Integrantes!$X$2,Explorador_Integrantes!$GN$2:$GN$30,0)),Decisiones!$B$2:$B$237,0)+ROWS($A$2:A136)-1))</f>
        <v/>
      </c>
      <c r="C136" t="str" cm="1">
        <f t="array" ref="C136">IF($A136="","",INDEX(Decisiones!$H$2:$H$237,MATCH(INDEX(Explorador_Integrantes!$GO$2:$GO$30,MATCH(Explorador_Integrantes!$X$2,Explorador_Integrantes!$GN$2:$GN$30,0)),Decisiones!$B$2:$B$237,0)+ROWS($A$2:A136)-1))</f>
        <v/>
      </c>
      <c r="D136" t="str">
        <f>IF($B136="","",--(COUNTIFS(Votaciones!$A$2:$A$336,$B136,Votaciones!$B$2:$B$336,Explorador_Integrantes!$X$2,Votaciones!$D$2:$D$336,"Disenso restrictivo")&gt;0))</f>
        <v/>
      </c>
      <c r="E136" t="str">
        <f>IF($B136="","",--(COUNTIFS(Votaciones!$A$2:$A$336,$B136,Votaciones!$B$2:$B$336,Explorador_Integrantes!$X$2,Votaciones!$D$2:$D$336,"Disenso acomodaticio")&gt;0))</f>
        <v/>
      </c>
    </row>
    <row r="137" spans="1:5">
      <c r="A137" s="84" t="str" cm="1">
        <f t="array" ref="A137">IF(ROWS($A$2:A137)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137)-1),"")</f>
        <v/>
      </c>
      <c r="B137" t="str" cm="1">
        <f t="array" ref="B137">IF($A137="","",INDEX(Decisiones!$A$2:$A$237,MATCH(INDEX(Explorador_Integrantes!$GO$2:$GO$30,MATCH(Explorador_Integrantes!$X$2,Explorador_Integrantes!$GN$2:$GN$30,0)),Decisiones!$B$2:$B$237,0)+ROWS($A$2:A137)-1))</f>
        <v/>
      </c>
      <c r="C137" t="str" cm="1">
        <f t="array" ref="C137">IF($A137="","",INDEX(Decisiones!$H$2:$H$237,MATCH(INDEX(Explorador_Integrantes!$GO$2:$GO$30,MATCH(Explorador_Integrantes!$X$2,Explorador_Integrantes!$GN$2:$GN$30,0)),Decisiones!$B$2:$B$237,0)+ROWS($A$2:A137)-1))</f>
        <v/>
      </c>
      <c r="D137" t="str">
        <f>IF($B137="","",--(COUNTIFS(Votaciones!$A$2:$A$336,$B137,Votaciones!$B$2:$B$336,Explorador_Integrantes!$X$2,Votaciones!$D$2:$D$336,"Disenso restrictivo")&gt;0))</f>
        <v/>
      </c>
      <c r="E137" t="str">
        <f>IF($B137="","",--(COUNTIFS(Votaciones!$A$2:$A$336,$B137,Votaciones!$B$2:$B$336,Explorador_Integrantes!$X$2,Votaciones!$D$2:$D$336,"Disenso acomodaticio")&gt;0))</f>
        <v/>
      </c>
    </row>
    <row r="138" spans="1:5">
      <c r="A138" s="84" t="str" cm="1">
        <f t="array" ref="A138">IF(ROWS($A$2:A138)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138)-1),"")</f>
        <v/>
      </c>
      <c r="B138" t="str" cm="1">
        <f t="array" ref="B138">IF($A138="","",INDEX(Decisiones!$A$2:$A$237,MATCH(INDEX(Explorador_Integrantes!$GO$2:$GO$30,MATCH(Explorador_Integrantes!$X$2,Explorador_Integrantes!$GN$2:$GN$30,0)),Decisiones!$B$2:$B$237,0)+ROWS($A$2:A138)-1))</f>
        <v/>
      </c>
      <c r="C138" t="str" cm="1">
        <f t="array" ref="C138">IF($A138="","",INDEX(Decisiones!$H$2:$H$237,MATCH(INDEX(Explorador_Integrantes!$GO$2:$GO$30,MATCH(Explorador_Integrantes!$X$2,Explorador_Integrantes!$GN$2:$GN$30,0)),Decisiones!$B$2:$B$237,0)+ROWS($A$2:A138)-1))</f>
        <v/>
      </c>
      <c r="D138" t="str">
        <f>IF($B138="","",--(COUNTIFS(Votaciones!$A$2:$A$336,$B138,Votaciones!$B$2:$B$336,Explorador_Integrantes!$X$2,Votaciones!$D$2:$D$336,"Disenso restrictivo")&gt;0))</f>
        <v/>
      </c>
      <c r="E138" t="str">
        <f>IF($B138="","",--(COUNTIFS(Votaciones!$A$2:$A$336,$B138,Votaciones!$B$2:$B$336,Explorador_Integrantes!$X$2,Votaciones!$D$2:$D$336,"Disenso acomodaticio")&gt;0))</f>
        <v/>
      </c>
    </row>
    <row r="139" spans="1:5">
      <c r="A139" s="84" t="str" cm="1">
        <f t="array" ref="A139">IF(ROWS($A$2:A139)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139)-1),"")</f>
        <v/>
      </c>
      <c r="B139" t="str" cm="1">
        <f t="array" ref="B139">IF($A139="","",INDEX(Decisiones!$A$2:$A$237,MATCH(INDEX(Explorador_Integrantes!$GO$2:$GO$30,MATCH(Explorador_Integrantes!$X$2,Explorador_Integrantes!$GN$2:$GN$30,0)),Decisiones!$B$2:$B$237,0)+ROWS($A$2:A139)-1))</f>
        <v/>
      </c>
      <c r="C139" t="str" cm="1">
        <f t="array" ref="C139">IF($A139="","",INDEX(Decisiones!$H$2:$H$237,MATCH(INDEX(Explorador_Integrantes!$GO$2:$GO$30,MATCH(Explorador_Integrantes!$X$2,Explorador_Integrantes!$GN$2:$GN$30,0)),Decisiones!$B$2:$B$237,0)+ROWS($A$2:A139)-1))</f>
        <v/>
      </c>
      <c r="D139" t="str">
        <f>IF($B139="","",--(COUNTIFS(Votaciones!$A$2:$A$336,$B139,Votaciones!$B$2:$B$336,Explorador_Integrantes!$X$2,Votaciones!$D$2:$D$336,"Disenso restrictivo")&gt;0))</f>
        <v/>
      </c>
      <c r="E139" t="str">
        <f>IF($B139="","",--(COUNTIFS(Votaciones!$A$2:$A$336,$B139,Votaciones!$B$2:$B$336,Explorador_Integrantes!$X$2,Votaciones!$D$2:$D$336,"Disenso acomodaticio")&gt;0))</f>
        <v/>
      </c>
    </row>
    <row r="140" spans="1:5">
      <c r="A140" s="84" t="str" cm="1">
        <f t="array" ref="A140">IF(ROWS($A$2:A140)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140)-1),"")</f>
        <v/>
      </c>
      <c r="B140" t="str" cm="1">
        <f t="array" ref="B140">IF($A140="","",INDEX(Decisiones!$A$2:$A$237,MATCH(INDEX(Explorador_Integrantes!$GO$2:$GO$30,MATCH(Explorador_Integrantes!$X$2,Explorador_Integrantes!$GN$2:$GN$30,0)),Decisiones!$B$2:$B$237,0)+ROWS($A$2:A140)-1))</f>
        <v/>
      </c>
      <c r="C140" t="str" cm="1">
        <f t="array" ref="C140">IF($A140="","",INDEX(Decisiones!$H$2:$H$237,MATCH(INDEX(Explorador_Integrantes!$GO$2:$GO$30,MATCH(Explorador_Integrantes!$X$2,Explorador_Integrantes!$GN$2:$GN$30,0)),Decisiones!$B$2:$B$237,0)+ROWS($A$2:A140)-1))</f>
        <v/>
      </c>
      <c r="D140" t="str">
        <f>IF($B140="","",--(COUNTIFS(Votaciones!$A$2:$A$336,$B140,Votaciones!$B$2:$B$336,Explorador_Integrantes!$X$2,Votaciones!$D$2:$D$336,"Disenso restrictivo")&gt;0))</f>
        <v/>
      </c>
      <c r="E140" t="str">
        <f>IF($B140="","",--(COUNTIFS(Votaciones!$A$2:$A$336,$B140,Votaciones!$B$2:$B$336,Explorador_Integrantes!$X$2,Votaciones!$D$2:$D$336,"Disenso acomodaticio")&gt;0))</f>
        <v/>
      </c>
    </row>
    <row r="141" spans="1:5">
      <c r="A141" s="84" t="str" cm="1">
        <f t="array" ref="A141">IF(ROWS($A$2:A141)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141)-1),"")</f>
        <v/>
      </c>
      <c r="B141" t="str" cm="1">
        <f t="array" ref="B141">IF($A141="","",INDEX(Decisiones!$A$2:$A$237,MATCH(INDEX(Explorador_Integrantes!$GO$2:$GO$30,MATCH(Explorador_Integrantes!$X$2,Explorador_Integrantes!$GN$2:$GN$30,0)),Decisiones!$B$2:$B$237,0)+ROWS($A$2:A141)-1))</f>
        <v/>
      </c>
      <c r="C141" t="str" cm="1">
        <f t="array" ref="C141">IF($A141="","",INDEX(Decisiones!$H$2:$H$237,MATCH(INDEX(Explorador_Integrantes!$GO$2:$GO$30,MATCH(Explorador_Integrantes!$X$2,Explorador_Integrantes!$GN$2:$GN$30,0)),Decisiones!$B$2:$B$237,0)+ROWS($A$2:A141)-1))</f>
        <v/>
      </c>
      <c r="D141" t="str">
        <f>IF($B141="","",--(COUNTIFS(Votaciones!$A$2:$A$336,$B141,Votaciones!$B$2:$B$336,Explorador_Integrantes!$X$2,Votaciones!$D$2:$D$336,"Disenso restrictivo")&gt;0))</f>
        <v/>
      </c>
      <c r="E141" t="str">
        <f>IF($B141="","",--(COUNTIFS(Votaciones!$A$2:$A$336,$B141,Votaciones!$B$2:$B$336,Explorador_Integrantes!$X$2,Votaciones!$D$2:$D$336,"Disenso acomodaticio")&gt;0))</f>
        <v/>
      </c>
    </row>
    <row r="142" spans="1:5">
      <c r="A142" s="84" t="str" cm="1">
        <f t="array" ref="A142">IF(ROWS($A$2:A142)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142)-1),"")</f>
        <v/>
      </c>
      <c r="B142" t="str" cm="1">
        <f t="array" ref="B142">IF($A142="","",INDEX(Decisiones!$A$2:$A$237,MATCH(INDEX(Explorador_Integrantes!$GO$2:$GO$30,MATCH(Explorador_Integrantes!$X$2,Explorador_Integrantes!$GN$2:$GN$30,0)),Decisiones!$B$2:$B$237,0)+ROWS($A$2:A142)-1))</f>
        <v/>
      </c>
      <c r="C142" t="str" cm="1">
        <f t="array" ref="C142">IF($A142="","",INDEX(Decisiones!$H$2:$H$237,MATCH(INDEX(Explorador_Integrantes!$GO$2:$GO$30,MATCH(Explorador_Integrantes!$X$2,Explorador_Integrantes!$GN$2:$GN$30,0)),Decisiones!$B$2:$B$237,0)+ROWS($A$2:A142)-1))</f>
        <v/>
      </c>
      <c r="D142" t="str">
        <f>IF($B142="","",--(COUNTIFS(Votaciones!$A$2:$A$336,$B142,Votaciones!$B$2:$B$336,Explorador_Integrantes!$X$2,Votaciones!$D$2:$D$336,"Disenso restrictivo")&gt;0))</f>
        <v/>
      </c>
      <c r="E142" t="str">
        <f>IF($B142="","",--(COUNTIFS(Votaciones!$A$2:$A$336,$B142,Votaciones!$B$2:$B$336,Explorador_Integrantes!$X$2,Votaciones!$D$2:$D$336,"Disenso acomodaticio")&gt;0))</f>
        <v/>
      </c>
    </row>
    <row r="143" spans="1:5">
      <c r="A143" s="84" t="str" cm="1">
        <f t="array" ref="A143">IF(ROWS($A$2:A143)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143)-1),"")</f>
        <v/>
      </c>
      <c r="B143" t="str" cm="1">
        <f t="array" ref="B143">IF($A143="","",INDEX(Decisiones!$A$2:$A$237,MATCH(INDEX(Explorador_Integrantes!$GO$2:$GO$30,MATCH(Explorador_Integrantes!$X$2,Explorador_Integrantes!$GN$2:$GN$30,0)),Decisiones!$B$2:$B$237,0)+ROWS($A$2:A143)-1))</f>
        <v/>
      </c>
      <c r="C143" t="str" cm="1">
        <f t="array" ref="C143">IF($A143="","",INDEX(Decisiones!$H$2:$H$237,MATCH(INDEX(Explorador_Integrantes!$GO$2:$GO$30,MATCH(Explorador_Integrantes!$X$2,Explorador_Integrantes!$GN$2:$GN$30,0)),Decisiones!$B$2:$B$237,0)+ROWS($A$2:A143)-1))</f>
        <v/>
      </c>
      <c r="D143" t="str">
        <f>IF($B143="","",--(COUNTIFS(Votaciones!$A$2:$A$336,$B143,Votaciones!$B$2:$B$336,Explorador_Integrantes!$X$2,Votaciones!$D$2:$D$336,"Disenso restrictivo")&gt;0))</f>
        <v/>
      </c>
      <c r="E143" t="str">
        <f>IF($B143="","",--(COUNTIFS(Votaciones!$A$2:$A$336,$B143,Votaciones!$B$2:$B$336,Explorador_Integrantes!$X$2,Votaciones!$D$2:$D$336,"Disenso acomodaticio")&gt;0))</f>
        <v/>
      </c>
    </row>
    <row r="144" spans="1:5">
      <c r="A144" s="84" t="str" cm="1">
        <f t="array" ref="A144">IF(ROWS($A$2:A144)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144)-1),"")</f>
        <v/>
      </c>
      <c r="B144" t="str" cm="1">
        <f t="array" ref="B144">IF($A144="","",INDEX(Decisiones!$A$2:$A$237,MATCH(INDEX(Explorador_Integrantes!$GO$2:$GO$30,MATCH(Explorador_Integrantes!$X$2,Explorador_Integrantes!$GN$2:$GN$30,0)),Decisiones!$B$2:$B$237,0)+ROWS($A$2:A144)-1))</f>
        <v/>
      </c>
      <c r="C144" t="str" cm="1">
        <f t="array" ref="C144">IF($A144="","",INDEX(Decisiones!$H$2:$H$237,MATCH(INDEX(Explorador_Integrantes!$GO$2:$GO$30,MATCH(Explorador_Integrantes!$X$2,Explorador_Integrantes!$GN$2:$GN$30,0)),Decisiones!$B$2:$B$237,0)+ROWS($A$2:A144)-1))</f>
        <v/>
      </c>
      <c r="D144" t="str">
        <f>IF($B144="","",--(COUNTIFS(Votaciones!$A$2:$A$336,$B144,Votaciones!$B$2:$B$336,Explorador_Integrantes!$X$2,Votaciones!$D$2:$D$336,"Disenso restrictivo")&gt;0))</f>
        <v/>
      </c>
      <c r="E144" t="str">
        <f>IF($B144="","",--(COUNTIFS(Votaciones!$A$2:$A$336,$B144,Votaciones!$B$2:$B$336,Explorador_Integrantes!$X$2,Votaciones!$D$2:$D$336,"Disenso acomodaticio")&gt;0))</f>
        <v/>
      </c>
    </row>
    <row r="145" spans="1:5">
      <c r="A145" s="84" t="str" cm="1">
        <f t="array" ref="A145">IF(ROWS($A$2:A145)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145)-1),"")</f>
        <v/>
      </c>
      <c r="B145" t="str" cm="1">
        <f t="array" ref="B145">IF($A145="","",INDEX(Decisiones!$A$2:$A$237,MATCH(INDEX(Explorador_Integrantes!$GO$2:$GO$30,MATCH(Explorador_Integrantes!$X$2,Explorador_Integrantes!$GN$2:$GN$30,0)),Decisiones!$B$2:$B$237,0)+ROWS($A$2:A145)-1))</f>
        <v/>
      </c>
      <c r="C145" t="str" cm="1">
        <f t="array" ref="C145">IF($A145="","",INDEX(Decisiones!$H$2:$H$237,MATCH(INDEX(Explorador_Integrantes!$GO$2:$GO$30,MATCH(Explorador_Integrantes!$X$2,Explorador_Integrantes!$GN$2:$GN$30,0)),Decisiones!$B$2:$B$237,0)+ROWS($A$2:A145)-1))</f>
        <v/>
      </c>
      <c r="D145" t="str">
        <f>IF($B145="","",--(COUNTIFS(Votaciones!$A$2:$A$336,$B145,Votaciones!$B$2:$B$336,Explorador_Integrantes!$X$2,Votaciones!$D$2:$D$336,"Disenso restrictivo")&gt;0))</f>
        <v/>
      </c>
      <c r="E145" t="str">
        <f>IF($B145="","",--(COUNTIFS(Votaciones!$A$2:$A$336,$B145,Votaciones!$B$2:$B$336,Explorador_Integrantes!$X$2,Votaciones!$D$2:$D$336,"Disenso acomodaticio")&gt;0))</f>
        <v/>
      </c>
    </row>
    <row r="146" spans="1:5">
      <c r="A146" s="84" t="str" cm="1">
        <f t="array" ref="A146">IF(ROWS($A$2:A146)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146)-1),"")</f>
        <v/>
      </c>
      <c r="B146" t="str" cm="1">
        <f t="array" ref="B146">IF($A146="","",INDEX(Decisiones!$A$2:$A$237,MATCH(INDEX(Explorador_Integrantes!$GO$2:$GO$30,MATCH(Explorador_Integrantes!$X$2,Explorador_Integrantes!$GN$2:$GN$30,0)),Decisiones!$B$2:$B$237,0)+ROWS($A$2:A146)-1))</f>
        <v/>
      </c>
      <c r="C146" t="str" cm="1">
        <f t="array" ref="C146">IF($A146="","",INDEX(Decisiones!$H$2:$H$237,MATCH(INDEX(Explorador_Integrantes!$GO$2:$GO$30,MATCH(Explorador_Integrantes!$X$2,Explorador_Integrantes!$GN$2:$GN$30,0)),Decisiones!$B$2:$B$237,0)+ROWS($A$2:A146)-1))</f>
        <v/>
      </c>
      <c r="D146" t="str">
        <f>IF($B146="","",--(COUNTIFS(Votaciones!$A$2:$A$336,$B146,Votaciones!$B$2:$B$336,Explorador_Integrantes!$X$2,Votaciones!$D$2:$D$336,"Disenso restrictivo")&gt;0))</f>
        <v/>
      </c>
      <c r="E146" t="str">
        <f>IF($B146="","",--(COUNTIFS(Votaciones!$A$2:$A$336,$B146,Votaciones!$B$2:$B$336,Explorador_Integrantes!$X$2,Votaciones!$D$2:$D$336,"Disenso acomodaticio")&gt;0))</f>
        <v/>
      </c>
    </row>
    <row r="147" spans="1:5">
      <c r="A147" s="84" t="str" cm="1">
        <f t="array" ref="A147">IF(ROWS($A$2:A147)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147)-1),"")</f>
        <v/>
      </c>
      <c r="B147" t="str" cm="1">
        <f t="array" ref="B147">IF($A147="","",INDEX(Decisiones!$A$2:$A$237,MATCH(INDEX(Explorador_Integrantes!$GO$2:$GO$30,MATCH(Explorador_Integrantes!$X$2,Explorador_Integrantes!$GN$2:$GN$30,0)),Decisiones!$B$2:$B$237,0)+ROWS($A$2:A147)-1))</f>
        <v/>
      </c>
      <c r="C147" t="str" cm="1">
        <f t="array" ref="C147">IF($A147="","",INDEX(Decisiones!$H$2:$H$237,MATCH(INDEX(Explorador_Integrantes!$GO$2:$GO$30,MATCH(Explorador_Integrantes!$X$2,Explorador_Integrantes!$GN$2:$GN$30,0)),Decisiones!$B$2:$B$237,0)+ROWS($A$2:A147)-1))</f>
        <v/>
      </c>
      <c r="D147" t="str">
        <f>IF($B147="","",--(COUNTIFS(Votaciones!$A$2:$A$336,$B147,Votaciones!$B$2:$B$336,Explorador_Integrantes!$X$2,Votaciones!$D$2:$D$336,"Disenso restrictivo")&gt;0))</f>
        <v/>
      </c>
      <c r="E147" t="str">
        <f>IF($B147="","",--(COUNTIFS(Votaciones!$A$2:$A$336,$B147,Votaciones!$B$2:$B$336,Explorador_Integrantes!$X$2,Votaciones!$D$2:$D$336,"Disenso acomodaticio")&gt;0))</f>
        <v/>
      </c>
    </row>
    <row r="148" spans="1:5">
      <c r="A148" s="84" t="str" cm="1">
        <f t="array" ref="A148">IF(ROWS($A$2:A148)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148)-1),"")</f>
        <v/>
      </c>
      <c r="B148" t="str" cm="1">
        <f t="array" ref="B148">IF($A148="","",INDEX(Decisiones!$A$2:$A$237,MATCH(INDEX(Explorador_Integrantes!$GO$2:$GO$30,MATCH(Explorador_Integrantes!$X$2,Explorador_Integrantes!$GN$2:$GN$30,0)),Decisiones!$B$2:$B$237,0)+ROWS($A$2:A148)-1))</f>
        <v/>
      </c>
      <c r="C148" t="str" cm="1">
        <f t="array" ref="C148">IF($A148="","",INDEX(Decisiones!$H$2:$H$237,MATCH(INDEX(Explorador_Integrantes!$GO$2:$GO$30,MATCH(Explorador_Integrantes!$X$2,Explorador_Integrantes!$GN$2:$GN$30,0)),Decisiones!$B$2:$B$237,0)+ROWS($A$2:A148)-1))</f>
        <v/>
      </c>
      <c r="D148" t="str">
        <f>IF($B148="","",--(COUNTIFS(Votaciones!$A$2:$A$336,$B148,Votaciones!$B$2:$B$336,Explorador_Integrantes!$X$2,Votaciones!$D$2:$D$336,"Disenso restrictivo")&gt;0))</f>
        <v/>
      </c>
      <c r="E148" t="str">
        <f>IF($B148="","",--(COUNTIFS(Votaciones!$A$2:$A$336,$B148,Votaciones!$B$2:$B$336,Explorador_Integrantes!$X$2,Votaciones!$D$2:$D$336,"Disenso acomodaticio")&gt;0))</f>
        <v/>
      </c>
    </row>
    <row r="149" spans="1:5">
      <c r="A149" s="84" t="str" cm="1">
        <f t="array" ref="A149">IF(ROWS($A$2:A149)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149)-1),"")</f>
        <v/>
      </c>
      <c r="B149" t="str" cm="1">
        <f t="array" ref="B149">IF($A149="","",INDEX(Decisiones!$A$2:$A$237,MATCH(INDEX(Explorador_Integrantes!$GO$2:$GO$30,MATCH(Explorador_Integrantes!$X$2,Explorador_Integrantes!$GN$2:$GN$30,0)),Decisiones!$B$2:$B$237,0)+ROWS($A$2:A149)-1))</f>
        <v/>
      </c>
      <c r="C149" t="str" cm="1">
        <f t="array" ref="C149">IF($A149="","",INDEX(Decisiones!$H$2:$H$237,MATCH(INDEX(Explorador_Integrantes!$GO$2:$GO$30,MATCH(Explorador_Integrantes!$X$2,Explorador_Integrantes!$GN$2:$GN$30,0)),Decisiones!$B$2:$B$237,0)+ROWS($A$2:A149)-1))</f>
        <v/>
      </c>
      <c r="D149" t="str">
        <f>IF($B149="","",--(COUNTIFS(Votaciones!$A$2:$A$336,$B149,Votaciones!$B$2:$B$336,Explorador_Integrantes!$X$2,Votaciones!$D$2:$D$336,"Disenso restrictivo")&gt;0))</f>
        <v/>
      </c>
      <c r="E149" t="str">
        <f>IF($B149="","",--(COUNTIFS(Votaciones!$A$2:$A$336,$B149,Votaciones!$B$2:$B$336,Explorador_Integrantes!$X$2,Votaciones!$D$2:$D$336,"Disenso acomodaticio")&gt;0))</f>
        <v/>
      </c>
    </row>
    <row r="150" spans="1:5">
      <c r="A150" s="84" t="str" cm="1">
        <f t="array" ref="A150">IF(ROWS($A$2:A150)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150)-1),"")</f>
        <v/>
      </c>
      <c r="B150" t="str" cm="1">
        <f t="array" ref="B150">IF($A150="","",INDEX(Decisiones!$A$2:$A$237,MATCH(INDEX(Explorador_Integrantes!$GO$2:$GO$30,MATCH(Explorador_Integrantes!$X$2,Explorador_Integrantes!$GN$2:$GN$30,0)),Decisiones!$B$2:$B$237,0)+ROWS($A$2:A150)-1))</f>
        <v/>
      </c>
      <c r="C150" t="str" cm="1">
        <f t="array" ref="C150">IF($A150="","",INDEX(Decisiones!$H$2:$H$237,MATCH(INDEX(Explorador_Integrantes!$GO$2:$GO$30,MATCH(Explorador_Integrantes!$X$2,Explorador_Integrantes!$GN$2:$GN$30,0)),Decisiones!$B$2:$B$237,0)+ROWS($A$2:A150)-1))</f>
        <v/>
      </c>
      <c r="D150" t="str">
        <f>IF($B150="","",--(COUNTIFS(Votaciones!$A$2:$A$336,$B150,Votaciones!$B$2:$B$336,Explorador_Integrantes!$X$2,Votaciones!$D$2:$D$336,"Disenso restrictivo")&gt;0))</f>
        <v/>
      </c>
      <c r="E150" t="str">
        <f>IF($B150="","",--(COUNTIFS(Votaciones!$A$2:$A$336,$B150,Votaciones!$B$2:$B$336,Explorador_Integrantes!$X$2,Votaciones!$D$2:$D$336,"Disenso acomodaticio")&gt;0))</f>
        <v/>
      </c>
    </row>
    <row r="151" spans="1:5">
      <c r="A151" s="84" t="str" cm="1">
        <f t="array" ref="A151">IF(ROWS($A$2:A151)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151)-1),"")</f>
        <v/>
      </c>
      <c r="B151" t="str" cm="1">
        <f t="array" ref="B151">IF($A151="","",INDEX(Decisiones!$A$2:$A$237,MATCH(INDEX(Explorador_Integrantes!$GO$2:$GO$30,MATCH(Explorador_Integrantes!$X$2,Explorador_Integrantes!$GN$2:$GN$30,0)),Decisiones!$B$2:$B$237,0)+ROWS($A$2:A151)-1))</f>
        <v/>
      </c>
      <c r="C151" t="str" cm="1">
        <f t="array" ref="C151">IF($A151="","",INDEX(Decisiones!$H$2:$H$237,MATCH(INDEX(Explorador_Integrantes!$GO$2:$GO$30,MATCH(Explorador_Integrantes!$X$2,Explorador_Integrantes!$GN$2:$GN$30,0)),Decisiones!$B$2:$B$237,0)+ROWS($A$2:A151)-1))</f>
        <v/>
      </c>
      <c r="D151" t="str">
        <f>IF($B151="","",--(COUNTIFS(Votaciones!$A$2:$A$336,$B151,Votaciones!$B$2:$B$336,Explorador_Integrantes!$X$2,Votaciones!$D$2:$D$336,"Disenso restrictivo")&gt;0))</f>
        <v/>
      </c>
      <c r="E151" t="str">
        <f>IF($B151="","",--(COUNTIFS(Votaciones!$A$2:$A$336,$B151,Votaciones!$B$2:$B$336,Explorador_Integrantes!$X$2,Votaciones!$D$2:$D$336,"Disenso acomodaticio")&gt;0))</f>
        <v/>
      </c>
    </row>
    <row r="152" spans="1:5">
      <c r="A152" s="84" t="str" cm="1">
        <f t="array" ref="A152">IF(ROWS($A$2:A152)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152)-1),"")</f>
        <v/>
      </c>
      <c r="B152" t="str" cm="1">
        <f t="array" ref="B152">IF($A152="","",INDEX(Decisiones!$A$2:$A$237,MATCH(INDEX(Explorador_Integrantes!$GO$2:$GO$30,MATCH(Explorador_Integrantes!$X$2,Explorador_Integrantes!$GN$2:$GN$30,0)),Decisiones!$B$2:$B$237,0)+ROWS($A$2:A152)-1))</f>
        <v/>
      </c>
      <c r="C152" t="str" cm="1">
        <f t="array" ref="C152">IF($A152="","",INDEX(Decisiones!$H$2:$H$237,MATCH(INDEX(Explorador_Integrantes!$GO$2:$GO$30,MATCH(Explorador_Integrantes!$X$2,Explorador_Integrantes!$GN$2:$GN$30,0)),Decisiones!$B$2:$B$237,0)+ROWS($A$2:A152)-1))</f>
        <v/>
      </c>
      <c r="D152" t="str">
        <f>IF($B152="","",--(COUNTIFS(Votaciones!$A$2:$A$336,$B152,Votaciones!$B$2:$B$336,Explorador_Integrantes!$X$2,Votaciones!$D$2:$D$336,"Disenso restrictivo")&gt;0))</f>
        <v/>
      </c>
      <c r="E152" t="str">
        <f>IF($B152="","",--(COUNTIFS(Votaciones!$A$2:$A$336,$B152,Votaciones!$B$2:$B$336,Explorador_Integrantes!$X$2,Votaciones!$D$2:$D$336,"Disenso acomodaticio")&gt;0))</f>
        <v/>
      </c>
    </row>
    <row r="153" spans="1:5">
      <c r="A153" s="84" t="str" cm="1">
        <f t="array" ref="A153">IF(ROWS($A$2:A153)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153)-1),"")</f>
        <v/>
      </c>
      <c r="B153" t="str" cm="1">
        <f t="array" ref="B153">IF($A153="","",INDEX(Decisiones!$A$2:$A$237,MATCH(INDEX(Explorador_Integrantes!$GO$2:$GO$30,MATCH(Explorador_Integrantes!$X$2,Explorador_Integrantes!$GN$2:$GN$30,0)),Decisiones!$B$2:$B$237,0)+ROWS($A$2:A153)-1))</f>
        <v/>
      </c>
      <c r="C153" t="str" cm="1">
        <f t="array" ref="C153">IF($A153="","",INDEX(Decisiones!$H$2:$H$237,MATCH(INDEX(Explorador_Integrantes!$GO$2:$GO$30,MATCH(Explorador_Integrantes!$X$2,Explorador_Integrantes!$GN$2:$GN$30,0)),Decisiones!$B$2:$B$237,0)+ROWS($A$2:A153)-1))</f>
        <v/>
      </c>
      <c r="D153" t="str">
        <f>IF($B153="","",--(COUNTIFS(Votaciones!$A$2:$A$336,$B153,Votaciones!$B$2:$B$336,Explorador_Integrantes!$X$2,Votaciones!$D$2:$D$336,"Disenso restrictivo")&gt;0))</f>
        <v/>
      </c>
      <c r="E153" t="str">
        <f>IF($B153="","",--(COUNTIFS(Votaciones!$A$2:$A$336,$B153,Votaciones!$B$2:$B$336,Explorador_Integrantes!$X$2,Votaciones!$D$2:$D$336,"Disenso acomodaticio")&gt;0))</f>
        <v/>
      </c>
    </row>
    <row r="154" spans="1:5">
      <c r="A154" s="84" t="str" cm="1">
        <f t="array" ref="A154">IF(ROWS($A$2:A154)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154)-1),"")</f>
        <v/>
      </c>
      <c r="B154" t="str" cm="1">
        <f t="array" ref="B154">IF($A154="","",INDEX(Decisiones!$A$2:$A$237,MATCH(INDEX(Explorador_Integrantes!$GO$2:$GO$30,MATCH(Explorador_Integrantes!$X$2,Explorador_Integrantes!$GN$2:$GN$30,0)),Decisiones!$B$2:$B$237,0)+ROWS($A$2:A154)-1))</f>
        <v/>
      </c>
      <c r="C154" t="str" cm="1">
        <f t="array" ref="C154">IF($A154="","",INDEX(Decisiones!$H$2:$H$237,MATCH(INDEX(Explorador_Integrantes!$GO$2:$GO$30,MATCH(Explorador_Integrantes!$X$2,Explorador_Integrantes!$GN$2:$GN$30,0)),Decisiones!$B$2:$B$237,0)+ROWS($A$2:A154)-1))</f>
        <v/>
      </c>
      <c r="D154" t="str">
        <f>IF($B154="","",--(COUNTIFS(Votaciones!$A$2:$A$336,$B154,Votaciones!$B$2:$B$336,Explorador_Integrantes!$X$2,Votaciones!$D$2:$D$336,"Disenso restrictivo")&gt;0))</f>
        <v/>
      </c>
      <c r="E154" t="str">
        <f>IF($B154="","",--(COUNTIFS(Votaciones!$A$2:$A$336,$B154,Votaciones!$B$2:$B$336,Explorador_Integrantes!$X$2,Votaciones!$D$2:$D$336,"Disenso acomodaticio")&gt;0))</f>
        <v/>
      </c>
    </row>
    <row r="155" spans="1:5">
      <c r="A155" s="84" t="str" cm="1">
        <f t="array" ref="A155">IF(ROWS($A$2:A155)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155)-1),"")</f>
        <v/>
      </c>
      <c r="B155" t="str" cm="1">
        <f t="array" ref="B155">IF($A155="","",INDEX(Decisiones!$A$2:$A$237,MATCH(INDEX(Explorador_Integrantes!$GO$2:$GO$30,MATCH(Explorador_Integrantes!$X$2,Explorador_Integrantes!$GN$2:$GN$30,0)),Decisiones!$B$2:$B$237,0)+ROWS($A$2:A155)-1))</f>
        <v/>
      </c>
      <c r="C155" t="str" cm="1">
        <f t="array" ref="C155">IF($A155="","",INDEX(Decisiones!$H$2:$H$237,MATCH(INDEX(Explorador_Integrantes!$GO$2:$GO$30,MATCH(Explorador_Integrantes!$X$2,Explorador_Integrantes!$GN$2:$GN$30,0)),Decisiones!$B$2:$B$237,0)+ROWS($A$2:A155)-1))</f>
        <v/>
      </c>
      <c r="D155" t="str">
        <f>IF($B155="","",--(COUNTIFS(Votaciones!$A$2:$A$336,$B155,Votaciones!$B$2:$B$336,Explorador_Integrantes!$X$2,Votaciones!$D$2:$D$336,"Disenso restrictivo")&gt;0))</f>
        <v/>
      </c>
      <c r="E155" t="str">
        <f>IF($B155="","",--(COUNTIFS(Votaciones!$A$2:$A$336,$B155,Votaciones!$B$2:$B$336,Explorador_Integrantes!$X$2,Votaciones!$D$2:$D$336,"Disenso acomodaticio")&gt;0))</f>
        <v/>
      </c>
    </row>
    <row r="156" spans="1:5">
      <c r="A156" s="84" t="str" cm="1">
        <f t="array" ref="A156">IF(ROWS($A$2:A156)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156)-1),"")</f>
        <v/>
      </c>
      <c r="B156" t="str" cm="1">
        <f t="array" ref="B156">IF($A156="","",INDEX(Decisiones!$A$2:$A$237,MATCH(INDEX(Explorador_Integrantes!$GO$2:$GO$30,MATCH(Explorador_Integrantes!$X$2,Explorador_Integrantes!$GN$2:$GN$30,0)),Decisiones!$B$2:$B$237,0)+ROWS($A$2:A156)-1))</f>
        <v/>
      </c>
      <c r="C156" t="str" cm="1">
        <f t="array" ref="C156">IF($A156="","",INDEX(Decisiones!$H$2:$H$237,MATCH(INDEX(Explorador_Integrantes!$GO$2:$GO$30,MATCH(Explorador_Integrantes!$X$2,Explorador_Integrantes!$GN$2:$GN$30,0)),Decisiones!$B$2:$B$237,0)+ROWS($A$2:A156)-1))</f>
        <v/>
      </c>
      <c r="D156" t="str">
        <f>IF($B156="","",--(COUNTIFS(Votaciones!$A$2:$A$336,$B156,Votaciones!$B$2:$B$336,Explorador_Integrantes!$X$2,Votaciones!$D$2:$D$336,"Disenso restrictivo")&gt;0))</f>
        <v/>
      </c>
      <c r="E156" t="str">
        <f>IF($B156="","",--(COUNTIFS(Votaciones!$A$2:$A$336,$B156,Votaciones!$B$2:$B$336,Explorador_Integrantes!$X$2,Votaciones!$D$2:$D$336,"Disenso acomodaticio")&gt;0))</f>
        <v/>
      </c>
    </row>
    <row r="157" spans="1:5">
      <c r="A157" s="84" t="str" cm="1">
        <f t="array" ref="A157">IF(ROWS($A$2:A157)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157)-1),"")</f>
        <v/>
      </c>
      <c r="B157" t="str" cm="1">
        <f t="array" ref="B157">IF($A157="","",INDEX(Decisiones!$A$2:$A$237,MATCH(INDEX(Explorador_Integrantes!$GO$2:$GO$30,MATCH(Explorador_Integrantes!$X$2,Explorador_Integrantes!$GN$2:$GN$30,0)),Decisiones!$B$2:$B$237,0)+ROWS($A$2:A157)-1))</f>
        <v/>
      </c>
      <c r="C157" t="str" cm="1">
        <f t="array" ref="C157">IF($A157="","",INDEX(Decisiones!$H$2:$H$237,MATCH(INDEX(Explorador_Integrantes!$GO$2:$GO$30,MATCH(Explorador_Integrantes!$X$2,Explorador_Integrantes!$GN$2:$GN$30,0)),Decisiones!$B$2:$B$237,0)+ROWS($A$2:A157)-1))</f>
        <v/>
      </c>
      <c r="D157" t="str">
        <f>IF($B157="","",--(COUNTIFS(Votaciones!$A$2:$A$336,$B157,Votaciones!$B$2:$B$336,Explorador_Integrantes!$X$2,Votaciones!$D$2:$D$336,"Disenso restrictivo")&gt;0))</f>
        <v/>
      </c>
      <c r="E157" t="str">
        <f>IF($B157="","",--(COUNTIFS(Votaciones!$A$2:$A$336,$B157,Votaciones!$B$2:$B$336,Explorador_Integrantes!$X$2,Votaciones!$D$2:$D$336,"Disenso acomodaticio")&gt;0))</f>
        <v/>
      </c>
    </row>
    <row r="158" spans="1:5">
      <c r="A158" s="84" t="str" cm="1">
        <f t="array" ref="A158">IF(ROWS($A$2:A158)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158)-1),"")</f>
        <v/>
      </c>
      <c r="B158" t="str" cm="1">
        <f t="array" ref="B158">IF($A158="","",INDEX(Decisiones!$A$2:$A$237,MATCH(INDEX(Explorador_Integrantes!$GO$2:$GO$30,MATCH(Explorador_Integrantes!$X$2,Explorador_Integrantes!$GN$2:$GN$30,0)),Decisiones!$B$2:$B$237,0)+ROWS($A$2:A158)-1))</f>
        <v/>
      </c>
      <c r="C158" t="str" cm="1">
        <f t="array" ref="C158">IF($A158="","",INDEX(Decisiones!$H$2:$H$237,MATCH(INDEX(Explorador_Integrantes!$GO$2:$GO$30,MATCH(Explorador_Integrantes!$X$2,Explorador_Integrantes!$GN$2:$GN$30,0)),Decisiones!$B$2:$B$237,0)+ROWS($A$2:A158)-1))</f>
        <v/>
      </c>
      <c r="D158" t="str">
        <f>IF($B158="","",--(COUNTIFS(Votaciones!$A$2:$A$336,$B158,Votaciones!$B$2:$B$336,Explorador_Integrantes!$X$2,Votaciones!$D$2:$D$336,"Disenso restrictivo")&gt;0))</f>
        <v/>
      </c>
      <c r="E158" t="str">
        <f>IF($B158="","",--(COUNTIFS(Votaciones!$A$2:$A$336,$B158,Votaciones!$B$2:$B$336,Explorador_Integrantes!$X$2,Votaciones!$D$2:$D$336,"Disenso acomodaticio")&gt;0))</f>
        <v/>
      </c>
    </row>
    <row r="159" spans="1:5">
      <c r="A159" s="84" t="str" cm="1">
        <f t="array" ref="A159">IF(ROWS($A$2:A159)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159)-1),"")</f>
        <v/>
      </c>
      <c r="B159" t="str" cm="1">
        <f t="array" ref="B159">IF($A159="","",INDEX(Decisiones!$A$2:$A$237,MATCH(INDEX(Explorador_Integrantes!$GO$2:$GO$30,MATCH(Explorador_Integrantes!$X$2,Explorador_Integrantes!$GN$2:$GN$30,0)),Decisiones!$B$2:$B$237,0)+ROWS($A$2:A159)-1))</f>
        <v/>
      </c>
      <c r="C159" t="str" cm="1">
        <f t="array" ref="C159">IF($A159="","",INDEX(Decisiones!$H$2:$H$237,MATCH(INDEX(Explorador_Integrantes!$GO$2:$GO$30,MATCH(Explorador_Integrantes!$X$2,Explorador_Integrantes!$GN$2:$GN$30,0)),Decisiones!$B$2:$B$237,0)+ROWS($A$2:A159)-1))</f>
        <v/>
      </c>
      <c r="D159" t="str">
        <f>IF($B159="","",--(COUNTIFS(Votaciones!$A$2:$A$336,$B159,Votaciones!$B$2:$B$336,Explorador_Integrantes!$X$2,Votaciones!$D$2:$D$336,"Disenso restrictivo")&gt;0))</f>
        <v/>
      </c>
      <c r="E159" t="str">
        <f>IF($B159="","",--(COUNTIFS(Votaciones!$A$2:$A$336,$B159,Votaciones!$B$2:$B$336,Explorador_Integrantes!$X$2,Votaciones!$D$2:$D$336,"Disenso acomodaticio")&gt;0))</f>
        <v/>
      </c>
    </row>
    <row r="160" spans="1:5">
      <c r="A160" s="84" t="str" cm="1">
        <f t="array" ref="A160">IF(ROWS($A$2:A160)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160)-1),"")</f>
        <v/>
      </c>
      <c r="B160" t="str" cm="1">
        <f t="array" ref="B160">IF($A160="","",INDEX(Decisiones!$A$2:$A$237,MATCH(INDEX(Explorador_Integrantes!$GO$2:$GO$30,MATCH(Explorador_Integrantes!$X$2,Explorador_Integrantes!$GN$2:$GN$30,0)),Decisiones!$B$2:$B$237,0)+ROWS($A$2:A160)-1))</f>
        <v/>
      </c>
      <c r="C160" t="str" cm="1">
        <f t="array" ref="C160">IF($A160="","",INDEX(Decisiones!$H$2:$H$237,MATCH(INDEX(Explorador_Integrantes!$GO$2:$GO$30,MATCH(Explorador_Integrantes!$X$2,Explorador_Integrantes!$GN$2:$GN$30,0)),Decisiones!$B$2:$B$237,0)+ROWS($A$2:A160)-1))</f>
        <v/>
      </c>
      <c r="D160" t="str">
        <f>IF($B160="","",--(COUNTIFS(Votaciones!$A$2:$A$336,$B160,Votaciones!$B$2:$B$336,Explorador_Integrantes!$X$2,Votaciones!$D$2:$D$336,"Disenso restrictivo")&gt;0))</f>
        <v/>
      </c>
      <c r="E160" t="str">
        <f>IF($B160="","",--(COUNTIFS(Votaciones!$A$2:$A$336,$B160,Votaciones!$B$2:$B$336,Explorador_Integrantes!$X$2,Votaciones!$D$2:$D$336,"Disenso acomodaticio")&gt;0))</f>
        <v/>
      </c>
    </row>
    <row r="161" spans="1:5">
      <c r="A161" s="84" t="str" cm="1">
        <f t="array" ref="A161">IF(ROWS($A$2:A161)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161)-1),"")</f>
        <v/>
      </c>
      <c r="B161" t="str" cm="1">
        <f t="array" ref="B161">IF($A161="","",INDEX(Decisiones!$A$2:$A$237,MATCH(INDEX(Explorador_Integrantes!$GO$2:$GO$30,MATCH(Explorador_Integrantes!$X$2,Explorador_Integrantes!$GN$2:$GN$30,0)),Decisiones!$B$2:$B$237,0)+ROWS($A$2:A161)-1))</f>
        <v/>
      </c>
      <c r="C161" t="str" cm="1">
        <f t="array" ref="C161">IF($A161="","",INDEX(Decisiones!$H$2:$H$237,MATCH(INDEX(Explorador_Integrantes!$GO$2:$GO$30,MATCH(Explorador_Integrantes!$X$2,Explorador_Integrantes!$GN$2:$GN$30,0)),Decisiones!$B$2:$B$237,0)+ROWS($A$2:A161)-1))</f>
        <v/>
      </c>
      <c r="D161" t="str">
        <f>IF($B161="","",--(COUNTIFS(Votaciones!$A$2:$A$336,$B161,Votaciones!$B$2:$B$336,Explorador_Integrantes!$X$2,Votaciones!$D$2:$D$336,"Disenso restrictivo")&gt;0))</f>
        <v/>
      </c>
      <c r="E161" t="str">
        <f>IF($B161="","",--(COUNTIFS(Votaciones!$A$2:$A$336,$B161,Votaciones!$B$2:$B$336,Explorador_Integrantes!$X$2,Votaciones!$D$2:$D$336,"Disenso acomodaticio")&gt;0))</f>
        <v/>
      </c>
    </row>
    <row r="162" spans="1:5">
      <c r="A162" s="84" t="str" cm="1">
        <f t="array" ref="A162">IF(ROWS($A$2:A162)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162)-1),"")</f>
        <v/>
      </c>
      <c r="B162" t="str" cm="1">
        <f t="array" ref="B162">IF($A162="","",INDEX(Decisiones!$A$2:$A$237,MATCH(INDEX(Explorador_Integrantes!$GO$2:$GO$30,MATCH(Explorador_Integrantes!$X$2,Explorador_Integrantes!$GN$2:$GN$30,0)),Decisiones!$B$2:$B$237,0)+ROWS($A$2:A162)-1))</f>
        <v/>
      </c>
      <c r="C162" t="str" cm="1">
        <f t="array" ref="C162">IF($A162="","",INDEX(Decisiones!$H$2:$H$237,MATCH(INDEX(Explorador_Integrantes!$GO$2:$GO$30,MATCH(Explorador_Integrantes!$X$2,Explorador_Integrantes!$GN$2:$GN$30,0)),Decisiones!$B$2:$B$237,0)+ROWS($A$2:A162)-1))</f>
        <v/>
      </c>
      <c r="D162" t="str">
        <f>IF($B162="","",--(COUNTIFS(Votaciones!$A$2:$A$336,$B162,Votaciones!$B$2:$B$336,Explorador_Integrantes!$X$2,Votaciones!$D$2:$D$336,"Disenso restrictivo")&gt;0))</f>
        <v/>
      </c>
      <c r="E162" t="str">
        <f>IF($B162="","",--(COUNTIFS(Votaciones!$A$2:$A$336,$B162,Votaciones!$B$2:$B$336,Explorador_Integrantes!$X$2,Votaciones!$D$2:$D$336,"Disenso acomodaticio")&gt;0))</f>
        <v/>
      </c>
    </row>
    <row r="163" spans="1:5">
      <c r="A163" s="84" t="str" cm="1">
        <f t="array" ref="A163">IF(ROWS($A$2:A163)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163)-1),"")</f>
        <v/>
      </c>
      <c r="B163" t="str" cm="1">
        <f t="array" ref="B163">IF($A163="","",INDEX(Decisiones!$A$2:$A$237,MATCH(INDEX(Explorador_Integrantes!$GO$2:$GO$30,MATCH(Explorador_Integrantes!$X$2,Explorador_Integrantes!$GN$2:$GN$30,0)),Decisiones!$B$2:$B$237,0)+ROWS($A$2:A163)-1))</f>
        <v/>
      </c>
      <c r="C163" t="str" cm="1">
        <f t="array" ref="C163">IF($A163="","",INDEX(Decisiones!$H$2:$H$237,MATCH(INDEX(Explorador_Integrantes!$GO$2:$GO$30,MATCH(Explorador_Integrantes!$X$2,Explorador_Integrantes!$GN$2:$GN$30,0)),Decisiones!$B$2:$B$237,0)+ROWS($A$2:A163)-1))</f>
        <v/>
      </c>
      <c r="D163" t="str">
        <f>IF($B163="","",--(COUNTIFS(Votaciones!$A$2:$A$336,$B163,Votaciones!$B$2:$B$336,Explorador_Integrantes!$X$2,Votaciones!$D$2:$D$336,"Disenso restrictivo")&gt;0))</f>
        <v/>
      </c>
      <c r="E163" t="str">
        <f>IF($B163="","",--(COUNTIFS(Votaciones!$A$2:$A$336,$B163,Votaciones!$B$2:$B$336,Explorador_Integrantes!$X$2,Votaciones!$D$2:$D$336,"Disenso acomodaticio")&gt;0))</f>
        <v/>
      </c>
    </row>
    <row r="164" spans="1:5">
      <c r="A164" s="84" t="str" cm="1">
        <f t="array" ref="A164">IF(ROWS($A$2:A164)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164)-1),"")</f>
        <v/>
      </c>
      <c r="B164" t="str" cm="1">
        <f t="array" ref="B164">IF($A164="","",INDEX(Decisiones!$A$2:$A$237,MATCH(INDEX(Explorador_Integrantes!$GO$2:$GO$30,MATCH(Explorador_Integrantes!$X$2,Explorador_Integrantes!$GN$2:$GN$30,0)),Decisiones!$B$2:$B$237,0)+ROWS($A$2:A164)-1))</f>
        <v/>
      </c>
      <c r="C164" t="str" cm="1">
        <f t="array" ref="C164">IF($A164="","",INDEX(Decisiones!$H$2:$H$237,MATCH(INDEX(Explorador_Integrantes!$GO$2:$GO$30,MATCH(Explorador_Integrantes!$X$2,Explorador_Integrantes!$GN$2:$GN$30,0)),Decisiones!$B$2:$B$237,0)+ROWS($A$2:A164)-1))</f>
        <v/>
      </c>
      <c r="D164" t="str">
        <f>IF($B164="","",--(COUNTIFS(Votaciones!$A$2:$A$336,$B164,Votaciones!$B$2:$B$336,Explorador_Integrantes!$X$2,Votaciones!$D$2:$D$336,"Disenso restrictivo")&gt;0))</f>
        <v/>
      </c>
      <c r="E164" t="str">
        <f>IF($B164="","",--(COUNTIFS(Votaciones!$A$2:$A$336,$B164,Votaciones!$B$2:$B$336,Explorador_Integrantes!$X$2,Votaciones!$D$2:$D$336,"Disenso acomodaticio")&gt;0))</f>
        <v/>
      </c>
    </row>
    <row r="165" spans="1:5">
      <c r="A165" s="84" t="str" cm="1">
        <f t="array" ref="A165">IF(ROWS($A$2:A165)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165)-1),"")</f>
        <v/>
      </c>
      <c r="B165" t="str" cm="1">
        <f t="array" ref="B165">IF($A165="","",INDEX(Decisiones!$A$2:$A$237,MATCH(INDEX(Explorador_Integrantes!$GO$2:$GO$30,MATCH(Explorador_Integrantes!$X$2,Explorador_Integrantes!$GN$2:$GN$30,0)),Decisiones!$B$2:$B$237,0)+ROWS($A$2:A165)-1))</f>
        <v/>
      </c>
      <c r="C165" t="str" cm="1">
        <f t="array" ref="C165">IF($A165="","",INDEX(Decisiones!$H$2:$H$237,MATCH(INDEX(Explorador_Integrantes!$GO$2:$GO$30,MATCH(Explorador_Integrantes!$X$2,Explorador_Integrantes!$GN$2:$GN$30,0)),Decisiones!$B$2:$B$237,0)+ROWS($A$2:A165)-1))</f>
        <v/>
      </c>
      <c r="D165" t="str">
        <f>IF($B165="","",--(COUNTIFS(Votaciones!$A$2:$A$336,$B165,Votaciones!$B$2:$B$336,Explorador_Integrantes!$X$2,Votaciones!$D$2:$D$336,"Disenso restrictivo")&gt;0))</f>
        <v/>
      </c>
      <c r="E165" t="str">
        <f>IF($B165="","",--(COUNTIFS(Votaciones!$A$2:$A$336,$B165,Votaciones!$B$2:$B$336,Explorador_Integrantes!$X$2,Votaciones!$D$2:$D$336,"Disenso acomodaticio")&gt;0))</f>
        <v/>
      </c>
    </row>
    <row r="166" spans="1:5">
      <c r="A166" s="84" t="str" cm="1">
        <f t="array" ref="A166">IF(ROWS($A$2:A166)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166)-1),"")</f>
        <v/>
      </c>
      <c r="B166" t="str" cm="1">
        <f t="array" ref="B166">IF($A166="","",INDEX(Decisiones!$A$2:$A$237,MATCH(INDEX(Explorador_Integrantes!$GO$2:$GO$30,MATCH(Explorador_Integrantes!$X$2,Explorador_Integrantes!$GN$2:$GN$30,0)),Decisiones!$B$2:$B$237,0)+ROWS($A$2:A166)-1))</f>
        <v/>
      </c>
      <c r="C166" t="str" cm="1">
        <f t="array" ref="C166">IF($A166="","",INDEX(Decisiones!$H$2:$H$237,MATCH(INDEX(Explorador_Integrantes!$GO$2:$GO$30,MATCH(Explorador_Integrantes!$X$2,Explorador_Integrantes!$GN$2:$GN$30,0)),Decisiones!$B$2:$B$237,0)+ROWS($A$2:A166)-1))</f>
        <v/>
      </c>
      <c r="D166" t="str">
        <f>IF($B166="","",--(COUNTIFS(Votaciones!$A$2:$A$336,$B166,Votaciones!$B$2:$B$336,Explorador_Integrantes!$X$2,Votaciones!$D$2:$D$336,"Disenso restrictivo")&gt;0))</f>
        <v/>
      </c>
      <c r="E166" t="str">
        <f>IF($B166="","",--(COUNTIFS(Votaciones!$A$2:$A$336,$B166,Votaciones!$B$2:$B$336,Explorador_Integrantes!$X$2,Votaciones!$D$2:$D$336,"Disenso acomodaticio")&gt;0))</f>
        <v/>
      </c>
    </row>
    <row r="167" spans="1:5">
      <c r="A167" s="84" t="str" cm="1">
        <f t="array" ref="A167">IF(ROWS($A$2:A167)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167)-1),"")</f>
        <v/>
      </c>
      <c r="B167" t="str" cm="1">
        <f t="array" ref="B167">IF($A167="","",INDEX(Decisiones!$A$2:$A$237,MATCH(INDEX(Explorador_Integrantes!$GO$2:$GO$30,MATCH(Explorador_Integrantes!$X$2,Explorador_Integrantes!$GN$2:$GN$30,0)),Decisiones!$B$2:$B$237,0)+ROWS($A$2:A167)-1))</f>
        <v/>
      </c>
      <c r="C167" t="str" cm="1">
        <f t="array" ref="C167">IF($A167="","",INDEX(Decisiones!$H$2:$H$237,MATCH(INDEX(Explorador_Integrantes!$GO$2:$GO$30,MATCH(Explorador_Integrantes!$X$2,Explorador_Integrantes!$GN$2:$GN$30,0)),Decisiones!$B$2:$B$237,0)+ROWS($A$2:A167)-1))</f>
        <v/>
      </c>
      <c r="D167" t="str">
        <f>IF($B167="","",--(COUNTIFS(Votaciones!$A$2:$A$336,$B167,Votaciones!$B$2:$B$336,Explorador_Integrantes!$X$2,Votaciones!$D$2:$D$336,"Disenso restrictivo")&gt;0))</f>
        <v/>
      </c>
      <c r="E167" t="str">
        <f>IF($B167="","",--(COUNTIFS(Votaciones!$A$2:$A$336,$B167,Votaciones!$B$2:$B$336,Explorador_Integrantes!$X$2,Votaciones!$D$2:$D$336,"Disenso acomodaticio")&gt;0))</f>
        <v/>
      </c>
    </row>
    <row r="168" spans="1:5">
      <c r="A168" s="84" t="str" cm="1">
        <f t="array" ref="A168">IF(ROWS($A$2:A168)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168)-1),"")</f>
        <v/>
      </c>
      <c r="B168" t="str" cm="1">
        <f t="array" ref="B168">IF($A168="","",INDEX(Decisiones!$A$2:$A$237,MATCH(INDEX(Explorador_Integrantes!$GO$2:$GO$30,MATCH(Explorador_Integrantes!$X$2,Explorador_Integrantes!$GN$2:$GN$30,0)),Decisiones!$B$2:$B$237,0)+ROWS($A$2:A168)-1))</f>
        <v/>
      </c>
      <c r="C168" t="str" cm="1">
        <f t="array" ref="C168">IF($A168="","",INDEX(Decisiones!$H$2:$H$237,MATCH(INDEX(Explorador_Integrantes!$GO$2:$GO$30,MATCH(Explorador_Integrantes!$X$2,Explorador_Integrantes!$GN$2:$GN$30,0)),Decisiones!$B$2:$B$237,0)+ROWS($A$2:A168)-1))</f>
        <v/>
      </c>
      <c r="D168" t="str">
        <f>IF($B168="","",--(COUNTIFS(Votaciones!$A$2:$A$336,$B168,Votaciones!$B$2:$B$336,Explorador_Integrantes!$X$2,Votaciones!$D$2:$D$336,"Disenso restrictivo")&gt;0))</f>
        <v/>
      </c>
      <c r="E168" t="str">
        <f>IF($B168="","",--(COUNTIFS(Votaciones!$A$2:$A$336,$B168,Votaciones!$B$2:$B$336,Explorador_Integrantes!$X$2,Votaciones!$D$2:$D$336,"Disenso acomodaticio")&gt;0))</f>
        <v/>
      </c>
    </row>
    <row r="169" spans="1:5">
      <c r="A169" s="84" t="str" cm="1">
        <f t="array" ref="A169">IF(ROWS($A$2:A169)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169)-1),"")</f>
        <v/>
      </c>
      <c r="B169" t="str" cm="1">
        <f t="array" ref="B169">IF($A169="","",INDEX(Decisiones!$A$2:$A$237,MATCH(INDEX(Explorador_Integrantes!$GO$2:$GO$30,MATCH(Explorador_Integrantes!$X$2,Explorador_Integrantes!$GN$2:$GN$30,0)),Decisiones!$B$2:$B$237,0)+ROWS($A$2:A169)-1))</f>
        <v/>
      </c>
      <c r="C169" t="str" cm="1">
        <f t="array" ref="C169">IF($A169="","",INDEX(Decisiones!$H$2:$H$237,MATCH(INDEX(Explorador_Integrantes!$GO$2:$GO$30,MATCH(Explorador_Integrantes!$X$2,Explorador_Integrantes!$GN$2:$GN$30,0)),Decisiones!$B$2:$B$237,0)+ROWS($A$2:A169)-1))</f>
        <v/>
      </c>
      <c r="D169" t="str">
        <f>IF($B169="","",--(COUNTIFS(Votaciones!$A$2:$A$336,$B169,Votaciones!$B$2:$B$336,Explorador_Integrantes!$X$2,Votaciones!$D$2:$D$336,"Disenso restrictivo")&gt;0))</f>
        <v/>
      </c>
      <c r="E169" t="str">
        <f>IF($B169="","",--(COUNTIFS(Votaciones!$A$2:$A$336,$B169,Votaciones!$B$2:$B$336,Explorador_Integrantes!$X$2,Votaciones!$D$2:$D$336,"Disenso acomodaticio")&gt;0))</f>
        <v/>
      </c>
    </row>
    <row r="170" spans="1:5">
      <c r="A170" s="84" t="str" cm="1">
        <f t="array" ref="A170">IF(ROWS($A$2:A170)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170)-1),"")</f>
        <v/>
      </c>
      <c r="B170" t="str" cm="1">
        <f t="array" ref="B170">IF($A170="","",INDEX(Decisiones!$A$2:$A$237,MATCH(INDEX(Explorador_Integrantes!$GO$2:$GO$30,MATCH(Explorador_Integrantes!$X$2,Explorador_Integrantes!$GN$2:$GN$30,0)),Decisiones!$B$2:$B$237,0)+ROWS($A$2:A170)-1))</f>
        <v/>
      </c>
      <c r="C170" t="str" cm="1">
        <f t="array" ref="C170">IF($A170="","",INDEX(Decisiones!$H$2:$H$237,MATCH(INDEX(Explorador_Integrantes!$GO$2:$GO$30,MATCH(Explorador_Integrantes!$X$2,Explorador_Integrantes!$GN$2:$GN$30,0)),Decisiones!$B$2:$B$237,0)+ROWS($A$2:A170)-1))</f>
        <v/>
      </c>
      <c r="D170" t="str">
        <f>IF($B170="","",--(COUNTIFS(Votaciones!$A$2:$A$336,$B170,Votaciones!$B$2:$B$336,Explorador_Integrantes!$X$2,Votaciones!$D$2:$D$336,"Disenso restrictivo")&gt;0))</f>
        <v/>
      </c>
      <c r="E170" t="str">
        <f>IF($B170="","",--(COUNTIFS(Votaciones!$A$2:$A$336,$B170,Votaciones!$B$2:$B$336,Explorador_Integrantes!$X$2,Votaciones!$D$2:$D$336,"Disenso acomodaticio")&gt;0))</f>
        <v/>
      </c>
    </row>
    <row r="171" spans="1:5">
      <c r="A171" s="84" t="str" cm="1">
        <f t="array" ref="A171">IF(ROWS($A$2:A171)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171)-1),"")</f>
        <v/>
      </c>
      <c r="B171" t="str" cm="1">
        <f t="array" ref="B171">IF($A171="","",INDEX(Decisiones!$A$2:$A$237,MATCH(INDEX(Explorador_Integrantes!$GO$2:$GO$30,MATCH(Explorador_Integrantes!$X$2,Explorador_Integrantes!$GN$2:$GN$30,0)),Decisiones!$B$2:$B$237,0)+ROWS($A$2:A171)-1))</f>
        <v/>
      </c>
      <c r="C171" t="str" cm="1">
        <f t="array" ref="C171">IF($A171="","",INDEX(Decisiones!$H$2:$H$237,MATCH(INDEX(Explorador_Integrantes!$GO$2:$GO$30,MATCH(Explorador_Integrantes!$X$2,Explorador_Integrantes!$GN$2:$GN$30,0)),Decisiones!$B$2:$B$237,0)+ROWS($A$2:A171)-1))</f>
        <v/>
      </c>
      <c r="D171" t="str">
        <f>IF($B171="","",--(COUNTIFS(Votaciones!$A$2:$A$336,$B171,Votaciones!$B$2:$B$336,Explorador_Integrantes!$X$2,Votaciones!$D$2:$D$336,"Disenso restrictivo")&gt;0))</f>
        <v/>
      </c>
      <c r="E171" t="str">
        <f>IF($B171="","",--(COUNTIFS(Votaciones!$A$2:$A$336,$B171,Votaciones!$B$2:$B$336,Explorador_Integrantes!$X$2,Votaciones!$D$2:$D$336,"Disenso acomodaticio")&gt;0))</f>
        <v/>
      </c>
    </row>
    <row r="172" spans="1:5">
      <c r="A172" s="84" t="str" cm="1">
        <f t="array" ref="A172">IF(ROWS($A$2:A172)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172)-1),"")</f>
        <v/>
      </c>
      <c r="B172" t="str" cm="1">
        <f t="array" ref="B172">IF($A172="","",INDEX(Decisiones!$A$2:$A$237,MATCH(INDEX(Explorador_Integrantes!$GO$2:$GO$30,MATCH(Explorador_Integrantes!$X$2,Explorador_Integrantes!$GN$2:$GN$30,0)),Decisiones!$B$2:$B$237,0)+ROWS($A$2:A172)-1))</f>
        <v/>
      </c>
      <c r="C172" t="str" cm="1">
        <f t="array" ref="C172">IF($A172="","",INDEX(Decisiones!$H$2:$H$237,MATCH(INDEX(Explorador_Integrantes!$GO$2:$GO$30,MATCH(Explorador_Integrantes!$X$2,Explorador_Integrantes!$GN$2:$GN$30,0)),Decisiones!$B$2:$B$237,0)+ROWS($A$2:A172)-1))</f>
        <v/>
      </c>
      <c r="D172" t="str">
        <f>IF($B172="","",--(COUNTIFS(Votaciones!$A$2:$A$336,$B172,Votaciones!$B$2:$B$336,Explorador_Integrantes!$X$2,Votaciones!$D$2:$D$336,"Disenso restrictivo")&gt;0))</f>
        <v/>
      </c>
      <c r="E172" t="str">
        <f>IF($B172="","",--(COUNTIFS(Votaciones!$A$2:$A$336,$B172,Votaciones!$B$2:$B$336,Explorador_Integrantes!$X$2,Votaciones!$D$2:$D$336,"Disenso acomodaticio")&gt;0))</f>
        <v/>
      </c>
    </row>
    <row r="173" spans="1:5">
      <c r="A173" s="84" t="str" cm="1">
        <f t="array" ref="A173">IF(ROWS($A$2:A173)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173)-1),"")</f>
        <v/>
      </c>
      <c r="B173" t="str" cm="1">
        <f t="array" ref="B173">IF($A173="","",INDEX(Decisiones!$A$2:$A$237,MATCH(INDEX(Explorador_Integrantes!$GO$2:$GO$30,MATCH(Explorador_Integrantes!$X$2,Explorador_Integrantes!$GN$2:$GN$30,0)),Decisiones!$B$2:$B$237,0)+ROWS($A$2:A173)-1))</f>
        <v/>
      </c>
      <c r="C173" t="str" cm="1">
        <f t="array" ref="C173">IF($A173="","",INDEX(Decisiones!$H$2:$H$237,MATCH(INDEX(Explorador_Integrantes!$GO$2:$GO$30,MATCH(Explorador_Integrantes!$X$2,Explorador_Integrantes!$GN$2:$GN$30,0)),Decisiones!$B$2:$B$237,0)+ROWS($A$2:A173)-1))</f>
        <v/>
      </c>
      <c r="D173" t="str">
        <f>IF($B173="","",--(COUNTIFS(Votaciones!$A$2:$A$336,$B173,Votaciones!$B$2:$B$336,Explorador_Integrantes!$X$2,Votaciones!$D$2:$D$336,"Disenso restrictivo")&gt;0))</f>
        <v/>
      </c>
      <c r="E173" t="str">
        <f>IF($B173="","",--(COUNTIFS(Votaciones!$A$2:$A$336,$B173,Votaciones!$B$2:$B$336,Explorador_Integrantes!$X$2,Votaciones!$D$2:$D$336,"Disenso acomodaticio")&gt;0))</f>
        <v/>
      </c>
    </row>
    <row r="174" spans="1:5">
      <c r="A174" s="84" t="str" cm="1">
        <f t="array" ref="A174">IF(ROWS($A$2:A174)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174)-1),"")</f>
        <v/>
      </c>
      <c r="B174" t="str" cm="1">
        <f t="array" ref="B174">IF($A174="","",INDEX(Decisiones!$A$2:$A$237,MATCH(INDEX(Explorador_Integrantes!$GO$2:$GO$30,MATCH(Explorador_Integrantes!$X$2,Explorador_Integrantes!$GN$2:$GN$30,0)),Decisiones!$B$2:$B$237,0)+ROWS($A$2:A174)-1))</f>
        <v/>
      </c>
      <c r="C174" t="str" cm="1">
        <f t="array" ref="C174">IF($A174="","",INDEX(Decisiones!$H$2:$H$237,MATCH(INDEX(Explorador_Integrantes!$GO$2:$GO$30,MATCH(Explorador_Integrantes!$X$2,Explorador_Integrantes!$GN$2:$GN$30,0)),Decisiones!$B$2:$B$237,0)+ROWS($A$2:A174)-1))</f>
        <v/>
      </c>
      <c r="D174" t="str">
        <f>IF($B174="","",--(COUNTIFS(Votaciones!$A$2:$A$336,$B174,Votaciones!$B$2:$B$336,Explorador_Integrantes!$X$2,Votaciones!$D$2:$D$336,"Disenso restrictivo")&gt;0))</f>
        <v/>
      </c>
      <c r="E174" t="str">
        <f>IF($B174="","",--(COUNTIFS(Votaciones!$A$2:$A$336,$B174,Votaciones!$B$2:$B$336,Explorador_Integrantes!$X$2,Votaciones!$D$2:$D$336,"Disenso acomodaticio")&gt;0))</f>
        <v/>
      </c>
    </row>
    <row r="175" spans="1:5">
      <c r="A175" s="84" t="str" cm="1">
        <f t="array" ref="A175">IF(ROWS($A$2:A175)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175)-1),"")</f>
        <v/>
      </c>
      <c r="B175" t="str" cm="1">
        <f t="array" ref="B175">IF($A175="","",INDEX(Decisiones!$A$2:$A$237,MATCH(INDEX(Explorador_Integrantes!$GO$2:$GO$30,MATCH(Explorador_Integrantes!$X$2,Explorador_Integrantes!$GN$2:$GN$30,0)),Decisiones!$B$2:$B$237,0)+ROWS($A$2:A175)-1))</f>
        <v/>
      </c>
      <c r="C175" t="str" cm="1">
        <f t="array" ref="C175">IF($A175="","",INDEX(Decisiones!$H$2:$H$237,MATCH(INDEX(Explorador_Integrantes!$GO$2:$GO$30,MATCH(Explorador_Integrantes!$X$2,Explorador_Integrantes!$GN$2:$GN$30,0)),Decisiones!$B$2:$B$237,0)+ROWS($A$2:A175)-1))</f>
        <v/>
      </c>
      <c r="D175" t="str">
        <f>IF($B175="","",--(COUNTIFS(Votaciones!$A$2:$A$336,$B175,Votaciones!$B$2:$B$336,Explorador_Integrantes!$X$2,Votaciones!$D$2:$D$336,"Disenso restrictivo")&gt;0))</f>
        <v/>
      </c>
      <c r="E175" t="str">
        <f>IF($B175="","",--(COUNTIFS(Votaciones!$A$2:$A$336,$B175,Votaciones!$B$2:$B$336,Explorador_Integrantes!$X$2,Votaciones!$D$2:$D$336,"Disenso acomodaticio")&gt;0))</f>
        <v/>
      </c>
    </row>
    <row r="176" spans="1:5">
      <c r="A176" s="84" t="str" cm="1">
        <f t="array" ref="A176">IF(ROWS($A$2:A176)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176)-1),"")</f>
        <v/>
      </c>
      <c r="B176" t="str" cm="1">
        <f t="array" ref="B176">IF($A176="","",INDEX(Decisiones!$A$2:$A$237,MATCH(INDEX(Explorador_Integrantes!$GO$2:$GO$30,MATCH(Explorador_Integrantes!$X$2,Explorador_Integrantes!$GN$2:$GN$30,0)),Decisiones!$B$2:$B$237,0)+ROWS($A$2:A176)-1))</f>
        <v/>
      </c>
      <c r="C176" t="str" cm="1">
        <f t="array" ref="C176">IF($A176="","",INDEX(Decisiones!$H$2:$H$237,MATCH(INDEX(Explorador_Integrantes!$GO$2:$GO$30,MATCH(Explorador_Integrantes!$X$2,Explorador_Integrantes!$GN$2:$GN$30,0)),Decisiones!$B$2:$B$237,0)+ROWS($A$2:A176)-1))</f>
        <v/>
      </c>
      <c r="D176" t="str">
        <f>IF($B176="","",--(COUNTIFS(Votaciones!$A$2:$A$336,$B176,Votaciones!$B$2:$B$336,Explorador_Integrantes!$X$2,Votaciones!$D$2:$D$336,"Disenso restrictivo")&gt;0))</f>
        <v/>
      </c>
      <c r="E176" t="str">
        <f>IF($B176="","",--(COUNTIFS(Votaciones!$A$2:$A$336,$B176,Votaciones!$B$2:$B$336,Explorador_Integrantes!$X$2,Votaciones!$D$2:$D$336,"Disenso acomodaticio")&gt;0))</f>
        <v/>
      </c>
    </row>
    <row r="177" spans="1:5">
      <c r="A177" s="84" t="str" cm="1">
        <f t="array" ref="A177">IF(ROWS($A$2:A177)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177)-1),"")</f>
        <v/>
      </c>
      <c r="B177" t="str" cm="1">
        <f t="array" ref="B177">IF($A177="","",INDEX(Decisiones!$A$2:$A$237,MATCH(INDEX(Explorador_Integrantes!$GO$2:$GO$30,MATCH(Explorador_Integrantes!$X$2,Explorador_Integrantes!$GN$2:$GN$30,0)),Decisiones!$B$2:$B$237,0)+ROWS($A$2:A177)-1))</f>
        <v/>
      </c>
      <c r="C177" t="str" cm="1">
        <f t="array" ref="C177">IF($A177="","",INDEX(Decisiones!$H$2:$H$237,MATCH(INDEX(Explorador_Integrantes!$GO$2:$GO$30,MATCH(Explorador_Integrantes!$X$2,Explorador_Integrantes!$GN$2:$GN$30,0)),Decisiones!$B$2:$B$237,0)+ROWS($A$2:A177)-1))</f>
        <v/>
      </c>
      <c r="D177" t="str">
        <f>IF($B177="","",--(COUNTIFS(Votaciones!$A$2:$A$336,$B177,Votaciones!$B$2:$B$336,Explorador_Integrantes!$X$2,Votaciones!$D$2:$D$336,"Disenso restrictivo")&gt;0))</f>
        <v/>
      </c>
      <c r="E177" t="str">
        <f>IF($B177="","",--(COUNTIFS(Votaciones!$A$2:$A$336,$B177,Votaciones!$B$2:$B$336,Explorador_Integrantes!$X$2,Votaciones!$D$2:$D$336,"Disenso acomodaticio")&gt;0))</f>
        <v/>
      </c>
    </row>
    <row r="178" spans="1:5">
      <c r="A178" s="84" t="str" cm="1">
        <f t="array" ref="A178">IF(ROWS($A$2:A178)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178)-1),"")</f>
        <v/>
      </c>
      <c r="B178" t="str" cm="1">
        <f t="array" ref="B178">IF($A178="","",INDEX(Decisiones!$A$2:$A$237,MATCH(INDEX(Explorador_Integrantes!$GO$2:$GO$30,MATCH(Explorador_Integrantes!$X$2,Explorador_Integrantes!$GN$2:$GN$30,0)),Decisiones!$B$2:$B$237,0)+ROWS($A$2:A178)-1))</f>
        <v/>
      </c>
      <c r="C178" t="str" cm="1">
        <f t="array" ref="C178">IF($A178="","",INDEX(Decisiones!$H$2:$H$237,MATCH(INDEX(Explorador_Integrantes!$GO$2:$GO$30,MATCH(Explorador_Integrantes!$X$2,Explorador_Integrantes!$GN$2:$GN$30,0)),Decisiones!$B$2:$B$237,0)+ROWS($A$2:A178)-1))</f>
        <v/>
      </c>
      <c r="D178" t="str">
        <f>IF($B178="","",--(COUNTIFS(Votaciones!$A$2:$A$336,$B178,Votaciones!$B$2:$B$336,Explorador_Integrantes!$X$2,Votaciones!$D$2:$D$336,"Disenso restrictivo")&gt;0))</f>
        <v/>
      </c>
      <c r="E178" t="str">
        <f>IF($B178="","",--(COUNTIFS(Votaciones!$A$2:$A$336,$B178,Votaciones!$B$2:$B$336,Explorador_Integrantes!$X$2,Votaciones!$D$2:$D$336,"Disenso acomodaticio")&gt;0))</f>
        <v/>
      </c>
    </row>
    <row r="179" spans="1:5">
      <c r="A179" s="84" t="str" cm="1">
        <f t="array" ref="A179">IF(ROWS($A$2:A179)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179)-1),"")</f>
        <v/>
      </c>
      <c r="B179" t="str" cm="1">
        <f t="array" ref="B179">IF($A179="","",INDEX(Decisiones!$A$2:$A$237,MATCH(INDEX(Explorador_Integrantes!$GO$2:$GO$30,MATCH(Explorador_Integrantes!$X$2,Explorador_Integrantes!$GN$2:$GN$30,0)),Decisiones!$B$2:$B$237,0)+ROWS($A$2:A179)-1))</f>
        <v/>
      </c>
      <c r="C179" t="str" cm="1">
        <f t="array" ref="C179">IF($A179="","",INDEX(Decisiones!$H$2:$H$237,MATCH(INDEX(Explorador_Integrantes!$GO$2:$GO$30,MATCH(Explorador_Integrantes!$X$2,Explorador_Integrantes!$GN$2:$GN$30,0)),Decisiones!$B$2:$B$237,0)+ROWS($A$2:A179)-1))</f>
        <v/>
      </c>
      <c r="D179" t="str">
        <f>IF($B179="","",--(COUNTIFS(Votaciones!$A$2:$A$336,$B179,Votaciones!$B$2:$B$336,Explorador_Integrantes!$X$2,Votaciones!$D$2:$D$336,"Disenso restrictivo")&gt;0))</f>
        <v/>
      </c>
      <c r="E179" t="str">
        <f>IF($B179="","",--(COUNTIFS(Votaciones!$A$2:$A$336,$B179,Votaciones!$B$2:$B$336,Explorador_Integrantes!$X$2,Votaciones!$D$2:$D$336,"Disenso acomodaticio")&gt;0))</f>
        <v/>
      </c>
    </row>
    <row r="180" spans="1:5">
      <c r="A180" s="84" t="str" cm="1">
        <f t="array" ref="A180">IF(ROWS($A$2:A180)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180)-1),"")</f>
        <v/>
      </c>
      <c r="B180" t="str" cm="1">
        <f t="array" ref="B180">IF($A180="","",INDEX(Decisiones!$A$2:$A$237,MATCH(INDEX(Explorador_Integrantes!$GO$2:$GO$30,MATCH(Explorador_Integrantes!$X$2,Explorador_Integrantes!$GN$2:$GN$30,0)),Decisiones!$B$2:$B$237,0)+ROWS($A$2:A180)-1))</f>
        <v/>
      </c>
      <c r="C180" t="str" cm="1">
        <f t="array" ref="C180">IF($A180="","",INDEX(Decisiones!$H$2:$H$237,MATCH(INDEX(Explorador_Integrantes!$GO$2:$GO$30,MATCH(Explorador_Integrantes!$X$2,Explorador_Integrantes!$GN$2:$GN$30,0)),Decisiones!$B$2:$B$237,0)+ROWS($A$2:A180)-1))</f>
        <v/>
      </c>
      <c r="D180" t="str">
        <f>IF($B180="","",--(COUNTIFS(Votaciones!$A$2:$A$336,$B180,Votaciones!$B$2:$B$336,Explorador_Integrantes!$X$2,Votaciones!$D$2:$D$336,"Disenso restrictivo")&gt;0))</f>
        <v/>
      </c>
      <c r="E180" t="str">
        <f>IF($B180="","",--(COUNTIFS(Votaciones!$A$2:$A$336,$B180,Votaciones!$B$2:$B$336,Explorador_Integrantes!$X$2,Votaciones!$D$2:$D$336,"Disenso acomodaticio")&gt;0))</f>
        <v/>
      </c>
    </row>
    <row r="181" spans="1:5">
      <c r="A181" s="84" t="str" cm="1">
        <f t="array" ref="A181">IF(ROWS($A$2:A181)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181)-1),"")</f>
        <v/>
      </c>
      <c r="B181" t="str" cm="1">
        <f t="array" ref="B181">IF($A181="","",INDEX(Decisiones!$A$2:$A$237,MATCH(INDEX(Explorador_Integrantes!$GO$2:$GO$30,MATCH(Explorador_Integrantes!$X$2,Explorador_Integrantes!$GN$2:$GN$30,0)),Decisiones!$B$2:$B$237,0)+ROWS($A$2:A181)-1))</f>
        <v/>
      </c>
      <c r="C181" t="str" cm="1">
        <f t="array" ref="C181">IF($A181="","",INDEX(Decisiones!$H$2:$H$237,MATCH(INDEX(Explorador_Integrantes!$GO$2:$GO$30,MATCH(Explorador_Integrantes!$X$2,Explorador_Integrantes!$GN$2:$GN$30,0)),Decisiones!$B$2:$B$237,0)+ROWS($A$2:A181)-1))</f>
        <v/>
      </c>
      <c r="D181" t="str">
        <f>IF($B181="","",--(COUNTIFS(Votaciones!$A$2:$A$336,$B181,Votaciones!$B$2:$B$336,Explorador_Integrantes!$X$2,Votaciones!$D$2:$D$336,"Disenso restrictivo")&gt;0))</f>
        <v/>
      </c>
      <c r="E181" t="str">
        <f>IF($B181="","",--(COUNTIFS(Votaciones!$A$2:$A$336,$B181,Votaciones!$B$2:$B$336,Explorador_Integrantes!$X$2,Votaciones!$D$2:$D$336,"Disenso acomodaticio")&gt;0))</f>
        <v/>
      </c>
    </row>
    <row r="182" spans="1:5">
      <c r="A182" s="84" t="str" cm="1">
        <f t="array" ref="A182">IF(ROWS($A$2:A182)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182)-1),"")</f>
        <v/>
      </c>
      <c r="B182" t="str" cm="1">
        <f t="array" ref="B182">IF($A182="","",INDEX(Decisiones!$A$2:$A$237,MATCH(INDEX(Explorador_Integrantes!$GO$2:$GO$30,MATCH(Explorador_Integrantes!$X$2,Explorador_Integrantes!$GN$2:$GN$30,0)),Decisiones!$B$2:$B$237,0)+ROWS($A$2:A182)-1))</f>
        <v/>
      </c>
      <c r="C182" t="str" cm="1">
        <f t="array" ref="C182">IF($A182="","",INDEX(Decisiones!$H$2:$H$237,MATCH(INDEX(Explorador_Integrantes!$GO$2:$GO$30,MATCH(Explorador_Integrantes!$X$2,Explorador_Integrantes!$GN$2:$GN$30,0)),Decisiones!$B$2:$B$237,0)+ROWS($A$2:A182)-1))</f>
        <v/>
      </c>
      <c r="D182" t="str">
        <f>IF($B182="","",--(COUNTIFS(Votaciones!$A$2:$A$336,$B182,Votaciones!$B$2:$B$336,Explorador_Integrantes!$X$2,Votaciones!$D$2:$D$336,"Disenso restrictivo")&gt;0))</f>
        <v/>
      </c>
      <c r="E182" t="str">
        <f>IF($B182="","",--(COUNTIFS(Votaciones!$A$2:$A$336,$B182,Votaciones!$B$2:$B$336,Explorador_Integrantes!$X$2,Votaciones!$D$2:$D$336,"Disenso acomodaticio")&gt;0))</f>
        <v/>
      </c>
    </row>
    <row r="183" spans="1:5">
      <c r="A183" s="84" t="str" cm="1">
        <f t="array" ref="A183">IF(ROWS($A$2:A183)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183)-1),"")</f>
        <v/>
      </c>
      <c r="B183" t="str" cm="1">
        <f t="array" ref="B183">IF($A183="","",INDEX(Decisiones!$A$2:$A$237,MATCH(INDEX(Explorador_Integrantes!$GO$2:$GO$30,MATCH(Explorador_Integrantes!$X$2,Explorador_Integrantes!$GN$2:$GN$30,0)),Decisiones!$B$2:$B$237,0)+ROWS($A$2:A183)-1))</f>
        <v/>
      </c>
      <c r="C183" t="str" cm="1">
        <f t="array" ref="C183">IF($A183="","",INDEX(Decisiones!$H$2:$H$237,MATCH(INDEX(Explorador_Integrantes!$GO$2:$GO$30,MATCH(Explorador_Integrantes!$X$2,Explorador_Integrantes!$GN$2:$GN$30,0)),Decisiones!$B$2:$B$237,0)+ROWS($A$2:A183)-1))</f>
        <v/>
      </c>
      <c r="D183" t="str">
        <f>IF($B183="","",--(COUNTIFS(Votaciones!$A$2:$A$336,$B183,Votaciones!$B$2:$B$336,Explorador_Integrantes!$X$2,Votaciones!$D$2:$D$336,"Disenso restrictivo")&gt;0))</f>
        <v/>
      </c>
      <c r="E183" t="str">
        <f>IF($B183="","",--(COUNTIFS(Votaciones!$A$2:$A$336,$B183,Votaciones!$B$2:$B$336,Explorador_Integrantes!$X$2,Votaciones!$D$2:$D$336,"Disenso acomodaticio")&gt;0))</f>
        <v/>
      </c>
    </row>
    <row r="184" spans="1:5">
      <c r="A184" s="84" t="str" cm="1">
        <f t="array" ref="A184">IF(ROWS($A$2:A184)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184)-1),"")</f>
        <v/>
      </c>
      <c r="B184" t="str" cm="1">
        <f t="array" ref="B184">IF($A184="","",INDEX(Decisiones!$A$2:$A$237,MATCH(INDEX(Explorador_Integrantes!$GO$2:$GO$30,MATCH(Explorador_Integrantes!$X$2,Explorador_Integrantes!$GN$2:$GN$30,0)),Decisiones!$B$2:$B$237,0)+ROWS($A$2:A184)-1))</f>
        <v/>
      </c>
      <c r="C184" t="str" cm="1">
        <f t="array" ref="C184">IF($A184="","",INDEX(Decisiones!$H$2:$H$237,MATCH(INDEX(Explorador_Integrantes!$GO$2:$GO$30,MATCH(Explorador_Integrantes!$X$2,Explorador_Integrantes!$GN$2:$GN$30,0)),Decisiones!$B$2:$B$237,0)+ROWS($A$2:A184)-1))</f>
        <v/>
      </c>
      <c r="D184" t="str">
        <f>IF($B184="","",--(COUNTIFS(Votaciones!$A$2:$A$336,$B184,Votaciones!$B$2:$B$336,Explorador_Integrantes!$X$2,Votaciones!$D$2:$D$336,"Disenso restrictivo")&gt;0))</f>
        <v/>
      </c>
      <c r="E184" t="str">
        <f>IF($B184="","",--(COUNTIFS(Votaciones!$A$2:$A$336,$B184,Votaciones!$B$2:$B$336,Explorador_Integrantes!$X$2,Votaciones!$D$2:$D$336,"Disenso acomodaticio")&gt;0))</f>
        <v/>
      </c>
    </row>
    <row r="185" spans="1:5">
      <c r="A185" s="84" t="str" cm="1">
        <f t="array" ref="A185">IF(ROWS($A$2:A185)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185)-1),"")</f>
        <v/>
      </c>
      <c r="B185" t="str" cm="1">
        <f t="array" ref="B185">IF($A185="","",INDEX(Decisiones!$A$2:$A$237,MATCH(INDEX(Explorador_Integrantes!$GO$2:$GO$30,MATCH(Explorador_Integrantes!$X$2,Explorador_Integrantes!$GN$2:$GN$30,0)),Decisiones!$B$2:$B$237,0)+ROWS($A$2:A185)-1))</f>
        <v/>
      </c>
      <c r="C185" t="str" cm="1">
        <f t="array" ref="C185">IF($A185="","",INDEX(Decisiones!$H$2:$H$237,MATCH(INDEX(Explorador_Integrantes!$GO$2:$GO$30,MATCH(Explorador_Integrantes!$X$2,Explorador_Integrantes!$GN$2:$GN$30,0)),Decisiones!$B$2:$B$237,0)+ROWS($A$2:A185)-1))</f>
        <v/>
      </c>
      <c r="D185" t="str">
        <f>IF($B185="","",--(COUNTIFS(Votaciones!$A$2:$A$336,$B185,Votaciones!$B$2:$B$336,Explorador_Integrantes!$X$2,Votaciones!$D$2:$D$336,"Disenso restrictivo")&gt;0))</f>
        <v/>
      </c>
      <c r="E185" t="str">
        <f>IF($B185="","",--(COUNTIFS(Votaciones!$A$2:$A$336,$B185,Votaciones!$B$2:$B$336,Explorador_Integrantes!$X$2,Votaciones!$D$2:$D$336,"Disenso acomodaticio")&gt;0))</f>
        <v/>
      </c>
    </row>
    <row r="186" spans="1:5">
      <c r="A186" s="84" t="str" cm="1">
        <f t="array" ref="A186">IF(ROWS($A$2:A186)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186)-1),"")</f>
        <v/>
      </c>
      <c r="B186" t="str" cm="1">
        <f t="array" ref="B186">IF($A186="","",INDEX(Decisiones!$A$2:$A$237,MATCH(INDEX(Explorador_Integrantes!$GO$2:$GO$30,MATCH(Explorador_Integrantes!$X$2,Explorador_Integrantes!$GN$2:$GN$30,0)),Decisiones!$B$2:$B$237,0)+ROWS($A$2:A186)-1))</f>
        <v/>
      </c>
      <c r="C186" t="str" cm="1">
        <f t="array" ref="C186">IF($A186="","",INDEX(Decisiones!$H$2:$H$237,MATCH(INDEX(Explorador_Integrantes!$GO$2:$GO$30,MATCH(Explorador_Integrantes!$X$2,Explorador_Integrantes!$GN$2:$GN$30,0)),Decisiones!$B$2:$B$237,0)+ROWS($A$2:A186)-1))</f>
        <v/>
      </c>
      <c r="D186" t="str">
        <f>IF($B186="","",--(COUNTIFS(Votaciones!$A$2:$A$336,$B186,Votaciones!$B$2:$B$336,Explorador_Integrantes!$X$2,Votaciones!$D$2:$D$336,"Disenso restrictivo")&gt;0))</f>
        <v/>
      </c>
      <c r="E186" t="str">
        <f>IF($B186="","",--(COUNTIFS(Votaciones!$A$2:$A$336,$B186,Votaciones!$B$2:$B$336,Explorador_Integrantes!$X$2,Votaciones!$D$2:$D$336,"Disenso acomodaticio")&gt;0))</f>
        <v/>
      </c>
    </row>
    <row r="187" spans="1:5">
      <c r="A187" s="84" t="str" cm="1">
        <f t="array" ref="A187">IF(ROWS($A$2:A187)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187)-1),"")</f>
        <v/>
      </c>
      <c r="B187" t="str" cm="1">
        <f t="array" ref="B187">IF($A187="","",INDEX(Decisiones!$A$2:$A$237,MATCH(INDEX(Explorador_Integrantes!$GO$2:$GO$30,MATCH(Explorador_Integrantes!$X$2,Explorador_Integrantes!$GN$2:$GN$30,0)),Decisiones!$B$2:$B$237,0)+ROWS($A$2:A187)-1))</f>
        <v/>
      </c>
      <c r="C187" t="str" cm="1">
        <f t="array" ref="C187">IF($A187="","",INDEX(Decisiones!$H$2:$H$237,MATCH(INDEX(Explorador_Integrantes!$GO$2:$GO$30,MATCH(Explorador_Integrantes!$X$2,Explorador_Integrantes!$GN$2:$GN$30,0)),Decisiones!$B$2:$B$237,0)+ROWS($A$2:A187)-1))</f>
        <v/>
      </c>
      <c r="D187" t="str">
        <f>IF($B187="","",--(COUNTIFS(Votaciones!$A$2:$A$336,$B187,Votaciones!$B$2:$B$336,Explorador_Integrantes!$X$2,Votaciones!$D$2:$D$336,"Disenso restrictivo")&gt;0))</f>
        <v/>
      </c>
      <c r="E187" t="str">
        <f>IF($B187="","",--(COUNTIFS(Votaciones!$A$2:$A$336,$B187,Votaciones!$B$2:$B$336,Explorador_Integrantes!$X$2,Votaciones!$D$2:$D$336,"Disenso acomodaticio")&gt;0))</f>
        <v/>
      </c>
    </row>
    <row r="188" spans="1:5">
      <c r="A188" s="84" t="str" cm="1">
        <f t="array" ref="A188">IF(ROWS($A$2:A188)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188)-1),"")</f>
        <v/>
      </c>
      <c r="B188" t="str" cm="1">
        <f t="array" ref="B188">IF($A188="","",INDEX(Decisiones!$A$2:$A$237,MATCH(INDEX(Explorador_Integrantes!$GO$2:$GO$30,MATCH(Explorador_Integrantes!$X$2,Explorador_Integrantes!$GN$2:$GN$30,0)),Decisiones!$B$2:$B$237,0)+ROWS($A$2:A188)-1))</f>
        <v/>
      </c>
      <c r="C188" t="str" cm="1">
        <f t="array" ref="C188">IF($A188="","",INDEX(Decisiones!$H$2:$H$237,MATCH(INDEX(Explorador_Integrantes!$GO$2:$GO$30,MATCH(Explorador_Integrantes!$X$2,Explorador_Integrantes!$GN$2:$GN$30,0)),Decisiones!$B$2:$B$237,0)+ROWS($A$2:A188)-1))</f>
        <v/>
      </c>
      <c r="D188" t="str">
        <f>IF($B188="","",--(COUNTIFS(Votaciones!$A$2:$A$336,$B188,Votaciones!$B$2:$B$336,Explorador_Integrantes!$X$2,Votaciones!$D$2:$D$336,"Disenso restrictivo")&gt;0))</f>
        <v/>
      </c>
      <c r="E188" t="str">
        <f>IF($B188="","",--(COUNTIFS(Votaciones!$A$2:$A$336,$B188,Votaciones!$B$2:$B$336,Explorador_Integrantes!$X$2,Votaciones!$D$2:$D$336,"Disenso acomodaticio")&gt;0))</f>
        <v/>
      </c>
    </row>
    <row r="189" spans="1:5">
      <c r="A189" s="84" t="str" cm="1">
        <f t="array" ref="A189">IF(ROWS($A$2:A189)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189)-1),"")</f>
        <v/>
      </c>
      <c r="B189" t="str" cm="1">
        <f t="array" ref="B189">IF($A189="","",INDEX(Decisiones!$A$2:$A$237,MATCH(INDEX(Explorador_Integrantes!$GO$2:$GO$30,MATCH(Explorador_Integrantes!$X$2,Explorador_Integrantes!$GN$2:$GN$30,0)),Decisiones!$B$2:$B$237,0)+ROWS($A$2:A189)-1))</f>
        <v/>
      </c>
      <c r="C189" t="str" cm="1">
        <f t="array" ref="C189">IF($A189="","",INDEX(Decisiones!$H$2:$H$237,MATCH(INDEX(Explorador_Integrantes!$GO$2:$GO$30,MATCH(Explorador_Integrantes!$X$2,Explorador_Integrantes!$GN$2:$GN$30,0)),Decisiones!$B$2:$B$237,0)+ROWS($A$2:A189)-1))</f>
        <v/>
      </c>
      <c r="D189" t="str">
        <f>IF($B189="","",--(COUNTIFS(Votaciones!$A$2:$A$336,$B189,Votaciones!$B$2:$B$336,Explorador_Integrantes!$X$2,Votaciones!$D$2:$D$336,"Disenso restrictivo")&gt;0))</f>
        <v/>
      </c>
      <c r="E189" t="str">
        <f>IF($B189="","",--(COUNTIFS(Votaciones!$A$2:$A$336,$B189,Votaciones!$B$2:$B$336,Explorador_Integrantes!$X$2,Votaciones!$D$2:$D$336,"Disenso acomodaticio")&gt;0))</f>
        <v/>
      </c>
    </row>
    <row r="190" spans="1:5">
      <c r="A190" s="84" t="str" cm="1">
        <f t="array" ref="A190">IF(ROWS($A$2:A190)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190)-1),"")</f>
        <v/>
      </c>
      <c r="B190" t="str" cm="1">
        <f t="array" ref="B190">IF($A190="","",INDEX(Decisiones!$A$2:$A$237,MATCH(INDEX(Explorador_Integrantes!$GO$2:$GO$30,MATCH(Explorador_Integrantes!$X$2,Explorador_Integrantes!$GN$2:$GN$30,0)),Decisiones!$B$2:$B$237,0)+ROWS($A$2:A190)-1))</f>
        <v/>
      </c>
      <c r="C190" t="str" cm="1">
        <f t="array" ref="C190">IF($A190="","",INDEX(Decisiones!$H$2:$H$237,MATCH(INDEX(Explorador_Integrantes!$GO$2:$GO$30,MATCH(Explorador_Integrantes!$X$2,Explorador_Integrantes!$GN$2:$GN$30,0)),Decisiones!$B$2:$B$237,0)+ROWS($A$2:A190)-1))</f>
        <v/>
      </c>
      <c r="D190" t="str">
        <f>IF($B190="","",--(COUNTIFS(Votaciones!$A$2:$A$336,$B190,Votaciones!$B$2:$B$336,Explorador_Integrantes!$X$2,Votaciones!$D$2:$D$336,"Disenso restrictivo")&gt;0))</f>
        <v/>
      </c>
      <c r="E190" t="str">
        <f>IF($B190="","",--(COUNTIFS(Votaciones!$A$2:$A$336,$B190,Votaciones!$B$2:$B$336,Explorador_Integrantes!$X$2,Votaciones!$D$2:$D$336,"Disenso acomodaticio")&gt;0))</f>
        <v/>
      </c>
    </row>
    <row r="191" spans="1:5">
      <c r="A191" s="84" t="str" cm="1">
        <f t="array" ref="A191">IF(ROWS($A$2:A191)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191)-1),"")</f>
        <v/>
      </c>
      <c r="B191" t="str" cm="1">
        <f t="array" ref="B191">IF($A191="","",INDEX(Decisiones!$A$2:$A$237,MATCH(INDEX(Explorador_Integrantes!$GO$2:$GO$30,MATCH(Explorador_Integrantes!$X$2,Explorador_Integrantes!$GN$2:$GN$30,0)),Decisiones!$B$2:$B$237,0)+ROWS($A$2:A191)-1))</f>
        <v/>
      </c>
      <c r="C191" t="str" cm="1">
        <f t="array" ref="C191">IF($A191="","",INDEX(Decisiones!$H$2:$H$237,MATCH(INDEX(Explorador_Integrantes!$GO$2:$GO$30,MATCH(Explorador_Integrantes!$X$2,Explorador_Integrantes!$GN$2:$GN$30,0)),Decisiones!$B$2:$B$237,0)+ROWS($A$2:A191)-1))</f>
        <v/>
      </c>
      <c r="D191" t="str">
        <f>IF($B191="","",--(COUNTIFS(Votaciones!$A$2:$A$336,$B191,Votaciones!$B$2:$B$336,Explorador_Integrantes!$X$2,Votaciones!$D$2:$D$336,"Disenso restrictivo")&gt;0))</f>
        <v/>
      </c>
      <c r="E191" t="str">
        <f>IF($B191="","",--(COUNTIFS(Votaciones!$A$2:$A$336,$B191,Votaciones!$B$2:$B$336,Explorador_Integrantes!$X$2,Votaciones!$D$2:$D$336,"Disenso acomodaticio")&gt;0))</f>
        <v/>
      </c>
    </row>
    <row r="192" spans="1:5">
      <c r="A192" s="84" t="str" cm="1">
        <f t="array" ref="A192">IF(ROWS($A$2:A192)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192)-1),"")</f>
        <v/>
      </c>
      <c r="B192" t="str" cm="1">
        <f t="array" ref="B192">IF($A192="","",INDEX(Decisiones!$A$2:$A$237,MATCH(INDEX(Explorador_Integrantes!$GO$2:$GO$30,MATCH(Explorador_Integrantes!$X$2,Explorador_Integrantes!$GN$2:$GN$30,0)),Decisiones!$B$2:$B$237,0)+ROWS($A$2:A192)-1))</f>
        <v/>
      </c>
      <c r="C192" t="str" cm="1">
        <f t="array" ref="C192">IF($A192="","",INDEX(Decisiones!$H$2:$H$237,MATCH(INDEX(Explorador_Integrantes!$GO$2:$GO$30,MATCH(Explorador_Integrantes!$X$2,Explorador_Integrantes!$GN$2:$GN$30,0)),Decisiones!$B$2:$B$237,0)+ROWS($A$2:A192)-1))</f>
        <v/>
      </c>
      <c r="D192" t="str">
        <f>IF($B192="","",--(COUNTIFS(Votaciones!$A$2:$A$336,$B192,Votaciones!$B$2:$B$336,Explorador_Integrantes!$X$2,Votaciones!$D$2:$D$336,"Disenso restrictivo")&gt;0))</f>
        <v/>
      </c>
      <c r="E192" t="str">
        <f>IF($B192="","",--(COUNTIFS(Votaciones!$A$2:$A$336,$B192,Votaciones!$B$2:$B$336,Explorador_Integrantes!$X$2,Votaciones!$D$2:$D$336,"Disenso acomodaticio")&gt;0))</f>
        <v/>
      </c>
    </row>
    <row r="193" spans="1:5">
      <c r="A193" s="84" t="str" cm="1">
        <f t="array" ref="A193">IF(ROWS($A$2:A193)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193)-1),"")</f>
        <v/>
      </c>
      <c r="B193" t="str" cm="1">
        <f t="array" ref="B193">IF($A193="","",INDEX(Decisiones!$A$2:$A$237,MATCH(INDEX(Explorador_Integrantes!$GO$2:$GO$30,MATCH(Explorador_Integrantes!$X$2,Explorador_Integrantes!$GN$2:$GN$30,0)),Decisiones!$B$2:$B$237,0)+ROWS($A$2:A193)-1))</f>
        <v/>
      </c>
      <c r="C193" t="str" cm="1">
        <f t="array" ref="C193">IF($A193="","",INDEX(Decisiones!$H$2:$H$237,MATCH(INDEX(Explorador_Integrantes!$GO$2:$GO$30,MATCH(Explorador_Integrantes!$X$2,Explorador_Integrantes!$GN$2:$GN$30,0)),Decisiones!$B$2:$B$237,0)+ROWS($A$2:A193)-1))</f>
        <v/>
      </c>
      <c r="D193" t="str">
        <f>IF($B193="","",--(COUNTIFS(Votaciones!$A$2:$A$336,$B193,Votaciones!$B$2:$B$336,Explorador_Integrantes!$X$2,Votaciones!$D$2:$D$336,"Disenso restrictivo")&gt;0))</f>
        <v/>
      </c>
      <c r="E193" t="str">
        <f>IF($B193="","",--(COUNTIFS(Votaciones!$A$2:$A$336,$B193,Votaciones!$B$2:$B$336,Explorador_Integrantes!$X$2,Votaciones!$D$2:$D$336,"Disenso acomodaticio")&gt;0))</f>
        <v/>
      </c>
    </row>
    <row r="194" spans="1:5">
      <c r="A194" s="84" t="str" cm="1">
        <f t="array" ref="A194">IF(ROWS($A$2:A194)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194)-1),"")</f>
        <v/>
      </c>
      <c r="B194" t="str" cm="1">
        <f t="array" ref="B194">IF($A194="","",INDEX(Decisiones!$A$2:$A$237,MATCH(INDEX(Explorador_Integrantes!$GO$2:$GO$30,MATCH(Explorador_Integrantes!$X$2,Explorador_Integrantes!$GN$2:$GN$30,0)),Decisiones!$B$2:$B$237,0)+ROWS($A$2:A194)-1))</f>
        <v/>
      </c>
      <c r="C194" t="str" cm="1">
        <f t="array" ref="C194">IF($A194="","",INDEX(Decisiones!$H$2:$H$237,MATCH(INDEX(Explorador_Integrantes!$GO$2:$GO$30,MATCH(Explorador_Integrantes!$X$2,Explorador_Integrantes!$GN$2:$GN$30,0)),Decisiones!$B$2:$B$237,0)+ROWS($A$2:A194)-1))</f>
        <v/>
      </c>
      <c r="D194" t="str">
        <f>IF($B194="","",--(COUNTIFS(Votaciones!$A$2:$A$336,$B194,Votaciones!$B$2:$B$336,Explorador_Integrantes!$X$2,Votaciones!$D$2:$D$336,"Disenso restrictivo")&gt;0))</f>
        <v/>
      </c>
      <c r="E194" t="str">
        <f>IF($B194="","",--(COUNTIFS(Votaciones!$A$2:$A$336,$B194,Votaciones!$B$2:$B$336,Explorador_Integrantes!$X$2,Votaciones!$D$2:$D$336,"Disenso acomodaticio")&gt;0))</f>
        <v/>
      </c>
    </row>
    <row r="195" spans="1:5">
      <c r="A195" s="84" t="str" cm="1">
        <f t="array" ref="A195">IF(ROWS($A$2:A195)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195)-1),"")</f>
        <v/>
      </c>
      <c r="B195" t="str" cm="1">
        <f t="array" ref="B195">IF($A195="","",INDEX(Decisiones!$A$2:$A$237,MATCH(INDEX(Explorador_Integrantes!$GO$2:$GO$30,MATCH(Explorador_Integrantes!$X$2,Explorador_Integrantes!$GN$2:$GN$30,0)),Decisiones!$B$2:$B$237,0)+ROWS($A$2:A195)-1))</f>
        <v/>
      </c>
      <c r="C195" t="str" cm="1">
        <f t="array" ref="C195">IF($A195="","",INDEX(Decisiones!$H$2:$H$237,MATCH(INDEX(Explorador_Integrantes!$GO$2:$GO$30,MATCH(Explorador_Integrantes!$X$2,Explorador_Integrantes!$GN$2:$GN$30,0)),Decisiones!$B$2:$B$237,0)+ROWS($A$2:A195)-1))</f>
        <v/>
      </c>
      <c r="D195" t="str">
        <f>IF($B195="","",--(COUNTIFS(Votaciones!$A$2:$A$336,$B195,Votaciones!$B$2:$B$336,Explorador_Integrantes!$X$2,Votaciones!$D$2:$D$336,"Disenso restrictivo")&gt;0))</f>
        <v/>
      </c>
      <c r="E195" t="str">
        <f>IF($B195="","",--(COUNTIFS(Votaciones!$A$2:$A$336,$B195,Votaciones!$B$2:$B$336,Explorador_Integrantes!$X$2,Votaciones!$D$2:$D$336,"Disenso acomodaticio")&gt;0))</f>
        <v/>
      </c>
    </row>
    <row r="196" spans="1:5">
      <c r="A196" s="84" t="str" cm="1">
        <f t="array" ref="A196">IF(ROWS($A$2:A196)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196)-1),"")</f>
        <v/>
      </c>
      <c r="B196" t="str" cm="1">
        <f t="array" ref="B196">IF($A196="","",INDEX(Decisiones!$A$2:$A$237,MATCH(INDEX(Explorador_Integrantes!$GO$2:$GO$30,MATCH(Explorador_Integrantes!$X$2,Explorador_Integrantes!$GN$2:$GN$30,0)),Decisiones!$B$2:$B$237,0)+ROWS($A$2:A196)-1))</f>
        <v/>
      </c>
      <c r="C196" t="str" cm="1">
        <f t="array" ref="C196">IF($A196="","",INDEX(Decisiones!$H$2:$H$237,MATCH(INDEX(Explorador_Integrantes!$GO$2:$GO$30,MATCH(Explorador_Integrantes!$X$2,Explorador_Integrantes!$GN$2:$GN$30,0)),Decisiones!$B$2:$B$237,0)+ROWS($A$2:A196)-1))</f>
        <v/>
      </c>
      <c r="D196" t="str">
        <f>IF($B196="","",--(COUNTIFS(Votaciones!$A$2:$A$336,$B196,Votaciones!$B$2:$B$336,Explorador_Integrantes!$X$2,Votaciones!$D$2:$D$336,"Disenso restrictivo")&gt;0))</f>
        <v/>
      </c>
      <c r="E196" t="str">
        <f>IF($B196="","",--(COUNTIFS(Votaciones!$A$2:$A$336,$B196,Votaciones!$B$2:$B$336,Explorador_Integrantes!$X$2,Votaciones!$D$2:$D$336,"Disenso acomodaticio")&gt;0))</f>
        <v/>
      </c>
    </row>
    <row r="197" spans="1:5">
      <c r="A197" s="84" t="str" cm="1">
        <f t="array" ref="A197">IF(ROWS($A$2:A197)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197)-1),"")</f>
        <v/>
      </c>
      <c r="B197" t="str" cm="1">
        <f t="array" ref="B197">IF($A197="","",INDEX(Decisiones!$A$2:$A$237,MATCH(INDEX(Explorador_Integrantes!$GO$2:$GO$30,MATCH(Explorador_Integrantes!$X$2,Explorador_Integrantes!$GN$2:$GN$30,0)),Decisiones!$B$2:$B$237,0)+ROWS($A$2:A197)-1))</f>
        <v/>
      </c>
      <c r="C197" t="str" cm="1">
        <f t="array" ref="C197">IF($A197="","",INDEX(Decisiones!$H$2:$H$237,MATCH(INDEX(Explorador_Integrantes!$GO$2:$GO$30,MATCH(Explorador_Integrantes!$X$2,Explorador_Integrantes!$GN$2:$GN$30,0)),Decisiones!$B$2:$B$237,0)+ROWS($A$2:A197)-1))</f>
        <v/>
      </c>
      <c r="D197" t="str">
        <f>IF($B197="","",--(COUNTIFS(Votaciones!$A$2:$A$336,$B197,Votaciones!$B$2:$B$336,Explorador_Integrantes!$X$2,Votaciones!$D$2:$D$336,"Disenso restrictivo")&gt;0))</f>
        <v/>
      </c>
      <c r="E197" t="str">
        <f>IF($B197="","",--(COUNTIFS(Votaciones!$A$2:$A$336,$B197,Votaciones!$B$2:$B$336,Explorador_Integrantes!$X$2,Votaciones!$D$2:$D$336,"Disenso acomodaticio")&gt;0))</f>
        <v/>
      </c>
    </row>
    <row r="198" spans="1:5">
      <c r="A198" s="84" t="str" cm="1">
        <f t="array" ref="A198">IF(ROWS($A$2:A198)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198)-1),"")</f>
        <v/>
      </c>
      <c r="B198" t="str" cm="1">
        <f t="array" ref="B198">IF($A198="","",INDEX(Decisiones!$A$2:$A$237,MATCH(INDEX(Explorador_Integrantes!$GO$2:$GO$30,MATCH(Explorador_Integrantes!$X$2,Explorador_Integrantes!$GN$2:$GN$30,0)),Decisiones!$B$2:$B$237,0)+ROWS($A$2:A198)-1))</f>
        <v/>
      </c>
      <c r="C198" t="str" cm="1">
        <f t="array" ref="C198">IF($A198="","",INDEX(Decisiones!$H$2:$H$237,MATCH(INDEX(Explorador_Integrantes!$GO$2:$GO$30,MATCH(Explorador_Integrantes!$X$2,Explorador_Integrantes!$GN$2:$GN$30,0)),Decisiones!$B$2:$B$237,0)+ROWS($A$2:A198)-1))</f>
        <v/>
      </c>
      <c r="D198" t="str">
        <f>IF($B198="","",--(COUNTIFS(Votaciones!$A$2:$A$336,$B198,Votaciones!$B$2:$B$336,Explorador_Integrantes!$X$2,Votaciones!$D$2:$D$336,"Disenso restrictivo")&gt;0))</f>
        <v/>
      </c>
      <c r="E198" t="str">
        <f>IF($B198="","",--(COUNTIFS(Votaciones!$A$2:$A$336,$B198,Votaciones!$B$2:$B$336,Explorador_Integrantes!$X$2,Votaciones!$D$2:$D$336,"Disenso acomodaticio")&gt;0))</f>
        <v/>
      </c>
    </row>
    <row r="199" spans="1:5">
      <c r="A199" s="84" t="str" cm="1">
        <f t="array" ref="A199">IF(ROWS($A$2:A199)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199)-1),"")</f>
        <v/>
      </c>
      <c r="B199" t="str" cm="1">
        <f t="array" ref="B199">IF($A199="","",INDEX(Decisiones!$A$2:$A$237,MATCH(INDEX(Explorador_Integrantes!$GO$2:$GO$30,MATCH(Explorador_Integrantes!$X$2,Explorador_Integrantes!$GN$2:$GN$30,0)),Decisiones!$B$2:$B$237,0)+ROWS($A$2:A199)-1))</f>
        <v/>
      </c>
      <c r="C199" t="str" cm="1">
        <f t="array" ref="C199">IF($A199="","",INDEX(Decisiones!$H$2:$H$237,MATCH(INDEX(Explorador_Integrantes!$GO$2:$GO$30,MATCH(Explorador_Integrantes!$X$2,Explorador_Integrantes!$GN$2:$GN$30,0)),Decisiones!$B$2:$B$237,0)+ROWS($A$2:A199)-1))</f>
        <v/>
      </c>
      <c r="D199" t="str">
        <f>IF($B199="","",--(COUNTIFS(Votaciones!$A$2:$A$336,$B199,Votaciones!$B$2:$B$336,Explorador_Integrantes!$X$2,Votaciones!$D$2:$D$336,"Disenso restrictivo")&gt;0))</f>
        <v/>
      </c>
      <c r="E199" t="str">
        <f>IF($B199="","",--(COUNTIFS(Votaciones!$A$2:$A$336,$B199,Votaciones!$B$2:$B$336,Explorador_Integrantes!$X$2,Votaciones!$D$2:$D$336,"Disenso acomodaticio")&gt;0))</f>
        <v/>
      </c>
    </row>
    <row r="200" spans="1:5">
      <c r="A200" s="84" t="str" cm="1">
        <f t="array" ref="A200">IF(ROWS($A$2:A200)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200)-1),"")</f>
        <v/>
      </c>
      <c r="B200" t="str" cm="1">
        <f t="array" ref="B200">IF($A200="","",INDEX(Decisiones!$A$2:$A$237,MATCH(INDEX(Explorador_Integrantes!$GO$2:$GO$30,MATCH(Explorador_Integrantes!$X$2,Explorador_Integrantes!$GN$2:$GN$30,0)),Decisiones!$B$2:$B$237,0)+ROWS($A$2:A200)-1))</f>
        <v/>
      </c>
      <c r="C200" t="str" cm="1">
        <f t="array" ref="C200">IF($A200="","",INDEX(Decisiones!$H$2:$H$237,MATCH(INDEX(Explorador_Integrantes!$GO$2:$GO$30,MATCH(Explorador_Integrantes!$X$2,Explorador_Integrantes!$GN$2:$GN$30,0)),Decisiones!$B$2:$B$237,0)+ROWS($A$2:A200)-1))</f>
        <v/>
      </c>
      <c r="D200" t="str">
        <f>IF($B200="","",--(COUNTIFS(Votaciones!$A$2:$A$336,$B200,Votaciones!$B$2:$B$336,Explorador_Integrantes!$X$2,Votaciones!$D$2:$D$336,"Disenso restrictivo")&gt;0))</f>
        <v/>
      </c>
      <c r="E200" t="str">
        <f>IF($B200="","",--(COUNTIFS(Votaciones!$A$2:$A$336,$B200,Votaciones!$B$2:$B$336,Explorador_Integrantes!$X$2,Votaciones!$D$2:$D$336,"Disenso acomodaticio")&gt;0))</f>
        <v/>
      </c>
    </row>
    <row r="201" spans="1:5">
      <c r="A201" s="84" t="str" cm="1">
        <f t="array" ref="A201">IF(ROWS($A$2:A201)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201)-1),"")</f>
        <v/>
      </c>
      <c r="B201" t="str" cm="1">
        <f t="array" ref="B201">IF($A201="","",INDEX(Decisiones!$A$2:$A$237,MATCH(INDEX(Explorador_Integrantes!$GO$2:$GO$30,MATCH(Explorador_Integrantes!$X$2,Explorador_Integrantes!$GN$2:$GN$30,0)),Decisiones!$B$2:$B$237,0)+ROWS($A$2:A201)-1))</f>
        <v/>
      </c>
      <c r="C201" t="str" cm="1">
        <f t="array" ref="C201">IF($A201="","",INDEX(Decisiones!$H$2:$H$237,MATCH(INDEX(Explorador_Integrantes!$GO$2:$GO$30,MATCH(Explorador_Integrantes!$X$2,Explorador_Integrantes!$GN$2:$GN$30,0)),Decisiones!$B$2:$B$237,0)+ROWS($A$2:A201)-1))</f>
        <v/>
      </c>
      <c r="D201" t="str">
        <f>IF($B201="","",--(COUNTIFS(Votaciones!$A$2:$A$336,$B201,Votaciones!$B$2:$B$336,Explorador_Integrantes!$X$2,Votaciones!$D$2:$D$336,"Disenso restrictivo")&gt;0))</f>
        <v/>
      </c>
      <c r="E201" t="str">
        <f>IF($B201="","",--(COUNTIFS(Votaciones!$A$2:$A$336,$B201,Votaciones!$B$2:$B$336,Explorador_Integrantes!$X$2,Votaciones!$D$2:$D$336,"Disenso acomodaticio")&gt;0))</f>
        <v/>
      </c>
    </row>
    <row r="202" spans="1:5">
      <c r="A202" s="84" t="str" cm="1">
        <f t="array" ref="A202">IF(ROWS($A$2:A202)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202)-1),"")</f>
        <v/>
      </c>
      <c r="B202" t="str" cm="1">
        <f t="array" ref="B202">IF($A202="","",INDEX(Decisiones!$A$2:$A$237,MATCH(INDEX(Explorador_Integrantes!$GO$2:$GO$30,MATCH(Explorador_Integrantes!$X$2,Explorador_Integrantes!$GN$2:$GN$30,0)),Decisiones!$B$2:$B$237,0)+ROWS($A$2:A202)-1))</f>
        <v/>
      </c>
      <c r="C202" t="str" cm="1">
        <f t="array" ref="C202">IF($A202="","",INDEX(Decisiones!$H$2:$H$237,MATCH(INDEX(Explorador_Integrantes!$GO$2:$GO$30,MATCH(Explorador_Integrantes!$X$2,Explorador_Integrantes!$GN$2:$GN$30,0)),Decisiones!$B$2:$B$237,0)+ROWS($A$2:A202)-1))</f>
        <v/>
      </c>
      <c r="D202" t="str">
        <f>IF($B202="","",--(COUNTIFS(Votaciones!$A$2:$A$336,$B202,Votaciones!$B$2:$B$336,Explorador_Integrantes!$X$2,Votaciones!$D$2:$D$336,"Disenso restrictivo")&gt;0))</f>
        <v/>
      </c>
      <c r="E202" t="str">
        <f>IF($B202="","",--(COUNTIFS(Votaciones!$A$2:$A$336,$B202,Votaciones!$B$2:$B$336,Explorador_Integrantes!$X$2,Votaciones!$D$2:$D$336,"Disenso acomodaticio")&gt;0))</f>
        <v/>
      </c>
    </row>
    <row r="203" spans="1:5">
      <c r="A203" s="84" t="str" cm="1">
        <f t="array" ref="A203">IF(ROWS($A$2:A203)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203)-1),"")</f>
        <v/>
      </c>
      <c r="B203" t="str" cm="1">
        <f t="array" ref="B203">IF($A203="","",INDEX(Decisiones!$A$2:$A$237,MATCH(INDEX(Explorador_Integrantes!$GO$2:$GO$30,MATCH(Explorador_Integrantes!$X$2,Explorador_Integrantes!$GN$2:$GN$30,0)),Decisiones!$B$2:$B$237,0)+ROWS($A$2:A203)-1))</f>
        <v/>
      </c>
      <c r="C203" t="str" cm="1">
        <f t="array" ref="C203">IF($A203="","",INDEX(Decisiones!$H$2:$H$237,MATCH(INDEX(Explorador_Integrantes!$GO$2:$GO$30,MATCH(Explorador_Integrantes!$X$2,Explorador_Integrantes!$GN$2:$GN$30,0)),Decisiones!$B$2:$B$237,0)+ROWS($A$2:A203)-1))</f>
        <v/>
      </c>
      <c r="D203" t="str">
        <f>IF($B203="","",--(COUNTIFS(Votaciones!$A$2:$A$336,$B203,Votaciones!$B$2:$B$336,Explorador_Integrantes!$X$2,Votaciones!$D$2:$D$336,"Disenso restrictivo")&gt;0))</f>
        <v/>
      </c>
      <c r="E203" t="str">
        <f>IF($B203="","",--(COUNTIFS(Votaciones!$A$2:$A$336,$B203,Votaciones!$B$2:$B$336,Explorador_Integrantes!$X$2,Votaciones!$D$2:$D$336,"Disenso acomodaticio")&gt;0))</f>
        <v/>
      </c>
    </row>
    <row r="204" spans="1:5">
      <c r="A204" s="84" t="str" cm="1">
        <f t="array" ref="A204">IF(ROWS($A$2:A204)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204)-1),"")</f>
        <v/>
      </c>
      <c r="B204" t="str" cm="1">
        <f t="array" ref="B204">IF($A204="","",INDEX(Decisiones!$A$2:$A$237,MATCH(INDEX(Explorador_Integrantes!$GO$2:$GO$30,MATCH(Explorador_Integrantes!$X$2,Explorador_Integrantes!$GN$2:$GN$30,0)),Decisiones!$B$2:$B$237,0)+ROWS($A$2:A204)-1))</f>
        <v/>
      </c>
      <c r="C204" t="str" cm="1">
        <f t="array" ref="C204">IF($A204="","",INDEX(Decisiones!$H$2:$H$237,MATCH(INDEX(Explorador_Integrantes!$GO$2:$GO$30,MATCH(Explorador_Integrantes!$X$2,Explorador_Integrantes!$GN$2:$GN$30,0)),Decisiones!$B$2:$B$237,0)+ROWS($A$2:A204)-1))</f>
        <v/>
      </c>
      <c r="D204" t="str">
        <f>IF($B204="","",--(COUNTIFS(Votaciones!$A$2:$A$336,$B204,Votaciones!$B$2:$B$336,Explorador_Integrantes!$X$2,Votaciones!$D$2:$D$336,"Disenso restrictivo")&gt;0))</f>
        <v/>
      </c>
      <c r="E204" t="str">
        <f>IF($B204="","",--(COUNTIFS(Votaciones!$A$2:$A$336,$B204,Votaciones!$B$2:$B$336,Explorador_Integrantes!$X$2,Votaciones!$D$2:$D$336,"Disenso acomodaticio")&gt;0))</f>
        <v/>
      </c>
    </row>
    <row r="205" spans="1:5">
      <c r="A205" s="84" t="str" cm="1">
        <f t="array" ref="A205">IF(ROWS($A$2:A205)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205)-1),"")</f>
        <v/>
      </c>
      <c r="B205" t="str" cm="1">
        <f t="array" ref="B205">IF($A205="","",INDEX(Decisiones!$A$2:$A$237,MATCH(INDEX(Explorador_Integrantes!$GO$2:$GO$30,MATCH(Explorador_Integrantes!$X$2,Explorador_Integrantes!$GN$2:$GN$30,0)),Decisiones!$B$2:$B$237,0)+ROWS($A$2:A205)-1))</f>
        <v/>
      </c>
      <c r="C205" t="str" cm="1">
        <f t="array" ref="C205">IF($A205="","",INDEX(Decisiones!$H$2:$H$237,MATCH(INDEX(Explorador_Integrantes!$GO$2:$GO$30,MATCH(Explorador_Integrantes!$X$2,Explorador_Integrantes!$GN$2:$GN$30,0)),Decisiones!$B$2:$B$237,0)+ROWS($A$2:A205)-1))</f>
        <v/>
      </c>
      <c r="D205" t="str">
        <f>IF($B205="","",--(COUNTIFS(Votaciones!$A$2:$A$336,$B205,Votaciones!$B$2:$B$336,Explorador_Integrantes!$X$2,Votaciones!$D$2:$D$336,"Disenso restrictivo")&gt;0))</f>
        <v/>
      </c>
      <c r="E205" t="str">
        <f>IF($B205="","",--(COUNTIFS(Votaciones!$A$2:$A$336,$B205,Votaciones!$B$2:$B$336,Explorador_Integrantes!$X$2,Votaciones!$D$2:$D$336,"Disenso acomodaticio")&gt;0))</f>
        <v/>
      </c>
    </row>
    <row r="206" spans="1:5">
      <c r="A206" s="84" t="str" cm="1">
        <f t="array" ref="A206">IF(ROWS($A$2:A206)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206)-1),"")</f>
        <v/>
      </c>
      <c r="B206" t="str" cm="1">
        <f t="array" ref="B206">IF($A206="","",INDEX(Decisiones!$A$2:$A$237,MATCH(INDEX(Explorador_Integrantes!$GO$2:$GO$30,MATCH(Explorador_Integrantes!$X$2,Explorador_Integrantes!$GN$2:$GN$30,0)),Decisiones!$B$2:$B$237,0)+ROWS($A$2:A206)-1))</f>
        <v/>
      </c>
      <c r="C206" t="str" cm="1">
        <f t="array" ref="C206">IF($A206="","",INDEX(Decisiones!$H$2:$H$237,MATCH(INDEX(Explorador_Integrantes!$GO$2:$GO$30,MATCH(Explorador_Integrantes!$X$2,Explorador_Integrantes!$GN$2:$GN$30,0)),Decisiones!$B$2:$B$237,0)+ROWS($A$2:A206)-1))</f>
        <v/>
      </c>
      <c r="D206" t="str">
        <f>IF($B206="","",--(COUNTIFS(Votaciones!$A$2:$A$336,$B206,Votaciones!$B$2:$B$336,Explorador_Integrantes!$X$2,Votaciones!$D$2:$D$336,"Disenso restrictivo")&gt;0))</f>
        <v/>
      </c>
      <c r="E206" t="str">
        <f>IF($B206="","",--(COUNTIFS(Votaciones!$A$2:$A$336,$B206,Votaciones!$B$2:$B$336,Explorador_Integrantes!$X$2,Votaciones!$D$2:$D$336,"Disenso acomodaticio")&gt;0))</f>
        <v/>
      </c>
    </row>
    <row r="207" spans="1:5">
      <c r="A207" s="84" t="str" cm="1">
        <f t="array" ref="A207">IF(ROWS($A$2:A207)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207)-1),"")</f>
        <v/>
      </c>
      <c r="B207" t="str" cm="1">
        <f t="array" ref="B207">IF($A207="","",INDEX(Decisiones!$A$2:$A$237,MATCH(INDEX(Explorador_Integrantes!$GO$2:$GO$30,MATCH(Explorador_Integrantes!$X$2,Explorador_Integrantes!$GN$2:$GN$30,0)),Decisiones!$B$2:$B$237,0)+ROWS($A$2:A207)-1))</f>
        <v/>
      </c>
      <c r="C207" t="str" cm="1">
        <f t="array" ref="C207">IF($A207="","",INDEX(Decisiones!$H$2:$H$237,MATCH(INDEX(Explorador_Integrantes!$GO$2:$GO$30,MATCH(Explorador_Integrantes!$X$2,Explorador_Integrantes!$GN$2:$GN$30,0)),Decisiones!$B$2:$B$237,0)+ROWS($A$2:A207)-1))</f>
        <v/>
      </c>
      <c r="D207" t="str">
        <f>IF($B207="","",--(COUNTIFS(Votaciones!$A$2:$A$336,$B207,Votaciones!$B$2:$B$336,Explorador_Integrantes!$X$2,Votaciones!$D$2:$D$336,"Disenso restrictivo")&gt;0))</f>
        <v/>
      </c>
      <c r="E207" t="str">
        <f>IF($B207="","",--(COUNTIFS(Votaciones!$A$2:$A$336,$B207,Votaciones!$B$2:$B$336,Explorador_Integrantes!$X$2,Votaciones!$D$2:$D$336,"Disenso acomodaticio")&gt;0))</f>
        <v/>
      </c>
    </row>
    <row r="208" spans="1:5">
      <c r="A208" s="84" t="str" cm="1">
        <f t="array" ref="A208">IF(ROWS($A$2:A208)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208)-1),"")</f>
        <v/>
      </c>
      <c r="B208" t="str" cm="1">
        <f t="array" ref="B208">IF($A208="","",INDEX(Decisiones!$A$2:$A$237,MATCH(INDEX(Explorador_Integrantes!$GO$2:$GO$30,MATCH(Explorador_Integrantes!$X$2,Explorador_Integrantes!$GN$2:$GN$30,0)),Decisiones!$B$2:$B$237,0)+ROWS($A$2:A208)-1))</f>
        <v/>
      </c>
      <c r="C208" t="str" cm="1">
        <f t="array" ref="C208">IF($A208="","",INDEX(Decisiones!$H$2:$H$237,MATCH(INDEX(Explorador_Integrantes!$GO$2:$GO$30,MATCH(Explorador_Integrantes!$X$2,Explorador_Integrantes!$GN$2:$GN$30,0)),Decisiones!$B$2:$B$237,0)+ROWS($A$2:A208)-1))</f>
        <v/>
      </c>
      <c r="D208" t="str">
        <f>IF($B208="","",--(COUNTIFS(Votaciones!$A$2:$A$336,$B208,Votaciones!$B$2:$B$336,Explorador_Integrantes!$X$2,Votaciones!$D$2:$D$336,"Disenso restrictivo")&gt;0))</f>
        <v/>
      </c>
      <c r="E208" t="str">
        <f>IF($B208="","",--(COUNTIFS(Votaciones!$A$2:$A$336,$B208,Votaciones!$B$2:$B$336,Explorador_Integrantes!$X$2,Votaciones!$D$2:$D$336,"Disenso acomodaticio")&gt;0))</f>
        <v/>
      </c>
    </row>
    <row r="209" spans="1:5">
      <c r="A209" s="84" t="str" cm="1">
        <f t="array" ref="A209">IF(ROWS($A$2:A209)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209)-1),"")</f>
        <v/>
      </c>
      <c r="B209" t="str" cm="1">
        <f t="array" ref="B209">IF($A209="","",INDEX(Decisiones!$A$2:$A$237,MATCH(INDEX(Explorador_Integrantes!$GO$2:$GO$30,MATCH(Explorador_Integrantes!$X$2,Explorador_Integrantes!$GN$2:$GN$30,0)),Decisiones!$B$2:$B$237,0)+ROWS($A$2:A209)-1))</f>
        <v/>
      </c>
      <c r="C209" t="str" cm="1">
        <f t="array" ref="C209">IF($A209="","",INDEX(Decisiones!$H$2:$H$237,MATCH(INDEX(Explorador_Integrantes!$GO$2:$GO$30,MATCH(Explorador_Integrantes!$X$2,Explorador_Integrantes!$GN$2:$GN$30,0)),Decisiones!$B$2:$B$237,0)+ROWS($A$2:A209)-1))</f>
        <v/>
      </c>
      <c r="D209" t="str">
        <f>IF($B209="","",--(COUNTIFS(Votaciones!$A$2:$A$336,$B209,Votaciones!$B$2:$B$336,Explorador_Integrantes!$X$2,Votaciones!$D$2:$D$336,"Disenso restrictivo")&gt;0))</f>
        <v/>
      </c>
      <c r="E209" t="str">
        <f>IF($B209="","",--(COUNTIFS(Votaciones!$A$2:$A$336,$B209,Votaciones!$B$2:$B$336,Explorador_Integrantes!$X$2,Votaciones!$D$2:$D$336,"Disenso acomodaticio")&gt;0))</f>
        <v/>
      </c>
    </row>
    <row r="210" spans="1:5">
      <c r="A210" s="84" t="str" cm="1">
        <f t="array" ref="A210">IF(ROWS($A$2:A210)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210)-1),"")</f>
        <v/>
      </c>
      <c r="B210" t="str" cm="1">
        <f t="array" ref="B210">IF($A210="","",INDEX(Decisiones!$A$2:$A$237,MATCH(INDEX(Explorador_Integrantes!$GO$2:$GO$30,MATCH(Explorador_Integrantes!$X$2,Explorador_Integrantes!$GN$2:$GN$30,0)),Decisiones!$B$2:$B$237,0)+ROWS($A$2:A210)-1))</f>
        <v/>
      </c>
      <c r="C210" t="str" cm="1">
        <f t="array" ref="C210">IF($A210="","",INDEX(Decisiones!$H$2:$H$237,MATCH(INDEX(Explorador_Integrantes!$GO$2:$GO$30,MATCH(Explorador_Integrantes!$X$2,Explorador_Integrantes!$GN$2:$GN$30,0)),Decisiones!$B$2:$B$237,0)+ROWS($A$2:A210)-1))</f>
        <v/>
      </c>
      <c r="D210" t="str">
        <f>IF($B210="","",--(COUNTIFS(Votaciones!$A$2:$A$336,$B210,Votaciones!$B$2:$B$336,Explorador_Integrantes!$X$2,Votaciones!$D$2:$D$336,"Disenso restrictivo")&gt;0))</f>
        <v/>
      </c>
      <c r="E210" t="str">
        <f>IF($B210="","",--(COUNTIFS(Votaciones!$A$2:$A$336,$B210,Votaciones!$B$2:$B$336,Explorador_Integrantes!$X$2,Votaciones!$D$2:$D$336,"Disenso acomodaticio")&gt;0))</f>
        <v/>
      </c>
    </row>
    <row r="211" spans="1:5">
      <c r="A211" s="84" t="str" cm="1">
        <f t="array" ref="A211">IF(ROWS($A$2:A211)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211)-1),"")</f>
        <v/>
      </c>
      <c r="B211" t="str" cm="1">
        <f t="array" ref="B211">IF($A211="","",INDEX(Decisiones!$A$2:$A$237,MATCH(INDEX(Explorador_Integrantes!$GO$2:$GO$30,MATCH(Explorador_Integrantes!$X$2,Explorador_Integrantes!$GN$2:$GN$30,0)),Decisiones!$B$2:$B$237,0)+ROWS($A$2:A211)-1))</f>
        <v/>
      </c>
      <c r="C211" t="str" cm="1">
        <f t="array" ref="C211">IF($A211="","",INDEX(Decisiones!$H$2:$H$237,MATCH(INDEX(Explorador_Integrantes!$GO$2:$GO$30,MATCH(Explorador_Integrantes!$X$2,Explorador_Integrantes!$GN$2:$GN$30,0)),Decisiones!$B$2:$B$237,0)+ROWS($A$2:A211)-1))</f>
        <v/>
      </c>
      <c r="D211" t="str">
        <f>IF($B211="","",--(COUNTIFS(Votaciones!$A$2:$A$336,$B211,Votaciones!$B$2:$B$336,Explorador_Integrantes!$X$2,Votaciones!$D$2:$D$336,"Disenso restrictivo")&gt;0))</f>
        <v/>
      </c>
      <c r="E211" t="str">
        <f>IF($B211="","",--(COUNTIFS(Votaciones!$A$2:$A$336,$B211,Votaciones!$B$2:$B$336,Explorador_Integrantes!$X$2,Votaciones!$D$2:$D$336,"Disenso acomodaticio")&gt;0))</f>
        <v/>
      </c>
    </row>
    <row r="212" spans="1:5">
      <c r="A212" s="84" t="str" cm="1">
        <f t="array" ref="A212">IF(ROWS($A$2:A212)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212)-1),"")</f>
        <v/>
      </c>
      <c r="B212" t="str" cm="1">
        <f t="array" ref="B212">IF($A212="","",INDEX(Decisiones!$A$2:$A$237,MATCH(INDEX(Explorador_Integrantes!$GO$2:$GO$30,MATCH(Explorador_Integrantes!$X$2,Explorador_Integrantes!$GN$2:$GN$30,0)),Decisiones!$B$2:$B$237,0)+ROWS($A$2:A212)-1))</f>
        <v/>
      </c>
      <c r="C212" t="str" cm="1">
        <f t="array" ref="C212">IF($A212="","",INDEX(Decisiones!$H$2:$H$237,MATCH(INDEX(Explorador_Integrantes!$GO$2:$GO$30,MATCH(Explorador_Integrantes!$X$2,Explorador_Integrantes!$GN$2:$GN$30,0)),Decisiones!$B$2:$B$237,0)+ROWS($A$2:A212)-1))</f>
        <v/>
      </c>
      <c r="D212" t="str">
        <f>IF($B212="","",--(COUNTIFS(Votaciones!$A$2:$A$336,$B212,Votaciones!$B$2:$B$336,Explorador_Integrantes!$X$2,Votaciones!$D$2:$D$336,"Disenso restrictivo")&gt;0))</f>
        <v/>
      </c>
      <c r="E212" t="str">
        <f>IF($B212="","",--(COUNTIFS(Votaciones!$A$2:$A$336,$B212,Votaciones!$B$2:$B$336,Explorador_Integrantes!$X$2,Votaciones!$D$2:$D$336,"Disenso acomodaticio")&gt;0))</f>
        <v/>
      </c>
    </row>
    <row r="213" spans="1:5">
      <c r="A213" s="84" t="str" cm="1">
        <f t="array" ref="A213">IF(ROWS($A$2:A213)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213)-1),"")</f>
        <v/>
      </c>
      <c r="B213" t="str" cm="1">
        <f t="array" ref="B213">IF($A213="","",INDEX(Decisiones!$A$2:$A$237,MATCH(INDEX(Explorador_Integrantes!$GO$2:$GO$30,MATCH(Explorador_Integrantes!$X$2,Explorador_Integrantes!$GN$2:$GN$30,0)),Decisiones!$B$2:$B$237,0)+ROWS($A$2:A213)-1))</f>
        <v/>
      </c>
      <c r="C213" t="str" cm="1">
        <f t="array" ref="C213">IF($A213="","",INDEX(Decisiones!$H$2:$H$237,MATCH(INDEX(Explorador_Integrantes!$GO$2:$GO$30,MATCH(Explorador_Integrantes!$X$2,Explorador_Integrantes!$GN$2:$GN$30,0)),Decisiones!$B$2:$B$237,0)+ROWS($A$2:A213)-1))</f>
        <v/>
      </c>
      <c r="D213" t="str">
        <f>IF($B213="","",--(COUNTIFS(Votaciones!$A$2:$A$336,$B213,Votaciones!$B$2:$B$336,Explorador_Integrantes!$X$2,Votaciones!$D$2:$D$336,"Disenso restrictivo")&gt;0))</f>
        <v/>
      </c>
      <c r="E213" t="str">
        <f>IF($B213="","",--(COUNTIFS(Votaciones!$A$2:$A$336,$B213,Votaciones!$B$2:$B$336,Explorador_Integrantes!$X$2,Votaciones!$D$2:$D$336,"Disenso acomodaticio")&gt;0))</f>
        <v/>
      </c>
    </row>
    <row r="214" spans="1:5">
      <c r="A214" s="84" t="str" cm="1">
        <f t="array" ref="A214">IF(ROWS($A$2:A214)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214)-1),"")</f>
        <v/>
      </c>
      <c r="B214" t="str" cm="1">
        <f t="array" ref="B214">IF($A214="","",INDEX(Decisiones!$A$2:$A$237,MATCH(INDEX(Explorador_Integrantes!$GO$2:$GO$30,MATCH(Explorador_Integrantes!$X$2,Explorador_Integrantes!$GN$2:$GN$30,0)),Decisiones!$B$2:$B$237,0)+ROWS($A$2:A214)-1))</f>
        <v/>
      </c>
      <c r="C214" t="str" cm="1">
        <f t="array" ref="C214">IF($A214="","",INDEX(Decisiones!$H$2:$H$237,MATCH(INDEX(Explorador_Integrantes!$GO$2:$GO$30,MATCH(Explorador_Integrantes!$X$2,Explorador_Integrantes!$GN$2:$GN$30,0)),Decisiones!$B$2:$B$237,0)+ROWS($A$2:A214)-1))</f>
        <v/>
      </c>
      <c r="D214" t="str">
        <f>IF($B214="","",--(COUNTIFS(Votaciones!$A$2:$A$336,$B214,Votaciones!$B$2:$B$336,Explorador_Integrantes!$X$2,Votaciones!$D$2:$D$336,"Disenso restrictivo")&gt;0))</f>
        <v/>
      </c>
      <c r="E214" t="str">
        <f>IF($B214="","",--(COUNTIFS(Votaciones!$A$2:$A$336,$B214,Votaciones!$B$2:$B$336,Explorador_Integrantes!$X$2,Votaciones!$D$2:$D$336,"Disenso acomodaticio")&gt;0))</f>
        <v/>
      </c>
    </row>
    <row r="215" spans="1:5">
      <c r="A215" s="84" t="str" cm="1">
        <f t="array" ref="A215">IF(ROWS($A$2:A215)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215)-1),"")</f>
        <v/>
      </c>
      <c r="B215" t="str" cm="1">
        <f t="array" ref="B215">IF($A215="","",INDEX(Decisiones!$A$2:$A$237,MATCH(INDEX(Explorador_Integrantes!$GO$2:$GO$30,MATCH(Explorador_Integrantes!$X$2,Explorador_Integrantes!$GN$2:$GN$30,0)),Decisiones!$B$2:$B$237,0)+ROWS($A$2:A215)-1))</f>
        <v/>
      </c>
      <c r="C215" t="str" cm="1">
        <f t="array" ref="C215">IF($A215="","",INDEX(Decisiones!$H$2:$H$237,MATCH(INDEX(Explorador_Integrantes!$GO$2:$GO$30,MATCH(Explorador_Integrantes!$X$2,Explorador_Integrantes!$GN$2:$GN$30,0)),Decisiones!$B$2:$B$237,0)+ROWS($A$2:A215)-1))</f>
        <v/>
      </c>
      <c r="D215" t="str">
        <f>IF($B215="","",--(COUNTIFS(Votaciones!$A$2:$A$336,$B215,Votaciones!$B$2:$B$336,Explorador_Integrantes!$X$2,Votaciones!$D$2:$D$336,"Disenso restrictivo")&gt;0))</f>
        <v/>
      </c>
      <c r="E215" t="str">
        <f>IF($B215="","",--(COUNTIFS(Votaciones!$A$2:$A$336,$B215,Votaciones!$B$2:$B$336,Explorador_Integrantes!$X$2,Votaciones!$D$2:$D$336,"Disenso acomodaticio")&gt;0))</f>
        <v/>
      </c>
    </row>
    <row r="216" spans="1:5">
      <c r="A216" s="84" t="str" cm="1">
        <f t="array" ref="A216">IF(ROWS($A$2:A216)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216)-1),"")</f>
        <v/>
      </c>
      <c r="B216" t="str" cm="1">
        <f t="array" ref="B216">IF($A216="","",INDEX(Decisiones!$A$2:$A$237,MATCH(INDEX(Explorador_Integrantes!$GO$2:$GO$30,MATCH(Explorador_Integrantes!$X$2,Explorador_Integrantes!$GN$2:$GN$30,0)),Decisiones!$B$2:$B$237,0)+ROWS($A$2:A216)-1))</f>
        <v/>
      </c>
      <c r="C216" t="str" cm="1">
        <f t="array" ref="C216">IF($A216="","",INDEX(Decisiones!$H$2:$H$237,MATCH(INDEX(Explorador_Integrantes!$GO$2:$GO$30,MATCH(Explorador_Integrantes!$X$2,Explorador_Integrantes!$GN$2:$GN$30,0)),Decisiones!$B$2:$B$237,0)+ROWS($A$2:A216)-1))</f>
        <v/>
      </c>
      <c r="D216" t="str">
        <f>IF($B216="","",--(COUNTIFS(Votaciones!$A$2:$A$336,$B216,Votaciones!$B$2:$B$336,Explorador_Integrantes!$X$2,Votaciones!$D$2:$D$336,"Disenso restrictivo")&gt;0))</f>
        <v/>
      </c>
      <c r="E216" t="str">
        <f>IF($B216="","",--(COUNTIFS(Votaciones!$A$2:$A$336,$B216,Votaciones!$B$2:$B$336,Explorador_Integrantes!$X$2,Votaciones!$D$2:$D$336,"Disenso acomodaticio")&gt;0))</f>
        <v/>
      </c>
    </row>
    <row r="217" spans="1:5">
      <c r="A217" s="84" t="str" cm="1">
        <f t="array" ref="A217">IF(ROWS($A$2:A217)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217)-1),"")</f>
        <v/>
      </c>
      <c r="B217" t="str" cm="1">
        <f t="array" ref="B217">IF($A217="","",INDEX(Decisiones!$A$2:$A$237,MATCH(INDEX(Explorador_Integrantes!$GO$2:$GO$30,MATCH(Explorador_Integrantes!$X$2,Explorador_Integrantes!$GN$2:$GN$30,0)),Decisiones!$B$2:$B$237,0)+ROWS($A$2:A217)-1))</f>
        <v/>
      </c>
      <c r="C217" t="str" cm="1">
        <f t="array" ref="C217">IF($A217="","",INDEX(Decisiones!$H$2:$H$237,MATCH(INDEX(Explorador_Integrantes!$GO$2:$GO$30,MATCH(Explorador_Integrantes!$X$2,Explorador_Integrantes!$GN$2:$GN$30,0)),Decisiones!$B$2:$B$237,0)+ROWS($A$2:A217)-1))</f>
        <v/>
      </c>
      <c r="D217" t="str">
        <f>IF($B217="","",--(COUNTIFS(Votaciones!$A$2:$A$336,$B217,Votaciones!$B$2:$B$336,Explorador_Integrantes!$X$2,Votaciones!$D$2:$D$336,"Disenso restrictivo")&gt;0))</f>
        <v/>
      </c>
      <c r="E217" t="str">
        <f>IF($B217="","",--(COUNTIFS(Votaciones!$A$2:$A$336,$B217,Votaciones!$B$2:$B$336,Explorador_Integrantes!$X$2,Votaciones!$D$2:$D$336,"Disenso acomodaticio")&gt;0))</f>
        <v/>
      </c>
    </row>
    <row r="218" spans="1:5">
      <c r="A218" s="84" t="str" cm="1">
        <f t="array" ref="A218">IF(ROWS($A$2:A218)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218)-1),"")</f>
        <v/>
      </c>
      <c r="B218" t="str" cm="1">
        <f t="array" ref="B218">IF($A218="","",INDEX(Decisiones!$A$2:$A$237,MATCH(INDEX(Explorador_Integrantes!$GO$2:$GO$30,MATCH(Explorador_Integrantes!$X$2,Explorador_Integrantes!$GN$2:$GN$30,0)),Decisiones!$B$2:$B$237,0)+ROWS($A$2:A218)-1))</f>
        <v/>
      </c>
      <c r="C218" t="str" cm="1">
        <f t="array" ref="C218">IF($A218="","",INDEX(Decisiones!$H$2:$H$237,MATCH(INDEX(Explorador_Integrantes!$GO$2:$GO$30,MATCH(Explorador_Integrantes!$X$2,Explorador_Integrantes!$GN$2:$GN$30,0)),Decisiones!$B$2:$B$237,0)+ROWS($A$2:A218)-1))</f>
        <v/>
      </c>
      <c r="D218" t="str">
        <f>IF($B218="","",--(COUNTIFS(Votaciones!$A$2:$A$336,$B218,Votaciones!$B$2:$B$336,Explorador_Integrantes!$X$2,Votaciones!$D$2:$D$336,"Disenso restrictivo")&gt;0))</f>
        <v/>
      </c>
      <c r="E218" t="str">
        <f>IF($B218="","",--(COUNTIFS(Votaciones!$A$2:$A$336,$B218,Votaciones!$B$2:$B$336,Explorador_Integrantes!$X$2,Votaciones!$D$2:$D$336,"Disenso acomodaticio")&gt;0))</f>
        <v/>
      </c>
    </row>
    <row r="219" spans="1:5">
      <c r="A219" s="84" t="str" cm="1">
        <f t="array" ref="A219">IF(ROWS($A$2:A219)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219)-1),"")</f>
        <v/>
      </c>
      <c r="B219" t="str" cm="1">
        <f t="array" ref="B219">IF($A219="","",INDEX(Decisiones!$A$2:$A$237,MATCH(INDEX(Explorador_Integrantes!$GO$2:$GO$30,MATCH(Explorador_Integrantes!$X$2,Explorador_Integrantes!$GN$2:$GN$30,0)),Decisiones!$B$2:$B$237,0)+ROWS($A$2:A219)-1))</f>
        <v/>
      </c>
      <c r="C219" t="str" cm="1">
        <f t="array" ref="C219">IF($A219="","",INDEX(Decisiones!$H$2:$H$237,MATCH(INDEX(Explorador_Integrantes!$GO$2:$GO$30,MATCH(Explorador_Integrantes!$X$2,Explorador_Integrantes!$GN$2:$GN$30,0)),Decisiones!$B$2:$B$237,0)+ROWS($A$2:A219)-1))</f>
        <v/>
      </c>
      <c r="D219" t="str">
        <f>IF($B219="","",--(COUNTIFS(Votaciones!$A$2:$A$336,$B219,Votaciones!$B$2:$B$336,Explorador_Integrantes!$X$2,Votaciones!$D$2:$D$336,"Disenso restrictivo")&gt;0))</f>
        <v/>
      </c>
      <c r="E219" t="str">
        <f>IF($B219="","",--(COUNTIFS(Votaciones!$A$2:$A$336,$B219,Votaciones!$B$2:$B$336,Explorador_Integrantes!$X$2,Votaciones!$D$2:$D$336,"Disenso acomodaticio")&gt;0))</f>
        <v/>
      </c>
    </row>
    <row r="220" spans="1:5">
      <c r="A220" s="84" t="str" cm="1">
        <f t="array" ref="A220">IF(ROWS($A$2:A220)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220)-1),"")</f>
        <v/>
      </c>
      <c r="B220" t="str" cm="1">
        <f t="array" ref="B220">IF($A220="","",INDEX(Decisiones!$A$2:$A$237,MATCH(INDEX(Explorador_Integrantes!$GO$2:$GO$30,MATCH(Explorador_Integrantes!$X$2,Explorador_Integrantes!$GN$2:$GN$30,0)),Decisiones!$B$2:$B$237,0)+ROWS($A$2:A220)-1))</f>
        <v/>
      </c>
      <c r="C220" t="str" cm="1">
        <f t="array" ref="C220">IF($A220="","",INDEX(Decisiones!$H$2:$H$237,MATCH(INDEX(Explorador_Integrantes!$GO$2:$GO$30,MATCH(Explorador_Integrantes!$X$2,Explorador_Integrantes!$GN$2:$GN$30,0)),Decisiones!$B$2:$B$237,0)+ROWS($A$2:A220)-1))</f>
        <v/>
      </c>
      <c r="D220" t="str">
        <f>IF($B220="","",--(COUNTIFS(Votaciones!$A$2:$A$336,$B220,Votaciones!$B$2:$B$336,Explorador_Integrantes!$X$2,Votaciones!$D$2:$D$336,"Disenso restrictivo")&gt;0))</f>
        <v/>
      </c>
      <c r="E220" t="str">
        <f>IF($B220="","",--(COUNTIFS(Votaciones!$A$2:$A$336,$B220,Votaciones!$B$2:$B$336,Explorador_Integrantes!$X$2,Votaciones!$D$2:$D$336,"Disenso acomodaticio")&gt;0))</f>
        <v/>
      </c>
    </row>
    <row r="221" spans="1:5">
      <c r="A221" s="84" t="str" cm="1">
        <f t="array" ref="A221">IF(ROWS($A$2:A221)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221)-1),"")</f>
        <v/>
      </c>
      <c r="B221" t="str" cm="1">
        <f t="array" ref="B221">IF($A221="","",INDEX(Decisiones!$A$2:$A$237,MATCH(INDEX(Explorador_Integrantes!$GO$2:$GO$30,MATCH(Explorador_Integrantes!$X$2,Explorador_Integrantes!$GN$2:$GN$30,0)),Decisiones!$B$2:$B$237,0)+ROWS($A$2:A221)-1))</f>
        <v/>
      </c>
      <c r="C221" t="str" cm="1">
        <f t="array" ref="C221">IF($A221="","",INDEX(Decisiones!$H$2:$H$237,MATCH(INDEX(Explorador_Integrantes!$GO$2:$GO$30,MATCH(Explorador_Integrantes!$X$2,Explorador_Integrantes!$GN$2:$GN$30,0)),Decisiones!$B$2:$B$237,0)+ROWS($A$2:A221)-1))</f>
        <v/>
      </c>
      <c r="D221" t="str">
        <f>IF($B221="","",--(COUNTIFS(Votaciones!$A$2:$A$336,$B221,Votaciones!$B$2:$B$336,Explorador_Integrantes!$X$2,Votaciones!$D$2:$D$336,"Disenso restrictivo")&gt;0))</f>
        <v/>
      </c>
      <c r="E221" t="str">
        <f>IF($B221="","",--(COUNTIFS(Votaciones!$A$2:$A$336,$B221,Votaciones!$B$2:$B$336,Explorador_Integrantes!$X$2,Votaciones!$D$2:$D$336,"Disenso acomodaticio")&gt;0))</f>
        <v/>
      </c>
    </row>
    <row r="222" spans="1:5">
      <c r="A222" s="84" t="str" cm="1">
        <f t="array" ref="A222">IF(ROWS($A$2:A222)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222)-1),"")</f>
        <v/>
      </c>
      <c r="B222" t="str" cm="1">
        <f t="array" ref="B222">IF($A222="","",INDEX(Decisiones!$A$2:$A$237,MATCH(INDEX(Explorador_Integrantes!$GO$2:$GO$30,MATCH(Explorador_Integrantes!$X$2,Explorador_Integrantes!$GN$2:$GN$30,0)),Decisiones!$B$2:$B$237,0)+ROWS($A$2:A222)-1))</f>
        <v/>
      </c>
      <c r="C222" t="str" cm="1">
        <f t="array" ref="C222">IF($A222="","",INDEX(Decisiones!$H$2:$H$237,MATCH(INDEX(Explorador_Integrantes!$GO$2:$GO$30,MATCH(Explorador_Integrantes!$X$2,Explorador_Integrantes!$GN$2:$GN$30,0)),Decisiones!$B$2:$B$237,0)+ROWS($A$2:A222)-1))</f>
        <v/>
      </c>
      <c r="D222" t="str">
        <f>IF($B222="","",--(COUNTIFS(Votaciones!$A$2:$A$336,$B222,Votaciones!$B$2:$B$336,Explorador_Integrantes!$X$2,Votaciones!$D$2:$D$336,"Disenso restrictivo")&gt;0))</f>
        <v/>
      </c>
      <c r="E222" t="str">
        <f>IF($B222="","",--(COUNTIFS(Votaciones!$A$2:$A$336,$B222,Votaciones!$B$2:$B$336,Explorador_Integrantes!$X$2,Votaciones!$D$2:$D$336,"Disenso acomodaticio")&gt;0))</f>
        <v/>
      </c>
    </row>
    <row r="223" spans="1:5">
      <c r="A223" s="84" t="str" cm="1">
        <f t="array" ref="A223">IF(ROWS($A$2:A223)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223)-1),"")</f>
        <v/>
      </c>
      <c r="B223" t="str" cm="1">
        <f t="array" ref="B223">IF($A223="","",INDEX(Decisiones!$A$2:$A$237,MATCH(INDEX(Explorador_Integrantes!$GO$2:$GO$30,MATCH(Explorador_Integrantes!$X$2,Explorador_Integrantes!$GN$2:$GN$30,0)),Decisiones!$B$2:$B$237,0)+ROWS($A$2:A223)-1))</f>
        <v/>
      </c>
      <c r="C223" t="str" cm="1">
        <f t="array" ref="C223">IF($A223="","",INDEX(Decisiones!$H$2:$H$237,MATCH(INDEX(Explorador_Integrantes!$GO$2:$GO$30,MATCH(Explorador_Integrantes!$X$2,Explorador_Integrantes!$GN$2:$GN$30,0)),Decisiones!$B$2:$B$237,0)+ROWS($A$2:A223)-1))</f>
        <v/>
      </c>
      <c r="D223" t="str">
        <f>IF($B223="","",--(COUNTIFS(Votaciones!$A$2:$A$336,$B223,Votaciones!$B$2:$B$336,Explorador_Integrantes!$X$2,Votaciones!$D$2:$D$336,"Disenso restrictivo")&gt;0))</f>
        <v/>
      </c>
      <c r="E223" t="str">
        <f>IF($B223="","",--(COUNTIFS(Votaciones!$A$2:$A$336,$B223,Votaciones!$B$2:$B$336,Explorador_Integrantes!$X$2,Votaciones!$D$2:$D$336,"Disenso acomodaticio")&gt;0))</f>
        <v/>
      </c>
    </row>
    <row r="224" spans="1:5">
      <c r="A224" s="84" t="str" cm="1">
        <f t="array" ref="A224">IF(ROWS($A$2:A224)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224)-1),"")</f>
        <v/>
      </c>
      <c r="B224" t="str" cm="1">
        <f t="array" ref="B224">IF($A224="","",INDEX(Decisiones!$A$2:$A$237,MATCH(INDEX(Explorador_Integrantes!$GO$2:$GO$30,MATCH(Explorador_Integrantes!$X$2,Explorador_Integrantes!$GN$2:$GN$30,0)),Decisiones!$B$2:$B$237,0)+ROWS($A$2:A224)-1))</f>
        <v/>
      </c>
      <c r="C224" t="str" cm="1">
        <f t="array" ref="C224">IF($A224="","",INDEX(Decisiones!$H$2:$H$237,MATCH(INDEX(Explorador_Integrantes!$GO$2:$GO$30,MATCH(Explorador_Integrantes!$X$2,Explorador_Integrantes!$GN$2:$GN$30,0)),Decisiones!$B$2:$B$237,0)+ROWS($A$2:A224)-1))</f>
        <v/>
      </c>
      <c r="D224" t="str">
        <f>IF($B224="","",--(COUNTIFS(Votaciones!$A$2:$A$336,$B224,Votaciones!$B$2:$B$336,Explorador_Integrantes!$X$2,Votaciones!$D$2:$D$336,"Disenso restrictivo")&gt;0))</f>
        <v/>
      </c>
      <c r="E224" t="str">
        <f>IF($B224="","",--(COUNTIFS(Votaciones!$A$2:$A$336,$B224,Votaciones!$B$2:$B$336,Explorador_Integrantes!$X$2,Votaciones!$D$2:$D$336,"Disenso acomodaticio")&gt;0))</f>
        <v/>
      </c>
    </row>
    <row r="225" spans="1:5">
      <c r="A225" s="84" t="str" cm="1">
        <f t="array" ref="A225">IF(ROWS($A$2:A225)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225)-1),"")</f>
        <v/>
      </c>
      <c r="B225" t="str" cm="1">
        <f t="array" ref="B225">IF($A225="","",INDEX(Decisiones!$A$2:$A$237,MATCH(INDEX(Explorador_Integrantes!$GO$2:$GO$30,MATCH(Explorador_Integrantes!$X$2,Explorador_Integrantes!$GN$2:$GN$30,0)),Decisiones!$B$2:$B$237,0)+ROWS($A$2:A225)-1))</f>
        <v/>
      </c>
      <c r="C225" t="str" cm="1">
        <f t="array" ref="C225">IF($A225="","",INDEX(Decisiones!$H$2:$H$237,MATCH(INDEX(Explorador_Integrantes!$GO$2:$GO$30,MATCH(Explorador_Integrantes!$X$2,Explorador_Integrantes!$GN$2:$GN$30,0)),Decisiones!$B$2:$B$237,0)+ROWS($A$2:A225)-1))</f>
        <v/>
      </c>
      <c r="D225" t="str">
        <f>IF($B225="","",--(COUNTIFS(Votaciones!$A$2:$A$336,$B225,Votaciones!$B$2:$B$336,Explorador_Integrantes!$X$2,Votaciones!$D$2:$D$336,"Disenso restrictivo")&gt;0))</f>
        <v/>
      </c>
      <c r="E225" t="str">
        <f>IF($B225="","",--(COUNTIFS(Votaciones!$A$2:$A$336,$B225,Votaciones!$B$2:$B$336,Explorador_Integrantes!$X$2,Votaciones!$D$2:$D$336,"Disenso acomodaticio")&gt;0))</f>
        <v/>
      </c>
    </row>
    <row r="226" spans="1:5">
      <c r="A226" s="84" t="str" cm="1">
        <f t="array" ref="A226">IF(ROWS($A$2:A226)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226)-1),"")</f>
        <v/>
      </c>
      <c r="B226" t="str" cm="1">
        <f t="array" ref="B226">IF($A226="","",INDEX(Decisiones!$A$2:$A$237,MATCH(INDEX(Explorador_Integrantes!$GO$2:$GO$30,MATCH(Explorador_Integrantes!$X$2,Explorador_Integrantes!$GN$2:$GN$30,0)),Decisiones!$B$2:$B$237,0)+ROWS($A$2:A226)-1))</f>
        <v/>
      </c>
      <c r="C226" t="str" cm="1">
        <f t="array" ref="C226">IF($A226="","",INDEX(Decisiones!$H$2:$H$237,MATCH(INDEX(Explorador_Integrantes!$GO$2:$GO$30,MATCH(Explorador_Integrantes!$X$2,Explorador_Integrantes!$GN$2:$GN$30,0)),Decisiones!$B$2:$B$237,0)+ROWS($A$2:A226)-1))</f>
        <v/>
      </c>
      <c r="D226" t="str">
        <f>IF($B226="","",--(COUNTIFS(Votaciones!$A$2:$A$336,$B226,Votaciones!$B$2:$B$336,Explorador_Integrantes!$X$2,Votaciones!$D$2:$D$336,"Disenso restrictivo")&gt;0))</f>
        <v/>
      </c>
      <c r="E226" t="str">
        <f>IF($B226="","",--(COUNTIFS(Votaciones!$A$2:$A$336,$B226,Votaciones!$B$2:$B$336,Explorador_Integrantes!$X$2,Votaciones!$D$2:$D$336,"Disenso acomodaticio")&gt;0))</f>
        <v/>
      </c>
    </row>
    <row r="227" spans="1:5">
      <c r="A227" s="84" t="str" cm="1">
        <f t="array" ref="A227">IF(ROWS($A$2:A227)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227)-1),"")</f>
        <v/>
      </c>
      <c r="B227" t="str" cm="1">
        <f t="array" ref="B227">IF($A227="","",INDEX(Decisiones!$A$2:$A$237,MATCH(INDEX(Explorador_Integrantes!$GO$2:$GO$30,MATCH(Explorador_Integrantes!$X$2,Explorador_Integrantes!$GN$2:$GN$30,0)),Decisiones!$B$2:$B$237,0)+ROWS($A$2:A227)-1))</f>
        <v/>
      </c>
      <c r="C227" t="str" cm="1">
        <f t="array" ref="C227">IF($A227="","",INDEX(Decisiones!$H$2:$H$237,MATCH(INDEX(Explorador_Integrantes!$GO$2:$GO$30,MATCH(Explorador_Integrantes!$X$2,Explorador_Integrantes!$GN$2:$GN$30,0)),Decisiones!$B$2:$B$237,0)+ROWS($A$2:A227)-1))</f>
        <v/>
      </c>
      <c r="D227" t="str">
        <f>IF($B227="","",--(COUNTIFS(Votaciones!$A$2:$A$336,$B227,Votaciones!$B$2:$B$336,Explorador_Integrantes!$X$2,Votaciones!$D$2:$D$336,"Disenso restrictivo")&gt;0))</f>
        <v/>
      </c>
      <c r="E227" t="str">
        <f>IF($B227="","",--(COUNTIFS(Votaciones!$A$2:$A$336,$B227,Votaciones!$B$2:$B$336,Explorador_Integrantes!$X$2,Votaciones!$D$2:$D$336,"Disenso acomodaticio")&gt;0))</f>
        <v/>
      </c>
    </row>
    <row r="228" spans="1:5">
      <c r="A228" s="84" t="str" cm="1">
        <f t="array" ref="A228">IF(ROWS($A$2:A228)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228)-1),"")</f>
        <v/>
      </c>
      <c r="B228" t="str" cm="1">
        <f t="array" ref="B228">IF($A228="","",INDEX(Decisiones!$A$2:$A$237,MATCH(INDEX(Explorador_Integrantes!$GO$2:$GO$30,MATCH(Explorador_Integrantes!$X$2,Explorador_Integrantes!$GN$2:$GN$30,0)),Decisiones!$B$2:$B$237,0)+ROWS($A$2:A228)-1))</f>
        <v/>
      </c>
      <c r="C228" t="str" cm="1">
        <f t="array" ref="C228">IF($A228="","",INDEX(Decisiones!$H$2:$H$237,MATCH(INDEX(Explorador_Integrantes!$GO$2:$GO$30,MATCH(Explorador_Integrantes!$X$2,Explorador_Integrantes!$GN$2:$GN$30,0)),Decisiones!$B$2:$B$237,0)+ROWS($A$2:A228)-1))</f>
        <v/>
      </c>
      <c r="D228" t="str">
        <f>IF($B228="","",--(COUNTIFS(Votaciones!$A$2:$A$336,$B228,Votaciones!$B$2:$B$336,Explorador_Integrantes!$X$2,Votaciones!$D$2:$D$336,"Disenso restrictivo")&gt;0))</f>
        <v/>
      </c>
      <c r="E228" t="str">
        <f>IF($B228="","",--(COUNTIFS(Votaciones!$A$2:$A$336,$B228,Votaciones!$B$2:$B$336,Explorador_Integrantes!$X$2,Votaciones!$D$2:$D$336,"Disenso acomodaticio")&gt;0))</f>
        <v/>
      </c>
    </row>
    <row r="229" spans="1:5">
      <c r="A229" s="84" t="str" cm="1">
        <f t="array" ref="A229">IF(ROWS($A$2:A229)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229)-1),"")</f>
        <v/>
      </c>
      <c r="B229" t="str" cm="1">
        <f t="array" ref="B229">IF($A229="","",INDEX(Decisiones!$A$2:$A$237,MATCH(INDEX(Explorador_Integrantes!$GO$2:$GO$30,MATCH(Explorador_Integrantes!$X$2,Explorador_Integrantes!$GN$2:$GN$30,0)),Decisiones!$B$2:$B$237,0)+ROWS($A$2:A229)-1))</f>
        <v/>
      </c>
      <c r="C229" t="str" cm="1">
        <f t="array" ref="C229">IF($A229="","",INDEX(Decisiones!$H$2:$H$237,MATCH(INDEX(Explorador_Integrantes!$GO$2:$GO$30,MATCH(Explorador_Integrantes!$X$2,Explorador_Integrantes!$GN$2:$GN$30,0)),Decisiones!$B$2:$B$237,0)+ROWS($A$2:A229)-1))</f>
        <v/>
      </c>
      <c r="D229" t="str">
        <f>IF($B229="","",--(COUNTIFS(Votaciones!$A$2:$A$336,$B229,Votaciones!$B$2:$B$336,Explorador_Integrantes!$X$2,Votaciones!$D$2:$D$336,"Disenso restrictivo")&gt;0))</f>
        <v/>
      </c>
      <c r="E229" t="str">
        <f>IF($B229="","",--(COUNTIFS(Votaciones!$A$2:$A$336,$B229,Votaciones!$B$2:$B$336,Explorador_Integrantes!$X$2,Votaciones!$D$2:$D$336,"Disenso acomodaticio")&gt;0))</f>
        <v/>
      </c>
    </row>
    <row r="230" spans="1:5">
      <c r="A230" s="84" t="str" cm="1">
        <f t="array" ref="A230">IF(ROWS($A$2:A230)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230)-1),"")</f>
        <v/>
      </c>
      <c r="B230" t="str" cm="1">
        <f t="array" ref="B230">IF($A230="","",INDEX(Decisiones!$A$2:$A$237,MATCH(INDEX(Explorador_Integrantes!$GO$2:$GO$30,MATCH(Explorador_Integrantes!$X$2,Explorador_Integrantes!$GN$2:$GN$30,0)),Decisiones!$B$2:$B$237,0)+ROWS($A$2:A230)-1))</f>
        <v/>
      </c>
      <c r="C230" t="str" cm="1">
        <f t="array" ref="C230">IF($A230="","",INDEX(Decisiones!$H$2:$H$237,MATCH(INDEX(Explorador_Integrantes!$GO$2:$GO$30,MATCH(Explorador_Integrantes!$X$2,Explorador_Integrantes!$GN$2:$GN$30,0)),Decisiones!$B$2:$B$237,0)+ROWS($A$2:A230)-1))</f>
        <v/>
      </c>
      <c r="D230" t="str">
        <f>IF($B230="","",--(COUNTIFS(Votaciones!$A$2:$A$336,$B230,Votaciones!$B$2:$B$336,Explorador_Integrantes!$X$2,Votaciones!$D$2:$D$336,"Disenso restrictivo")&gt;0))</f>
        <v/>
      </c>
      <c r="E230" t="str">
        <f>IF($B230="","",--(COUNTIFS(Votaciones!$A$2:$A$336,$B230,Votaciones!$B$2:$B$336,Explorador_Integrantes!$X$2,Votaciones!$D$2:$D$336,"Disenso acomodaticio")&gt;0))</f>
        <v/>
      </c>
    </row>
    <row r="231" spans="1:5">
      <c r="A231" s="84" t="str" cm="1">
        <f t="array" ref="A231">IF(ROWS($A$2:A231)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231)-1),"")</f>
        <v/>
      </c>
      <c r="B231" t="str" cm="1">
        <f t="array" ref="B231">IF($A231="","",INDEX(Decisiones!$A$2:$A$237,MATCH(INDEX(Explorador_Integrantes!$GO$2:$GO$30,MATCH(Explorador_Integrantes!$X$2,Explorador_Integrantes!$GN$2:$GN$30,0)),Decisiones!$B$2:$B$237,0)+ROWS($A$2:A231)-1))</f>
        <v/>
      </c>
      <c r="C231" t="str" cm="1">
        <f t="array" ref="C231">IF($A231="","",INDEX(Decisiones!$H$2:$H$237,MATCH(INDEX(Explorador_Integrantes!$GO$2:$GO$30,MATCH(Explorador_Integrantes!$X$2,Explorador_Integrantes!$GN$2:$GN$30,0)),Decisiones!$B$2:$B$237,0)+ROWS($A$2:A231)-1))</f>
        <v/>
      </c>
      <c r="D231" t="str">
        <f>IF($B231="","",--(COUNTIFS(Votaciones!$A$2:$A$336,$B231,Votaciones!$B$2:$B$336,Explorador_Integrantes!$X$2,Votaciones!$D$2:$D$336,"Disenso restrictivo")&gt;0))</f>
        <v/>
      </c>
      <c r="E231" t="str">
        <f>IF($B231="","",--(COUNTIFS(Votaciones!$A$2:$A$336,$B231,Votaciones!$B$2:$B$336,Explorador_Integrantes!$X$2,Votaciones!$D$2:$D$336,"Disenso acomodaticio")&gt;0))</f>
        <v/>
      </c>
    </row>
    <row r="232" spans="1:5">
      <c r="A232" s="84" t="str" cm="1">
        <f t="array" ref="A232">IF(ROWS($A$2:A232)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232)-1),"")</f>
        <v/>
      </c>
      <c r="B232" t="str" cm="1">
        <f t="array" ref="B232">IF($A232="","",INDEX(Decisiones!$A$2:$A$237,MATCH(INDEX(Explorador_Integrantes!$GO$2:$GO$30,MATCH(Explorador_Integrantes!$X$2,Explorador_Integrantes!$GN$2:$GN$30,0)),Decisiones!$B$2:$B$237,0)+ROWS($A$2:A232)-1))</f>
        <v/>
      </c>
      <c r="C232" t="str" cm="1">
        <f t="array" ref="C232">IF($A232="","",INDEX(Decisiones!$H$2:$H$237,MATCH(INDEX(Explorador_Integrantes!$GO$2:$GO$30,MATCH(Explorador_Integrantes!$X$2,Explorador_Integrantes!$GN$2:$GN$30,0)),Decisiones!$B$2:$B$237,0)+ROWS($A$2:A232)-1))</f>
        <v/>
      </c>
      <c r="D232" t="str">
        <f>IF($B232="","",--(COUNTIFS(Votaciones!$A$2:$A$336,$B232,Votaciones!$B$2:$B$336,Explorador_Integrantes!$X$2,Votaciones!$D$2:$D$336,"Disenso restrictivo")&gt;0))</f>
        <v/>
      </c>
      <c r="E232" t="str">
        <f>IF($B232="","",--(COUNTIFS(Votaciones!$A$2:$A$336,$B232,Votaciones!$B$2:$B$336,Explorador_Integrantes!$X$2,Votaciones!$D$2:$D$336,"Disenso acomodaticio")&gt;0))</f>
        <v/>
      </c>
    </row>
    <row r="233" spans="1:5">
      <c r="A233" s="84" t="str" cm="1">
        <f t="array" ref="A233">IF(ROWS($A$2:A233)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233)-1),"")</f>
        <v/>
      </c>
      <c r="B233" t="str" cm="1">
        <f t="array" ref="B233">IF($A233="","",INDEX(Decisiones!$A$2:$A$237,MATCH(INDEX(Explorador_Integrantes!$GO$2:$GO$30,MATCH(Explorador_Integrantes!$X$2,Explorador_Integrantes!$GN$2:$GN$30,0)),Decisiones!$B$2:$B$237,0)+ROWS($A$2:A233)-1))</f>
        <v/>
      </c>
      <c r="C233" t="str" cm="1">
        <f t="array" ref="C233">IF($A233="","",INDEX(Decisiones!$H$2:$H$237,MATCH(INDEX(Explorador_Integrantes!$GO$2:$GO$30,MATCH(Explorador_Integrantes!$X$2,Explorador_Integrantes!$GN$2:$GN$30,0)),Decisiones!$B$2:$B$237,0)+ROWS($A$2:A233)-1))</f>
        <v/>
      </c>
      <c r="D233" t="str">
        <f>IF($B233="","",--(COUNTIFS(Votaciones!$A$2:$A$336,$B233,Votaciones!$B$2:$B$336,Explorador_Integrantes!$X$2,Votaciones!$D$2:$D$336,"Disenso restrictivo")&gt;0))</f>
        <v/>
      </c>
      <c r="E233" t="str">
        <f>IF($B233="","",--(COUNTIFS(Votaciones!$A$2:$A$336,$B233,Votaciones!$B$2:$B$336,Explorador_Integrantes!$X$2,Votaciones!$D$2:$D$336,"Disenso acomodaticio")&gt;0))</f>
        <v/>
      </c>
    </row>
    <row r="234" spans="1:5">
      <c r="A234" s="84" t="str" cm="1">
        <f t="array" ref="A234">IF(ROWS($A$2:A234)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234)-1),"")</f>
        <v/>
      </c>
      <c r="B234" t="str" cm="1">
        <f t="array" ref="B234">IF($A234="","",INDEX(Decisiones!$A$2:$A$237,MATCH(INDEX(Explorador_Integrantes!$GO$2:$GO$30,MATCH(Explorador_Integrantes!$X$2,Explorador_Integrantes!$GN$2:$GN$30,0)),Decisiones!$B$2:$B$237,0)+ROWS($A$2:A234)-1))</f>
        <v/>
      </c>
      <c r="C234" t="str" cm="1">
        <f t="array" ref="C234">IF($A234="","",INDEX(Decisiones!$H$2:$H$237,MATCH(INDEX(Explorador_Integrantes!$GO$2:$GO$30,MATCH(Explorador_Integrantes!$X$2,Explorador_Integrantes!$GN$2:$GN$30,0)),Decisiones!$B$2:$B$237,0)+ROWS($A$2:A234)-1))</f>
        <v/>
      </c>
      <c r="D234" t="str">
        <f>IF($B234="","",--(COUNTIFS(Votaciones!$A$2:$A$336,$B234,Votaciones!$B$2:$B$336,Explorador_Integrantes!$X$2,Votaciones!$D$2:$D$336,"Disenso restrictivo")&gt;0))</f>
        <v/>
      </c>
      <c r="E234" t="str">
        <f>IF($B234="","",--(COUNTIFS(Votaciones!$A$2:$A$336,$B234,Votaciones!$B$2:$B$336,Explorador_Integrantes!$X$2,Votaciones!$D$2:$D$336,"Disenso acomodaticio")&gt;0))</f>
        <v/>
      </c>
    </row>
    <row r="235" spans="1:5">
      <c r="A235" s="84" t="str" cm="1">
        <f t="array" ref="A235">IF(ROWS($A$2:A235)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235)-1),"")</f>
        <v/>
      </c>
      <c r="B235" t="str" cm="1">
        <f t="array" ref="B235">IF($A235="","",INDEX(Decisiones!$A$2:$A$237,MATCH(INDEX(Explorador_Integrantes!$GO$2:$GO$30,MATCH(Explorador_Integrantes!$X$2,Explorador_Integrantes!$GN$2:$GN$30,0)),Decisiones!$B$2:$B$237,0)+ROWS($A$2:A235)-1))</f>
        <v/>
      </c>
      <c r="C235" t="str" cm="1">
        <f t="array" ref="C235">IF($A235="","",INDEX(Decisiones!$H$2:$H$237,MATCH(INDEX(Explorador_Integrantes!$GO$2:$GO$30,MATCH(Explorador_Integrantes!$X$2,Explorador_Integrantes!$GN$2:$GN$30,0)),Decisiones!$B$2:$B$237,0)+ROWS($A$2:A235)-1))</f>
        <v/>
      </c>
      <c r="D235" t="str">
        <f>IF($B235="","",--(COUNTIFS(Votaciones!$A$2:$A$336,$B235,Votaciones!$B$2:$B$336,Explorador_Integrantes!$X$2,Votaciones!$D$2:$D$336,"Disenso restrictivo")&gt;0))</f>
        <v/>
      </c>
      <c r="E235" t="str">
        <f>IF($B235="","",--(COUNTIFS(Votaciones!$A$2:$A$336,$B235,Votaciones!$B$2:$B$336,Explorador_Integrantes!$X$2,Votaciones!$D$2:$D$336,"Disenso acomodaticio")&gt;0))</f>
        <v/>
      </c>
    </row>
    <row r="236" spans="1:5">
      <c r="A236" s="84" t="str" cm="1">
        <f t="array" ref="A236">IF(ROWS($A$2:A236)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236)-1),"")</f>
        <v/>
      </c>
      <c r="B236" t="str" cm="1">
        <f t="array" ref="B236">IF($A236="","",INDEX(Decisiones!$A$2:$A$237,MATCH(INDEX(Explorador_Integrantes!$GO$2:$GO$30,MATCH(Explorador_Integrantes!$X$2,Explorador_Integrantes!$GN$2:$GN$30,0)),Decisiones!$B$2:$B$237,0)+ROWS($A$2:A236)-1))</f>
        <v/>
      </c>
      <c r="C236" t="str" cm="1">
        <f t="array" ref="C236">IF($A236="","",INDEX(Decisiones!$H$2:$H$237,MATCH(INDEX(Explorador_Integrantes!$GO$2:$GO$30,MATCH(Explorador_Integrantes!$X$2,Explorador_Integrantes!$GN$2:$GN$30,0)),Decisiones!$B$2:$B$237,0)+ROWS($A$2:A236)-1))</f>
        <v/>
      </c>
      <c r="D236" t="str">
        <f>IF($B236="","",--(COUNTIFS(Votaciones!$A$2:$A$336,$B236,Votaciones!$B$2:$B$336,Explorador_Integrantes!$X$2,Votaciones!$D$2:$D$336,"Disenso restrictivo")&gt;0))</f>
        <v/>
      </c>
      <c r="E236" t="str">
        <f>IF($B236="","",--(COUNTIFS(Votaciones!$A$2:$A$336,$B236,Votaciones!$B$2:$B$336,Explorador_Integrantes!$X$2,Votaciones!$D$2:$D$336,"Disenso acomodaticio")&gt;0))</f>
        <v/>
      </c>
    </row>
    <row r="237" spans="1:5">
      <c r="A237" s="84" t="str" cm="1">
        <f t="array" ref="A237">IF(ROWS($A$2:A237)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237)-1),"")</f>
        <v/>
      </c>
      <c r="B237" t="str" cm="1">
        <f t="array" ref="B237">IF($A237="","",INDEX(Decisiones!$A$2:$A$237,MATCH(INDEX(Explorador_Integrantes!$GO$2:$GO$30,MATCH(Explorador_Integrantes!$X$2,Explorador_Integrantes!$GN$2:$GN$30,0)),Decisiones!$B$2:$B$237,0)+ROWS($A$2:A237)-1))</f>
        <v/>
      </c>
      <c r="C237" t="str" cm="1">
        <f t="array" ref="C237">IF($A237="","",INDEX(Decisiones!$H$2:$H$237,MATCH(INDEX(Explorador_Integrantes!$GO$2:$GO$30,MATCH(Explorador_Integrantes!$X$2,Explorador_Integrantes!$GN$2:$GN$30,0)),Decisiones!$B$2:$B$237,0)+ROWS($A$2:A237)-1))</f>
        <v/>
      </c>
      <c r="D237" t="str">
        <f>IF($B237="","",--(COUNTIFS(Votaciones!$A$2:$A$336,$B237,Votaciones!$B$2:$B$336,Explorador_Integrantes!$X$2,Votaciones!$D$2:$D$336,"Disenso restrictivo")&gt;0))</f>
        <v/>
      </c>
      <c r="E237" t="str">
        <f>IF($B237="","",--(COUNTIFS(Votaciones!$A$2:$A$336,$B237,Votaciones!$B$2:$B$336,Explorador_Integrantes!$X$2,Votaciones!$D$2:$D$336,"Disenso acomodaticio")&gt;0))</f>
        <v/>
      </c>
    </row>
    <row r="238" spans="1:5">
      <c r="A238" s="87">
        <v>46240</v>
      </c>
      <c r="B238" t="s">
        <v>1143</v>
      </c>
      <c r="C238">
        <v>6.5</v>
      </c>
      <c r="D238">
        <v>0</v>
      </c>
      <c r="E238">
        <v>0</v>
      </c>
    </row>
    <row r="239" spans="1:5">
      <c r="A239" s="94">
        <v>46289</v>
      </c>
      <c r="B239" t="s">
        <v>1176</v>
      </c>
      <c r="C239">
        <v>6.5</v>
      </c>
      <c r="D239">
        <v>0</v>
      </c>
      <c r="E23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9"/>
  <sheetViews>
    <sheetView showGridLines="0" workbookViewId="0"/>
  </sheetViews>
  <sheetFormatPr defaultRowHeight="13.8"/>
  <cols>
    <col min="1" max="1" width="16" customWidth="1"/>
    <col min="2" max="2" width="18" customWidth="1"/>
    <col min="3" max="4" width="17" customWidth="1"/>
    <col min="5" max="6" width="18" customWidth="1"/>
  </cols>
  <sheetData>
    <row r="1" spans="1:6" ht="25.95" customHeight="1">
      <c r="A1" s="71" t="s">
        <v>871</v>
      </c>
      <c r="B1" s="71" t="s">
        <v>0</v>
      </c>
      <c r="C1" s="71" t="s">
        <v>1139</v>
      </c>
      <c r="D1" s="71" t="s">
        <v>1142</v>
      </c>
      <c r="E1" s="71" t="s">
        <v>1140</v>
      </c>
      <c r="F1" s="71" t="s">
        <v>1141</v>
      </c>
    </row>
    <row r="2" spans="1:6">
      <c r="A2" s="72">
        <f>Decisiones!B2</f>
        <v>36543</v>
      </c>
      <c r="B2" s="75" t="str">
        <f>Decisiones!A2</f>
        <v>D20000118</v>
      </c>
      <c r="C2" s="78">
        <f>Decisiones!H2</f>
        <v>0</v>
      </c>
      <c r="D2" s="79">
        <f>Decisiones!G2</f>
        <v>0</v>
      </c>
      <c r="E2" s="79">
        <f>COUNTIFS(Votaciones!$A$2:$A$336,B2,Votaciones!$D$2:$D$336,"Disenso restrictivo")</f>
        <v>0</v>
      </c>
      <c r="F2" s="79">
        <f>COUNTIFS(Votaciones!$A$2:$A$336,B2,Votaciones!$D$2:$D$336,"Disenso acomodaticio")</f>
        <v>0</v>
      </c>
    </row>
    <row r="3" spans="1:6">
      <c r="A3" s="73">
        <f>Decisiones!B3</f>
        <v>36662</v>
      </c>
      <c r="B3" s="76" t="str">
        <f>Decisiones!A3</f>
        <v>D20000516</v>
      </c>
      <c r="C3" s="80">
        <f>Decisiones!H3</f>
        <v>0</v>
      </c>
      <c r="D3" s="81">
        <f>Decisiones!G3</f>
        <v>0</v>
      </c>
      <c r="E3" s="81">
        <f>COUNTIFS(Votaciones!$A$2:$A$336,B3,Votaciones!$D$2:$D$336,"Disenso restrictivo")</f>
        <v>0</v>
      </c>
      <c r="F3" s="81">
        <f>COUNTIFS(Votaciones!$A$2:$A$336,B3,Votaciones!$D$2:$D$336,"Disenso acomodaticio")</f>
        <v>0</v>
      </c>
    </row>
    <row r="4" spans="1:6">
      <c r="A4" s="73">
        <f>Decisiones!B4</f>
        <v>36703</v>
      </c>
      <c r="B4" s="76" t="str">
        <f>Decisiones!A4</f>
        <v>D20000626</v>
      </c>
      <c r="C4" s="80">
        <f>Decisiones!H4</f>
        <v>0</v>
      </c>
      <c r="D4" s="81">
        <f>Decisiones!G4</f>
        <v>0</v>
      </c>
      <c r="E4" s="81">
        <f>COUNTIFS(Votaciones!$A$2:$A$336,B4,Votaciones!$D$2:$D$336,"Disenso restrictivo")</f>
        <v>0</v>
      </c>
      <c r="F4" s="81">
        <f>COUNTIFS(Votaciones!$A$2:$A$336,B4,Votaciones!$D$2:$D$336,"Disenso acomodaticio")</f>
        <v>0</v>
      </c>
    </row>
    <row r="5" spans="1:6">
      <c r="A5" s="73">
        <f>Decisiones!B5</f>
        <v>36738</v>
      </c>
      <c r="B5" s="76" t="str">
        <f>Decisiones!A5</f>
        <v>D20000731</v>
      </c>
      <c r="C5" s="80">
        <f>Decisiones!H5</f>
        <v>0</v>
      </c>
      <c r="D5" s="81">
        <f>Decisiones!G5</f>
        <v>0</v>
      </c>
      <c r="E5" s="81">
        <f>COUNTIFS(Votaciones!$A$2:$A$336,B5,Votaciones!$D$2:$D$336,"Disenso restrictivo")</f>
        <v>0</v>
      </c>
      <c r="F5" s="81">
        <f>COUNTIFS(Votaciones!$A$2:$A$336,B5,Votaciones!$D$2:$D$336,"Disenso acomodaticio")</f>
        <v>0</v>
      </c>
    </row>
    <row r="6" spans="1:6">
      <c r="A6" s="73">
        <f>Decisiones!B6</f>
        <v>36816</v>
      </c>
      <c r="B6" s="76" t="str">
        <f>Decisiones!A6</f>
        <v>D20001017</v>
      </c>
      <c r="C6" s="80">
        <f>Decisiones!H6</f>
        <v>0</v>
      </c>
      <c r="D6" s="81">
        <f>Decisiones!G6</f>
        <v>0</v>
      </c>
      <c r="E6" s="81">
        <f>COUNTIFS(Votaciones!$A$2:$A$336,B6,Votaciones!$D$2:$D$336,"Disenso restrictivo")</f>
        <v>0</v>
      </c>
      <c r="F6" s="81">
        <f>COUNTIFS(Votaciones!$A$2:$A$336,B6,Votaciones!$D$2:$D$336,"Disenso acomodaticio")</f>
        <v>0</v>
      </c>
    </row>
    <row r="7" spans="1:6">
      <c r="A7" s="73">
        <f>Decisiones!B7</f>
        <v>36840</v>
      </c>
      <c r="B7" s="76" t="str">
        <f>Decisiones!A7</f>
        <v>D20001110</v>
      </c>
      <c r="C7" s="80">
        <f>Decisiones!H7</f>
        <v>0</v>
      </c>
      <c r="D7" s="81">
        <f>Decisiones!G7</f>
        <v>0</v>
      </c>
      <c r="E7" s="81">
        <f>COUNTIFS(Votaciones!$A$2:$A$336,B7,Votaciones!$D$2:$D$336,"Disenso restrictivo")</f>
        <v>0</v>
      </c>
      <c r="F7" s="81">
        <f>COUNTIFS(Votaciones!$A$2:$A$336,B7,Votaciones!$D$2:$D$336,"Disenso acomodaticio")</f>
        <v>0</v>
      </c>
    </row>
    <row r="8" spans="1:6">
      <c r="A8" s="73">
        <f>Decisiones!B8</f>
        <v>36903</v>
      </c>
      <c r="B8" s="76" t="str">
        <f>Decisiones!A8</f>
        <v>D20010112</v>
      </c>
      <c r="C8" s="80">
        <f>Decisiones!H8</f>
        <v>0</v>
      </c>
      <c r="D8" s="81">
        <f>Decisiones!G8</f>
        <v>0</v>
      </c>
      <c r="E8" s="81">
        <f>COUNTIFS(Votaciones!$A$2:$A$336,B8,Votaciones!$D$2:$D$336,"Disenso restrictivo")</f>
        <v>0</v>
      </c>
      <c r="F8" s="81">
        <f>COUNTIFS(Votaciones!$A$2:$A$336,B8,Votaciones!$D$2:$D$336,"Disenso acomodaticio")</f>
        <v>0</v>
      </c>
    </row>
    <row r="9" spans="1:6">
      <c r="A9" s="73">
        <f>Decisiones!B9</f>
        <v>37029</v>
      </c>
      <c r="B9" s="76" t="str">
        <f>Decisiones!A9</f>
        <v>D20010518</v>
      </c>
      <c r="C9" s="80">
        <f>Decisiones!H9</f>
        <v>0</v>
      </c>
      <c r="D9" s="81">
        <f>Decisiones!G9</f>
        <v>0</v>
      </c>
      <c r="E9" s="81">
        <f>COUNTIFS(Votaciones!$A$2:$A$336,B9,Votaciones!$D$2:$D$336,"Disenso restrictivo")</f>
        <v>0</v>
      </c>
      <c r="F9" s="81">
        <f>COUNTIFS(Votaciones!$A$2:$A$336,B9,Votaciones!$D$2:$D$336,"Disenso acomodaticio")</f>
        <v>0</v>
      </c>
    </row>
    <row r="10" spans="1:6">
      <c r="A10" s="73">
        <f>Decisiones!B10</f>
        <v>37103</v>
      </c>
      <c r="B10" s="76" t="str">
        <f>Decisiones!A10</f>
        <v>D20010731</v>
      </c>
      <c r="C10" s="80">
        <f>Decisiones!H10</f>
        <v>0</v>
      </c>
      <c r="D10" s="81">
        <f>Decisiones!G10</f>
        <v>0</v>
      </c>
      <c r="E10" s="81">
        <f>COUNTIFS(Votaciones!$A$2:$A$336,B10,Votaciones!$D$2:$D$336,"Disenso restrictivo")</f>
        <v>0</v>
      </c>
      <c r="F10" s="81">
        <f>COUNTIFS(Votaciones!$A$2:$A$336,B10,Votaciones!$D$2:$D$336,"Disenso acomodaticio")</f>
        <v>0</v>
      </c>
    </row>
    <row r="11" spans="1:6">
      <c r="A11" s="73">
        <f>Decisiones!B11</f>
        <v>37295</v>
      </c>
      <c r="B11" s="76" t="str">
        <f>Decisiones!A11</f>
        <v>D20020208</v>
      </c>
      <c r="C11" s="80">
        <f>Decisiones!H11</f>
        <v>0</v>
      </c>
      <c r="D11" s="81">
        <f>Decisiones!G11</f>
        <v>0</v>
      </c>
      <c r="E11" s="81">
        <f>COUNTIFS(Votaciones!$A$2:$A$336,B11,Votaciones!$D$2:$D$336,"Disenso restrictivo")</f>
        <v>0</v>
      </c>
      <c r="F11" s="81">
        <f>COUNTIFS(Votaciones!$A$2:$A$336,B11,Votaciones!$D$2:$D$336,"Disenso acomodaticio")</f>
        <v>0</v>
      </c>
    </row>
    <row r="12" spans="1:6">
      <c r="A12" s="73">
        <f>Decisiones!B12</f>
        <v>37358</v>
      </c>
      <c r="B12" s="76" t="str">
        <f>Decisiones!A12</f>
        <v>D20020412</v>
      </c>
      <c r="C12" s="80">
        <f>Decisiones!H12</f>
        <v>0</v>
      </c>
      <c r="D12" s="81">
        <f>Decisiones!G12</f>
        <v>0</v>
      </c>
      <c r="E12" s="81">
        <f>COUNTIFS(Votaciones!$A$2:$A$336,B12,Votaciones!$D$2:$D$336,"Disenso restrictivo")</f>
        <v>0</v>
      </c>
      <c r="F12" s="81">
        <f>COUNTIFS(Votaciones!$A$2:$A$336,B12,Votaciones!$D$2:$D$336,"Disenso acomodaticio")</f>
        <v>0</v>
      </c>
    </row>
    <row r="13" spans="1:6">
      <c r="A13" s="73">
        <f>Decisiones!B13</f>
        <v>37522</v>
      </c>
      <c r="B13" s="76" t="str">
        <f>Decisiones!A13</f>
        <v>D20020923</v>
      </c>
      <c r="C13" s="80">
        <f>Decisiones!H13</f>
        <v>0</v>
      </c>
      <c r="D13" s="81">
        <f>Decisiones!G13</f>
        <v>0</v>
      </c>
      <c r="E13" s="81">
        <f>COUNTIFS(Votaciones!$A$2:$A$336,B13,Votaciones!$D$2:$D$336,"Disenso restrictivo")</f>
        <v>0</v>
      </c>
      <c r="F13" s="81">
        <f>COUNTIFS(Votaciones!$A$2:$A$336,B13,Votaciones!$D$2:$D$336,"Disenso acomodaticio")</f>
        <v>0</v>
      </c>
    </row>
    <row r="14" spans="1:6">
      <c r="A14" s="73">
        <f>Decisiones!B14</f>
        <v>37596</v>
      </c>
      <c r="B14" s="76" t="str">
        <f>Decisiones!A14</f>
        <v>D20021206</v>
      </c>
      <c r="C14" s="80">
        <f>Decisiones!H14</f>
        <v>0</v>
      </c>
      <c r="D14" s="81">
        <f>Decisiones!G14</f>
        <v>0</v>
      </c>
      <c r="E14" s="81">
        <f>COUNTIFS(Votaciones!$A$2:$A$336,B14,Votaciones!$D$2:$D$336,"Disenso restrictivo")</f>
        <v>0</v>
      </c>
      <c r="F14" s="81">
        <f>COUNTIFS(Votaciones!$A$2:$A$336,B14,Votaciones!$D$2:$D$336,"Disenso acomodaticio")</f>
        <v>0</v>
      </c>
    </row>
    <row r="15" spans="1:6">
      <c r="A15" s="73">
        <f>Decisiones!B15</f>
        <v>37631</v>
      </c>
      <c r="B15" s="76" t="str">
        <f>Decisiones!A15</f>
        <v>D20030110</v>
      </c>
      <c r="C15" s="80">
        <f>Decisiones!H15</f>
        <v>0</v>
      </c>
      <c r="D15" s="81">
        <f>Decisiones!G15</f>
        <v>0</v>
      </c>
      <c r="E15" s="81">
        <f>COUNTIFS(Votaciones!$A$2:$A$336,B15,Votaciones!$D$2:$D$336,"Disenso restrictivo")</f>
        <v>0</v>
      </c>
      <c r="F15" s="81">
        <f>COUNTIFS(Votaciones!$A$2:$A$336,B15,Votaciones!$D$2:$D$336,"Disenso acomodaticio")</f>
        <v>0</v>
      </c>
    </row>
    <row r="16" spans="1:6">
      <c r="A16" s="73">
        <f>Decisiones!B16</f>
        <v>37645</v>
      </c>
      <c r="B16" s="76" t="str">
        <f>Decisiones!A16</f>
        <v>D20030124</v>
      </c>
      <c r="C16" s="80">
        <f>Decisiones!H16</f>
        <v>0</v>
      </c>
      <c r="D16" s="81">
        <f>Decisiones!G16</f>
        <v>0</v>
      </c>
      <c r="E16" s="81">
        <f>COUNTIFS(Votaciones!$A$2:$A$336,B16,Votaciones!$D$2:$D$336,"Disenso restrictivo")</f>
        <v>0</v>
      </c>
      <c r="F16" s="81">
        <f>COUNTIFS(Votaciones!$A$2:$A$336,B16,Votaciones!$D$2:$D$336,"Disenso acomodaticio")</f>
        <v>0</v>
      </c>
    </row>
    <row r="17" spans="1:6">
      <c r="A17" s="73">
        <f>Decisiones!B17</f>
        <v>37659</v>
      </c>
      <c r="B17" s="76" t="str">
        <f>Decisiones!A17</f>
        <v>D20030207</v>
      </c>
      <c r="C17" s="80">
        <f>Decisiones!H17</f>
        <v>0</v>
      </c>
      <c r="D17" s="81">
        <f>Decisiones!G17</f>
        <v>0</v>
      </c>
      <c r="E17" s="81">
        <f>COUNTIFS(Votaciones!$A$2:$A$336,B17,Votaciones!$D$2:$D$336,"Disenso restrictivo")</f>
        <v>0</v>
      </c>
      <c r="F17" s="81">
        <f>COUNTIFS(Votaciones!$A$2:$A$336,B17,Votaciones!$D$2:$D$336,"Disenso acomodaticio")</f>
        <v>0</v>
      </c>
    </row>
    <row r="18" spans="1:6">
      <c r="A18" s="73">
        <f>Decisiones!B18</f>
        <v>37673</v>
      </c>
      <c r="B18" s="76" t="str">
        <f>Decisiones!A18</f>
        <v>D20030221</v>
      </c>
      <c r="C18" s="80">
        <f>Decisiones!H18</f>
        <v>0</v>
      </c>
      <c r="D18" s="81">
        <f>Decisiones!G18</f>
        <v>0</v>
      </c>
      <c r="E18" s="81">
        <f>COUNTIFS(Votaciones!$A$2:$A$336,B18,Votaciones!$D$2:$D$336,"Disenso restrictivo")</f>
        <v>0</v>
      </c>
      <c r="F18" s="81">
        <f>COUNTIFS(Votaciones!$A$2:$A$336,B18,Votaciones!$D$2:$D$336,"Disenso acomodaticio")</f>
        <v>0</v>
      </c>
    </row>
    <row r="19" spans="1:6">
      <c r="A19" s="73">
        <f>Decisiones!B19</f>
        <v>37708</v>
      </c>
      <c r="B19" s="76" t="str">
        <f>Decisiones!A19</f>
        <v>D20030328</v>
      </c>
      <c r="C19" s="80">
        <f>Decisiones!H19</f>
        <v>0</v>
      </c>
      <c r="D19" s="81">
        <f>Decisiones!G19</f>
        <v>0</v>
      </c>
      <c r="E19" s="81">
        <f>COUNTIFS(Votaciones!$A$2:$A$336,B19,Votaciones!$D$2:$D$336,"Disenso restrictivo")</f>
        <v>0</v>
      </c>
      <c r="F19" s="81">
        <f>COUNTIFS(Votaciones!$A$2:$A$336,B19,Votaciones!$D$2:$D$336,"Disenso acomodaticio")</f>
        <v>0</v>
      </c>
    </row>
    <row r="20" spans="1:6">
      <c r="A20" s="73">
        <f>Decisiones!B20</f>
        <v>37736</v>
      </c>
      <c r="B20" s="76" t="str">
        <f>Decisiones!A20</f>
        <v>D20030425</v>
      </c>
      <c r="C20" s="80">
        <f>Decisiones!H20</f>
        <v>0</v>
      </c>
      <c r="D20" s="81">
        <f>Decisiones!G20</f>
        <v>0</v>
      </c>
      <c r="E20" s="81">
        <f>COUNTIFS(Votaciones!$A$2:$A$336,B20,Votaciones!$D$2:$D$336,"Disenso restrictivo")</f>
        <v>0</v>
      </c>
      <c r="F20" s="81">
        <f>COUNTIFS(Votaciones!$A$2:$A$336,B20,Votaciones!$D$2:$D$336,"Disenso acomodaticio")</f>
        <v>0</v>
      </c>
    </row>
    <row r="21" spans="1:6">
      <c r="A21" s="73">
        <f>Decisiones!B21</f>
        <v>37764</v>
      </c>
      <c r="B21" s="76" t="str">
        <f>Decisiones!A21</f>
        <v>D20030523</v>
      </c>
      <c r="C21" s="80">
        <f>Decisiones!H21</f>
        <v>0</v>
      </c>
      <c r="D21" s="81">
        <f>Decisiones!G21</f>
        <v>0</v>
      </c>
      <c r="E21" s="81">
        <f>COUNTIFS(Votaciones!$A$2:$A$336,B21,Votaciones!$D$2:$D$336,"Disenso restrictivo")</f>
        <v>0</v>
      </c>
      <c r="F21" s="81">
        <f>COUNTIFS(Votaciones!$A$2:$A$336,B21,Votaciones!$D$2:$D$336,"Disenso acomodaticio")</f>
        <v>0</v>
      </c>
    </row>
    <row r="22" spans="1:6">
      <c r="A22" s="73">
        <f>Decisiones!B22</f>
        <v>37799</v>
      </c>
      <c r="B22" s="76" t="str">
        <f>Decisiones!A22</f>
        <v>D20030627</v>
      </c>
      <c r="C22" s="80">
        <f>Decisiones!H22</f>
        <v>0</v>
      </c>
      <c r="D22" s="81">
        <f>Decisiones!G22</f>
        <v>0</v>
      </c>
      <c r="E22" s="81">
        <f>COUNTIFS(Votaciones!$A$2:$A$336,B22,Votaciones!$D$2:$D$336,"Disenso restrictivo")</f>
        <v>0</v>
      </c>
      <c r="F22" s="81">
        <f>COUNTIFS(Votaciones!$A$2:$A$336,B22,Votaciones!$D$2:$D$336,"Disenso acomodaticio")</f>
        <v>0</v>
      </c>
    </row>
    <row r="23" spans="1:6">
      <c r="A23" s="73">
        <f>Decisiones!B23</f>
        <v>37827</v>
      </c>
      <c r="B23" s="76" t="str">
        <f>Decisiones!A23</f>
        <v>D20030725</v>
      </c>
      <c r="C23" s="80">
        <f>Decisiones!H23</f>
        <v>0</v>
      </c>
      <c r="D23" s="81">
        <f>Decisiones!G23</f>
        <v>0</v>
      </c>
      <c r="E23" s="81">
        <f>COUNTIFS(Votaciones!$A$2:$A$336,B23,Votaciones!$D$2:$D$336,"Disenso restrictivo")</f>
        <v>0</v>
      </c>
      <c r="F23" s="81">
        <f>COUNTIFS(Votaciones!$A$2:$A$336,B23,Votaciones!$D$2:$D$336,"Disenso acomodaticio")</f>
        <v>0</v>
      </c>
    </row>
    <row r="24" spans="1:6">
      <c r="A24" s="73">
        <f>Decisiones!B24</f>
        <v>37855</v>
      </c>
      <c r="B24" s="76" t="str">
        <f>Decisiones!A24</f>
        <v>D20030822</v>
      </c>
      <c r="C24" s="80">
        <f>Decisiones!H24</f>
        <v>0</v>
      </c>
      <c r="D24" s="81">
        <f>Decisiones!G24</f>
        <v>0</v>
      </c>
      <c r="E24" s="81">
        <f>COUNTIFS(Votaciones!$A$2:$A$336,B24,Votaciones!$D$2:$D$336,"Disenso restrictivo")</f>
        <v>0</v>
      </c>
      <c r="F24" s="81">
        <f>COUNTIFS(Votaciones!$A$2:$A$336,B24,Votaciones!$D$2:$D$336,"Disenso acomodaticio")</f>
        <v>0</v>
      </c>
    </row>
    <row r="25" spans="1:6">
      <c r="A25" s="73">
        <f>Decisiones!B25</f>
        <v>37890</v>
      </c>
      <c r="B25" s="76" t="str">
        <f>Decisiones!A25</f>
        <v>D20030926</v>
      </c>
      <c r="C25" s="80">
        <f>Decisiones!H25</f>
        <v>0</v>
      </c>
      <c r="D25" s="81">
        <f>Decisiones!G25</f>
        <v>0</v>
      </c>
      <c r="E25" s="81">
        <f>COUNTIFS(Votaciones!$A$2:$A$336,B25,Votaciones!$D$2:$D$336,"Disenso restrictivo")</f>
        <v>0</v>
      </c>
      <c r="F25" s="81">
        <f>COUNTIFS(Votaciones!$A$2:$A$336,B25,Votaciones!$D$2:$D$336,"Disenso acomodaticio")</f>
        <v>0</v>
      </c>
    </row>
    <row r="26" spans="1:6">
      <c r="A26" s="73">
        <f>Decisiones!B26</f>
        <v>37918</v>
      </c>
      <c r="B26" s="76" t="str">
        <f>Decisiones!A26</f>
        <v>D20031024</v>
      </c>
      <c r="C26" s="80">
        <f>Decisiones!H26</f>
        <v>0</v>
      </c>
      <c r="D26" s="81">
        <f>Decisiones!G26</f>
        <v>0</v>
      </c>
      <c r="E26" s="81">
        <f>COUNTIFS(Votaciones!$A$2:$A$336,B26,Votaciones!$D$2:$D$336,"Disenso restrictivo")</f>
        <v>0</v>
      </c>
      <c r="F26" s="81">
        <f>COUNTIFS(Votaciones!$A$2:$A$336,B26,Votaciones!$D$2:$D$336,"Disenso acomodaticio")</f>
        <v>0</v>
      </c>
    </row>
    <row r="27" spans="1:6">
      <c r="A27" s="73">
        <f>Decisiones!B27</f>
        <v>37946</v>
      </c>
      <c r="B27" s="76" t="str">
        <f>Decisiones!A27</f>
        <v>D20031121</v>
      </c>
      <c r="C27" s="80">
        <f>Decisiones!H27</f>
        <v>0</v>
      </c>
      <c r="D27" s="81">
        <f>Decisiones!G27</f>
        <v>0</v>
      </c>
      <c r="E27" s="81">
        <f>COUNTIFS(Votaciones!$A$2:$A$336,B27,Votaciones!$D$2:$D$336,"Disenso restrictivo")</f>
        <v>0</v>
      </c>
      <c r="F27" s="81">
        <f>COUNTIFS(Votaciones!$A$2:$A$336,B27,Votaciones!$D$2:$D$336,"Disenso acomodaticio")</f>
        <v>0</v>
      </c>
    </row>
    <row r="28" spans="1:6">
      <c r="A28" s="73">
        <f>Decisiones!B28</f>
        <v>37966</v>
      </c>
      <c r="B28" s="76" t="str">
        <f>Decisiones!A28</f>
        <v>D20031211</v>
      </c>
      <c r="C28" s="80">
        <f>Decisiones!H28</f>
        <v>0</v>
      </c>
      <c r="D28" s="81">
        <f>Decisiones!G28</f>
        <v>0</v>
      </c>
      <c r="E28" s="81">
        <f>COUNTIFS(Votaciones!$A$2:$A$336,B28,Votaciones!$D$2:$D$336,"Disenso restrictivo")</f>
        <v>0</v>
      </c>
      <c r="F28" s="81">
        <f>COUNTIFS(Votaciones!$A$2:$A$336,B28,Votaciones!$D$2:$D$336,"Disenso acomodaticio")</f>
        <v>0</v>
      </c>
    </row>
    <row r="29" spans="1:6">
      <c r="A29" s="73">
        <f>Decisiones!B29</f>
        <v>38009</v>
      </c>
      <c r="B29" s="76" t="str">
        <f>Decisiones!A29</f>
        <v>D20040123</v>
      </c>
      <c r="C29" s="80">
        <f>Decisiones!H29</f>
        <v>0</v>
      </c>
      <c r="D29" s="81">
        <f>Decisiones!G29</f>
        <v>0</v>
      </c>
      <c r="E29" s="81">
        <f>COUNTIFS(Votaciones!$A$2:$A$336,B29,Votaciones!$D$2:$D$336,"Disenso restrictivo")</f>
        <v>0</v>
      </c>
      <c r="F29" s="81">
        <f>COUNTIFS(Votaciones!$A$2:$A$336,B29,Votaciones!$D$2:$D$336,"Disenso acomodaticio")</f>
        <v>0</v>
      </c>
    </row>
    <row r="30" spans="1:6">
      <c r="A30" s="73">
        <f>Decisiones!B30</f>
        <v>38037</v>
      </c>
      <c r="B30" s="76" t="str">
        <f>Decisiones!A30</f>
        <v>D20040220</v>
      </c>
      <c r="C30" s="80">
        <f>Decisiones!H30</f>
        <v>0</v>
      </c>
      <c r="D30" s="81">
        <f>Decisiones!G30</f>
        <v>0</v>
      </c>
      <c r="E30" s="81">
        <f>COUNTIFS(Votaciones!$A$2:$A$336,B30,Votaciones!$D$2:$D$336,"Disenso restrictivo")</f>
        <v>0</v>
      </c>
      <c r="F30" s="81">
        <f>COUNTIFS(Votaciones!$A$2:$A$336,B30,Votaciones!$D$2:$D$336,"Disenso acomodaticio")</f>
        <v>0</v>
      </c>
    </row>
    <row r="31" spans="1:6">
      <c r="A31" s="73">
        <f>Decisiones!B31</f>
        <v>38058</v>
      </c>
      <c r="B31" s="76" t="str">
        <f>Decisiones!A31</f>
        <v>D20040312</v>
      </c>
      <c r="C31" s="80">
        <f>Decisiones!H31</f>
        <v>0</v>
      </c>
      <c r="D31" s="81">
        <f>Decisiones!G31</f>
        <v>0</v>
      </c>
      <c r="E31" s="81">
        <f>COUNTIFS(Votaciones!$A$2:$A$336,B31,Votaciones!$D$2:$D$336,"Disenso restrictivo")</f>
        <v>0</v>
      </c>
      <c r="F31" s="81">
        <f>COUNTIFS(Votaciones!$A$2:$A$336,B31,Votaciones!$D$2:$D$336,"Disenso acomodaticio")</f>
        <v>0</v>
      </c>
    </row>
    <row r="32" spans="1:6">
      <c r="A32" s="73">
        <f>Decisiones!B32</f>
        <v>38072</v>
      </c>
      <c r="B32" s="76" t="str">
        <f>Decisiones!A32</f>
        <v>D20040326</v>
      </c>
      <c r="C32" s="80">
        <f>Decisiones!H32</f>
        <v>0</v>
      </c>
      <c r="D32" s="81">
        <f>Decisiones!G32</f>
        <v>0</v>
      </c>
      <c r="E32" s="81">
        <f>COUNTIFS(Votaciones!$A$2:$A$336,B32,Votaciones!$D$2:$D$336,"Disenso restrictivo")</f>
        <v>0</v>
      </c>
      <c r="F32" s="81">
        <f>COUNTIFS(Votaciones!$A$2:$A$336,B32,Votaciones!$D$2:$D$336,"Disenso acomodaticio")</f>
        <v>0</v>
      </c>
    </row>
    <row r="33" spans="1:6">
      <c r="A33" s="73">
        <f>Decisiones!B33</f>
        <v>38100</v>
      </c>
      <c r="B33" s="76" t="str">
        <f>Decisiones!A33</f>
        <v>D20040423</v>
      </c>
      <c r="C33" s="80">
        <f>Decisiones!H33</f>
        <v>0</v>
      </c>
      <c r="D33" s="81">
        <f>Decisiones!G33</f>
        <v>0</v>
      </c>
      <c r="E33" s="81">
        <f>COUNTIFS(Votaciones!$A$2:$A$336,B33,Votaciones!$D$2:$D$336,"Disenso restrictivo")</f>
        <v>0</v>
      </c>
      <c r="F33" s="81">
        <f>COUNTIFS(Votaciones!$A$2:$A$336,B33,Votaciones!$D$2:$D$336,"Disenso acomodaticio")</f>
        <v>0</v>
      </c>
    </row>
    <row r="34" spans="1:6">
      <c r="A34" s="73">
        <f>Decisiones!B34</f>
        <v>38104</v>
      </c>
      <c r="B34" s="76" t="str">
        <f>Decisiones!A34</f>
        <v>D20040427</v>
      </c>
      <c r="C34" s="80">
        <f>Decisiones!H34</f>
        <v>0</v>
      </c>
      <c r="D34" s="81">
        <f>Decisiones!G34</f>
        <v>0</v>
      </c>
      <c r="E34" s="81">
        <f>COUNTIFS(Votaciones!$A$2:$A$336,B34,Votaciones!$D$2:$D$336,"Disenso restrictivo")</f>
        <v>0</v>
      </c>
      <c r="F34" s="81">
        <f>COUNTIFS(Votaciones!$A$2:$A$336,B34,Votaciones!$D$2:$D$336,"Disenso acomodaticio")</f>
        <v>0</v>
      </c>
    </row>
    <row r="35" spans="1:6">
      <c r="A35" s="73">
        <f>Decisiones!B35</f>
        <v>38135</v>
      </c>
      <c r="B35" s="76" t="str">
        <f>Decisiones!A35</f>
        <v>D20040528</v>
      </c>
      <c r="C35" s="80">
        <f>Decisiones!H35</f>
        <v>0</v>
      </c>
      <c r="D35" s="81">
        <f>Decisiones!G35</f>
        <v>0</v>
      </c>
      <c r="E35" s="81">
        <f>COUNTIFS(Votaciones!$A$2:$A$336,B35,Votaciones!$D$2:$D$336,"Disenso restrictivo")</f>
        <v>0</v>
      </c>
      <c r="F35" s="81">
        <f>COUNTIFS(Votaciones!$A$2:$A$336,B35,Votaciones!$D$2:$D$336,"Disenso acomodaticio")</f>
        <v>0</v>
      </c>
    </row>
    <row r="36" spans="1:6">
      <c r="A36" s="73">
        <f>Decisiones!B36</f>
        <v>38163</v>
      </c>
      <c r="B36" s="76" t="str">
        <f>Decisiones!A36</f>
        <v>D20040625</v>
      </c>
      <c r="C36" s="80">
        <f>Decisiones!H36</f>
        <v>0</v>
      </c>
      <c r="D36" s="81">
        <f>Decisiones!G36</f>
        <v>0</v>
      </c>
      <c r="E36" s="81">
        <f>COUNTIFS(Votaciones!$A$2:$A$336,B36,Votaciones!$D$2:$D$336,"Disenso restrictivo")</f>
        <v>0</v>
      </c>
      <c r="F36" s="81">
        <f>COUNTIFS(Votaciones!$A$2:$A$336,B36,Votaciones!$D$2:$D$336,"Disenso acomodaticio")</f>
        <v>0</v>
      </c>
    </row>
    <row r="37" spans="1:6">
      <c r="A37" s="73">
        <f>Decisiones!B37</f>
        <v>38191</v>
      </c>
      <c r="B37" s="76" t="str">
        <f>Decisiones!A37</f>
        <v>D20040723</v>
      </c>
      <c r="C37" s="80">
        <f>Decisiones!H37</f>
        <v>0</v>
      </c>
      <c r="D37" s="81">
        <f>Decisiones!G37</f>
        <v>0</v>
      </c>
      <c r="E37" s="81">
        <f>COUNTIFS(Votaciones!$A$2:$A$336,B37,Votaciones!$D$2:$D$336,"Disenso restrictivo")</f>
        <v>0</v>
      </c>
      <c r="F37" s="81">
        <f>COUNTIFS(Votaciones!$A$2:$A$336,B37,Votaciones!$D$2:$D$336,"Disenso acomodaticio")</f>
        <v>0</v>
      </c>
    </row>
    <row r="38" spans="1:6">
      <c r="A38" s="73">
        <f>Decisiones!B38</f>
        <v>38226</v>
      </c>
      <c r="B38" s="76" t="str">
        <f>Decisiones!A38</f>
        <v>D20040827</v>
      </c>
      <c r="C38" s="80">
        <f>Decisiones!H38</f>
        <v>0</v>
      </c>
      <c r="D38" s="81">
        <f>Decisiones!G38</f>
        <v>0</v>
      </c>
      <c r="E38" s="81">
        <f>COUNTIFS(Votaciones!$A$2:$A$336,B38,Votaciones!$D$2:$D$336,"Disenso restrictivo")</f>
        <v>0</v>
      </c>
      <c r="F38" s="81">
        <f>COUNTIFS(Votaciones!$A$2:$A$336,B38,Votaciones!$D$2:$D$336,"Disenso acomodaticio")</f>
        <v>0</v>
      </c>
    </row>
    <row r="39" spans="1:6">
      <c r="A39" s="73">
        <f>Decisiones!B39</f>
        <v>38254</v>
      </c>
      <c r="B39" s="76" t="str">
        <f>Decisiones!A39</f>
        <v>D20040924</v>
      </c>
      <c r="C39" s="80">
        <f>Decisiones!H39</f>
        <v>0</v>
      </c>
      <c r="D39" s="81">
        <f>Decisiones!G39</f>
        <v>0</v>
      </c>
      <c r="E39" s="81">
        <f>COUNTIFS(Votaciones!$A$2:$A$336,B39,Votaciones!$D$2:$D$336,"Disenso restrictivo")</f>
        <v>0</v>
      </c>
      <c r="F39" s="81">
        <f>COUNTIFS(Votaciones!$A$2:$A$336,B39,Votaciones!$D$2:$D$336,"Disenso acomodaticio")</f>
        <v>0</v>
      </c>
    </row>
    <row r="40" spans="1:6">
      <c r="A40" s="73">
        <f>Decisiones!B40</f>
        <v>38282</v>
      </c>
      <c r="B40" s="76" t="str">
        <f>Decisiones!A40</f>
        <v>D20041022</v>
      </c>
      <c r="C40" s="80">
        <f>Decisiones!H40</f>
        <v>0</v>
      </c>
      <c r="D40" s="81">
        <f>Decisiones!G40</f>
        <v>0</v>
      </c>
      <c r="E40" s="81">
        <f>COUNTIFS(Votaciones!$A$2:$A$336,B40,Votaciones!$D$2:$D$336,"Disenso restrictivo")</f>
        <v>0</v>
      </c>
      <c r="F40" s="81">
        <f>COUNTIFS(Votaciones!$A$2:$A$336,B40,Votaciones!$D$2:$D$336,"Disenso acomodaticio")</f>
        <v>0</v>
      </c>
    </row>
    <row r="41" spans="1:6">
      <c r="A41" s="73">
        <f>Decisiones!B41</f>
        <v>38317</v>
      </c>
      <c r="B41" s="76" t="str">
        <f>Decisiones!A41</f>
        <v>D20041126</v>
      </c>
      <c r="C41" s="80">
        <f>Decisiones!H41</f>
        <v>0</v>
      </c>
      <c r="D41" s="81">
        <f>Decisiones!G41</f>
        <v>0</v>
      </c>
      <c r="E41" s="81">
        <f>COUNTIFS(Votaciones!$A$2:$A$336,B41,Votaciones!$D$2:$D$336,"Disenso restrictivo")</f>
        <v>0</v>
      </c>
      <c r="F41" s="81">
        <f>COUNTIFS(Votaciones!$A$2:$A$336,B41,Votaciones!$D$2:$D$336,"Disenso acomodaticio")</f>
        <v>0</v>
      </c>
    </row>
    <row r="42" spans="1:6">
      <c r="A42" s="73">
        <f>Decisiones!B42</f>
        <v>38331</v>
      </c>
      <c r="B42" s="76" t="str">
        <f>Decisiones!A42</f>
        <v>D20041210</v>
      </c>
      <c r="C42" s="80">
        <f>Decisiones!H42</f>
        <v>0</v>
      </c>
      <c r="D42" s="81">
        <f>Decisiones!G42</f>
        <v>0</v>
      </c>
      <c r="E42" s="81">
        <f>COUNTIFS(Votaciones!$A$2:$A$336,B42,Votaciones!$D$2:$D$336,"Disenso restrictivo")</f>
        <v>0</v>
      </c>
      <c r="F42" s="81">
        <f>COUNTIFS(Votaciones!$A$2:$A$336,B42,Votaciones!$D$2:$D$336,"Disenso acomodaticio")</f>
        <v>0</v>
      </c>
    </row>
    <row r="43" spans="1:6">
      <c r="A43" s="73">
        <f>Decisiones!B43</f>
        <v>38380</v>
      </c>
      <c r="B43" s="76" t="str">
        <f>Decisiones!A43</f>
        <v>D20050128</v>
      </c>
      <c r="C43" s="80">
        <f>Decisiones!H43</f>
        <v>0</v>
      </c>
      <c r="D43" s="81">
        <f>Decisiones!G43</f>
        <v>0</v>
      </c>
      <c r="E43" s="81">
        <f>COUNTIFS(Votaciones!$A$2:$A$336,B43,Votaciones!$D$2:$D$336,"Disenso restrictivo")</f>
        <v>0</v>
      </c>
      <c r="F43" s="81">
        <f>COUNTIFS(Votaciones!$A$2:$A$336,B43,Votaciones!$D$2:$D$336,"Disenso acomodaticio")</f>
        <v>0</v>
      </c>
    </row>
    <row r="44" spans="1:6">
      <c r="A44" s="73">
        <f>Decisiones!B44</f>
        <v>38408</v>
      </c>
      <c r="B44" s="76" t="str">
        <f>Decisiones!A44</f>
        <v>D20050225</v>
      </c>
      <c r="C44" s="80">
        <f>Decisiones!H44</f>
        <v>0</v>
      </c>
      <c r="D44" s="81">
        <f>Decisiones!G44</f>
        <v>0</v>
      </c>
      <c r="E44" s="81">
        <f>COUNTIFS(Votaciones!$A$2:$A$336,B44,Votaciones!$D$2:$D$336,"Disenso restrictivo")</f>
        <v>0</v>
      </c>
      <c r="F44" s="81">
        <f>COUNTIFS(Votaciones!$A$2:$A$336,B44,Votaciones!$D$2:$D$336,"Disenso acomodaticio")</f>
        <v>0</v>
      </c>
    </row>
    <row r="45" spans="1:6">
      <c r="A45" s="73">
        <f>Decisiones!B45</f>
        <v>38434</v>
      </c>
      <c r="B45" s="76" t="str">
        <f>Decisiones!A45</f>
        <v>D20050323</v>
      </c>
      <c r="C45" s="80">
        <f>Decisiones!H45</f>
        <v>0</v>
      </c>
      <c r="D45" s="81">
        <f>Decisiones!G45</f>
        <v>0</v>
      </c>
      <c r="E45" s="81">
        <f>COUNTIFS(Votaciones!$A$2:$A$336,B45,Votaciones!$D$2:$D$336,"Disenso restrictivo")</f>
        <v>0</v>
      </c>
      <c r="F45" s="81">
        <f>COUNTIFS(Votaciones!$A$2:$A$336,B45,Votaciones!$D$2:$D$336,"Disenso acomodaticio")</f>
        <v>0</v>
      </c>
    </row>
    <row r="46" spans="1:6">
      <c r="A46" s="73">
        <f>Decisiones!B46</f>
        <v>38464</v>
      </c>
      <c r="B46" s="76" t="str">
        <f>Decisiones!A46</f>
        <v>D20050422</v>
      </c>
      <c r="C46" s="80">
        <f>Decisiones!H46</f>
        <v>0</v>
      </c>
      <c r="D46" s="81">
        <f>Decisiones!G46</f>
        <v>0</v>
      </c>
      <c r="E46" s="81">
        <f>COUNTIFS(Votaciones!$A$2:$A$336,B46,Votaciones!$D$2:$D$336,"Disenso restrictivo")</f>
        <v>0</v>
      </c>
      <c r="F46" s="81">
        <f>COUNTIFS(Votaciones!$A$2:$A$336,B46,Votaciones!$D$2:$D$336,"Disenso acomodaticio")</f>
        <v>0</v>
      </c>
    </row>
    <row r="47" spans="1:6">
      <c r="A47" s="73">
        <f>Decisiones!B47</f>
        <v>38499</v>
      </c>
      <c r="B47" s="76" t="str">
        <f>Decisiones!A47</f>
        <v>D20050527</v>
      </c>
      <c r="C47" s="80">
        <f>Decisiones!H47</f>
        <v>0</v>
      </c>
      <c r="D47" s="81">
        <f>Decisiones!G47</f>
        <v>0</v>
      </c>
      <c r="E47" s="81">
        <f>COUNTIFS(Votaciones!$A$2:$A$336,B47,Votaciones!$D$2:$D$336,"Disenso restrictivo")</f>
        <v>0</v>
      </c>
      <c r="F47" s="81">
        <f>COUNTIFS(Votaciones!$A$2:$A$336,B47,Votaciones!$D$2:$D$336,"Disenso acomodaticio")</f>
        <v>0</v>
      </c>
    </row>
    <row r="48" spans="1:6">
      <c r="A48" s="73">
        <f>Decisiones!B48</f>
        <v>38527</v>
      </c>
      <c r="B48" s="76" t="str">
        <f>Decisiones!A48</f>
        <v>D20050624</v>
      </c>
      <c r="C48" s="80">
        <f>Decisiones!H48</f>
        <v>0</v>
      </c>
      <c r="D48" s="81">
        <f>Decisiones!G48</f>
        <v>0</v>
      </c>
      <c r="E48" s="81">
        <f>COUNTIFS(Votaciones!$A$2:$A$336,B48,Votaciones!$D$2:$D$336,"Disenso restrictivo")</f>
        <v>0</v>
      </c>
      <c r="F48" s="81">
        <f>COUNTIFS(Votaciones!$A$2:$A$336,B48,Votaciones!$D$2:$D$336,"Disenso acomodaticio")</f>
        <v>0</v>
      </c>
    </row>
    <row r="49" spans="1:6">
      <c r="A49" s="73">
        <f>Decisiones!B49</f>
        <v>38555</v>
      </c>
      <c r="B49" s="76" t="str">
        <f>Decisiones!A49</f>
        <v>D20050722</v>
      </c>
      <c r="C49" s="80">
        <f>Decisiones!H49</f>
        <v>0</v>
      </c>
      <c r="D49" s="81">
        <f>Decisiones!G49</f>
        <v>0</v>
      </c>
      <c r="E49" s="81">
        <f>COUNTIFS(Votaciones!$A$2:$A$336,B49,Votaciones!$D$2:$D$336,"Disenso restrictivo")</f>
        <v>0</v>
      </c>
      <c r="F49" s="81">
        <f>COUNTIFS(Votaciones!$A$2:$A$336,B49,Votaciones!$D$2:$D$336,"Disenso acomodaticio")</f>
        <v>0</v>
      </c>
    </row>
    <row r="50" spans="1:6">
      <c r="A50" s="73">
        <f>Decisiones!B50</f>
        <v>38590</v>
      </c>
      <c r="B50" s="76" t="str">
        <f>Decisiones!A50</f>
        <v>D20050826</v>
      </c>
      <c r="C50" s="80">
        <f>Decisiones!H50</f>
        <v>0</v>
      </c>
      <c r="D50" s="81">
        <f>Decisiones!G50</f>
        <v>0</v>
      </c>
      <c r="E50" s="81">
        <f>COUNTIFS(Votaciones!$A$2:$A$336,B50,Votaciones!$D$2:$D$336,"Disenso restrictivo")</f>
        <v>0</v>
      </c>
      <c r="F50" s="81">
        <f>COUNTIFS(Votaciones!$A$2:$A$336,B50,Votaciones!$D$2:$D$336,"Disenso acomodaticio")</f>
        <v>0</v>
      </c>
    </row>
    <row r="51" spans="1:6">
      <c r="A51" s="73">
        <f>Decisiones!B51</f>
        <v>38618</v>
      </c>
      <c r="B51" s="76" t="str">
        <f>Decisiones!A51</f>
        <v>D20050923</v>
      </c>
      <c r="C51" s="80">
        <f>Decisiones!H51</f>
        <v>0</v>
      </c>
      <c r="D51" s="81">
        <f>Decisiones!G51</f>
        <v>0</v>
      </c>
      <c r="E51" s="81">
        <f>COUNTIFS(Votaciones!$A$2:$A$336,B51,Votaciones!$D$2:$D$336,"Disenso restrictivo")</f>
        <v>0</v>
      </c>
      <c r="F51" s="81">
        <f>COUNTIFS(Votaciones!$A$2:$A$336,B51,Votaciones!$D$2:$D$336,"Disenso acomodaticio")</f>
        <v>0</v>
      </c>
    </row>
    <row r="52" spans="1:6">
      <c r="A52" s="73">
        <f>Decisiones!B52</f>
        <v>38653</v>
      </c>
      <c r="B52" s="76" t="str">
        <f>Decisiones!A52</f>
        <v>D20051028</v>
      </c>
      <c r="C52" s="80">
        <f>Decisiones!H52</f>
        <v>0</v>
      </c>
      <c r="D52" s="81">
        <f>Decisiones!G52</f>
        <v>0</v>
      </c>
      <c r="E52" s="81">
        <f>COUNTIFS(Votaciones!$A$2:$A$336,B52,Votaciones!$D$2:$D$336,"Disenso restrictivo")</f>
        <v>0</v>
      </c>
      <c r="F52" s="81">
        <f>COUNTIFS(Votaciones!$A$2:$A$336,B52,Votaciones!$D$2:$D$336,"Disenso acomodaticio")</f>
        <v>0</v>
      </c>
    </row>
    <row r="53" spans="1:6">
      <c r="A53" s="73">
        <f>Decisiones!B53</f>
        <v>38681</v>
      </c>
      <c r="B53" s="76" t="str">
        <f>Decisiones!A53</f>
        <v>D20051125</v>
      </c>
      <c r="C53" s="80">
        <f>Decisiones!H53</f>
        <v>0</v>
      </c>
      <c r="D53" s="81">
        <f>Decisiones!G53</f>
        <v>0</v>
      </c>
      <c r="E53" s="81">
        <f>COUNTIFS(Votaciones!$A$2:$A$336,B53,Votaciones!$D$2:$D$336,"Disenso restrictivo")</f>
        <v>0</v>
      </c>
      <c r="F53" s="81">
        <f>COUNTIFS(Votaciones!$A$2:$A$336,B53,Votaciones!$D$2:$D$336,"Disenso acomodaticio")</f>
        <v>0</v>
      </c>
    </row>
    <row r="54" spans="1:6">
      <c r="A54" s="73">
        <f>Decisiones!B54</f>
        <v>38695</v>
      </c>
      <c r="B54" s="76" t="str">
        <f>Decisiones!A54</f>
        <v>D20051209</v>
      </c>
      <c r="C54" s="80">
        <f>Decisiones!H54</f>
        <v>0</v>
      </c>
      <c r="D54" s="81">
        <f>Decisiones!G54</f>
        <v>0</v>
      </c>
      <c r="E54" s="81">
        <f>COUNTIFS(Votaciones!$A$2:$A$336,B54,Votaciones!$D$2:$D$336,"Disenso restrictivo")</f>
        <v>0</v>
      </c>
      <c r="F54" s="81">
        <f>COUNTIFS(Votaciones!$A$2:$A$336,B54,Votaciones!$D$2:$D$336,"Disenso acomodaticio")</f>
        <v>0</v>
      </c>
    </row>
    <row r="55" spans="1:6">
      <c r="A55" s="73">
        <f>Decisiones!B55</f>
        <v>38744</v>
      </c>
      <c r="B55" s="76" t="str">
        <f>Decisiones!A55</f>
        <v>D20060127</v>
      </c>
      <c r="C55" s="80">
        <f>Decisiones!H55</f>
        <v>0</v>
      </c>
      <c r="D55" s="81">
        <f>Decisiones!G55</f>
        <v>0</v>
      </c>
      <c r="E55" s="81">
        <f>COUNTIFS(Votaciones!$A$2:$A$336,B55,Votaciones!$D$2:$D$336,"Disenso restrictivo")</f>
        <v>0</v>
      </c>
      <c r="F55" s="81">
        <f>COUNTIFS(Votaciones!$A$2:$A$336,B55,Votaciones!$D$2:$D$336,"Disenso acomodaticio")</f>
        <v>0</v>
      </c>
    </row>
    <row r="56" spans="1:6">
      <c r="A56" s="73">
        <f>Decisiones!B56</f>
        <v>38772</v>
      </c>
      <c r="B56" s="76" t="str">
        <f>Decisiones!A56</f>
        <v>D20060224</v>
      </c>
      <c r="C56" s="80">
        <f>Decisiones!H56</f>
        <v>0</v>
      </c>
      <c r="D56" s="81">
        <f>Decisiones!G56</f>
        <v>0</v>
      </c>
      <c r="E56" s="81">
        <f>COUNTIFS(Votaciones!$A$2:$A$336,B56,Votaciones!$D$2:$D$336,"Disenso restrictivo")</f>
        <v>0</v>
      </c>
      <c r="F56" s="81">
        <f>COUNTIFS(Votaciones!$A$2:$A$336,B56,Votaciones!$D$2:$D$336,"Disenso acomodaticio")</f>
        <v>0</v>
      </c>
    </row>
    <row r="57" spans="1:6">
      <c r="A57" s="73">
        <f>Decisiones!B57</f>
        <v>38800</v>
      </c>
      <c r="B57" s="76" t="str">
        <f>Decisiones!A57</f>
        <v>D20060324</v>
      </c>
      <c r="C57" s="80">
        <f>Decisiones!H57</f>
        <v>0</v>
      </c>
      <c r="D57" s="81">
        <f>Decisiones!G57</f>
        <v>0</v>
      </c>
      <c r="E57" s="81">
        <f>COUNTIFS(Votaciones!$A$2:$A$336,B57,Votaciones!$D$2:$D$336,"Disenso restrictivo")</f>
        <v>0</v>
      </c>
      <c r="F57" s="81">
        <f>COUNTIFS(Votaciones!$A$2:$A$336,B57,Votaciones!$D$2:$D$336,"Disenso acomodaticio")</f>
        <v>0</v>
      </c>
    </row>
    <row r="58" spans="1:6">
      <c r="A58" s="73">
        <f>Decisiones!B58</f>
        <v>38828</v>
      </c>
      <c r="B58" s="76" t="str">
        <f>Decisiones!A58</f>
        <v>D20060421</v>
      </c>
      <c r="C58" s="80">
        <f>Decisiones!H58</f>
        <v>0</v>
      </c>
      <c r="D58" s="81">
        <f>Decisiones!G58</f>
        <v>0</v>
      </c>
      <c r="E58" s="81">
        <f>COUNTIFS(Votaciones!$A$2:$A$336,B58,Votaciones!$D$2:$D$336,"Disenso restrictivo")</f>
        <v>0</v>
      </c>
      <c r="F58" s="81">
        <f>COUNTIFS(Votaciones!$A$2:$A$336,B58,Votaciones!$D$2:$D$336,"Disenso acomodaticio")</f>
        <v>0</v>
      </c>
    </row>
    <row r="59" spans="1:6">
      <c r="A59" s="73">
        <f>Decisiones!B59</f>
        <v>38863</v>
      </c>
      <c r="B59" s="76" t="str">
        <f>Decisiones!A59</f>
        <v>D20060526</v>
      </c>
      <c r="C59" s="80">
        <f>Decisiones!H59</f>
        <v>0</v>
      </c>
      <c r="D59" s="81">
        <f>Decisiones!G59</f>
        <v>0</v>
      </c>
      <c r="E59" s="81">
        <f>COUNTIFS(Votaciones!$A$2:$A$336,B59,Votaciones!$D$2:$D$336,"Disenso restrictivo")</f>
        <v>0</v>
      </c>
      <c r="F59" s="81">
        <f>COUNTIFS(Votaciones!$A$2:$A$336,B59,Votaciones!$D$2:$D$336,"Disenso acomodaticio")</f>
        <v>0</v>
      </c>
    </row>
    <row r="60" spans="1:6">
      <c r="A60" s="73">
        <f>Decisiones!B60</f>
        <v>38891</v>
      </c>
      <c r="B60" s="76" t="str">
        <f>Decisiones!A60</f>
        <v>D20060623</v>
      </c>
      <c r="C60" s="80">
        <f>Decisiones!H60</f>
        <v>0</v>
      </c>
      <c r="D60" s="81">
        <f>Decisiones!G60</f>
        <v>0</v>
      </c>
      <c r="E60" s="81">
        <f>COUNTIFS(Votaciones!$A$2:$A$336,B60,Votaciones!$D$2:$D$336,"Disenso restrictivo")</f>
        <v>0</v>
      </c>
      <c r="F60" s="81">
        <f>COUNTIFS(Votaciones!$A$2:$A$336,B60,Votaciones!$D$2:$D$336,"Disenso acomodaticio")</f>
        <v>0</v>
      </c>
    </row>
    <row r="61" spans="1:6">
      <c r="A61" s="73">
        <f>Decisiones!B61</f>
        <v>38926</v>
      </c>
      <c r="B61" s="76" t="str">
        <f>Decisiones!A61</f>
        <v>D20060728</v>
      </c>
      <c r="C61" s="80">
        <f>Decisiones!H61</f>
        <v>0</v>
      </c>
      <c r="D61" s="81">
        <f>Decisiones!G61</f>
        <v>0</v>
      </c>
      <c r="E61" s="81">
        <f>COUNTIFS(Votaciones!$A$2:$A$336,B61,Votaciones!$D$2:$D$336,"Disenso restrictivo")</f>
        <v>0</v>
      </c>
      <c r="F61" s="81">
        <f>COUNTIFS(Votaciones!$A$2:$A$336,B61,Votaciones!$D$2:$D$336,"Disenso acomodaticio")</f>
        <v>0</v>
      </c>
    </row>
    <row r="62" spans="1:6">
      <c r="A62" s="73">
        <f>Decisiones!B62</f>
        <v>38954</v>
      </c>
      <c r="B62" s="76" t="str">
        <f>Decisiones!A62</f>
        <v>D20060825</v>
      </c>
      <c r="C62" s="80">
        <f>Decisiones!H62</f>
        <v>0</v>
      </c>
      <c r="D62" s="81">
        <f>Decisiones!G62</f>
        <v>0</v>
      </c>
      <c r="E62" s="81">
        <f>COUNTIFS(Votaciones!$A$2:$A$336,B62,Votaciones!$D$2:$D$336,"Disenso restrictivo")</f>
        <v>0</v>
      </c>
      <c r="F62" s="81">
        <f>COUNTIFS(Votaciones!$A$2:$A$336,B62,Votaciones!$D$2:$D$336,"Disenso acomodaticio")</f>
        <v>0</v>
      </c>
    </row>
    <row r="63" spans="1:6">
      <c r="A63" s="73">
        <f>Decisiones!B63</f>
        <v>38982</v>
      </c>
      <c r="B63" s="76" t="str">
        <f>Decisiones!A63</f>
        <v>D20060922</v>
      </c>
      <c r="C63" s="80">
        <f>Decisiones!H63</f>
        <v>0</v>
      </c>
      <c r="D63" s="81">
        <f>Decisiones!G63</f>
        <v>0</v>
      </c>
      <c r="E63" s="81">
        <f>COUNTIFS(Votaciones!$A$2:$A$336,B63,Votaciones!$D$2:$D$336,"Disenso restrictivo")</f>
        <v>0</v>
      </c>
      <c r="F63" s="81">
        <f>COUNTIFS(Votaciones!$A$2:$A$336,B63,Votaciones!$D$2:$D$336,"Disenso acomodaticio")</f>
        <v>0</v>
      </c>
    </row>
    <row r="64" spans="1:6">
      <c r="A64" s="73">
        <f>Decisiones!B64</f>
        <v>39017</v>
      </c>
      <c r="B64" s="76" t="str">
        <f>Decisiones!A64</f>
        <v>D20061027</v>
      </c>
      <c r="C64" s="80">
        <f>Decisiones!H64</f>
        <v>0</v>
      </c>
      <c r="D64" s="81">
        <f>Decisiones!G64</f>
        <v>0</v>
      </c>
      <c r="E64" s="81">
        <f>COUNTIFS(Votaciones!$A$2:$A$336,B64,Votaciones!$D$2:$D$336,"Disenso restrictivo")</f>
        <v>0</v>
      </c>
      <c r="F64" s="81">
        <f>COUNTIFS(Votaciones!$A$2:$A$336,B64,Votaciones!$D$2:$D$336,"Disenso acomodaticio")</f>
        <v>0</v>
      </c>
    </row>
    <row r="65" spans="1:6">
      <c r="A65" s="73">
        <f>Decisiones!B65</f>
        <v>39045</v>
      </c>
      <c r="B65" s="76" t="str">
        <f>Decisiones!A65</f>
        <v>D20061124</v>
      </c>
      <c r="C65" s="80">
        <f>Decisiones!H65</f>
        <v>0</v>
      </c>
      <c r="D65" s="81">
        <f>Decisiones!G65</f>
        <v>0</v>
      </c>
      <c r="E65" s="81">
        <f>COUNTIFS(Votaciones!$A$2:$A$336,B65,Votaciones!$D$2:$D$336,"Disenso restrictivo")</f>
        <v>0</v>
      </c>
      <c r="F65" s="81">
        <f>COUNTIFS(Votaciones!$A$2:$A$336,B65,Votaciones!$D$2:$D$336,"Disenso acomodaticio")</f>
        <v>0</v>
      </c>
    </row>
    <row r="66" spans="1:6">
      <c r="A66" s="73">
        <f>Decisiones!B66</f>
        <v>39059</v>
      </c>
      <c r="B66" s="76" t="str">
        <f>Decisiones!A66</f>
        <v>D20061208</v>
      </c>
      <c r="C66" s="80">
        <f>Decisiones!H66</f>
        <v>0</v>
      </c>
      <c r="D66" s="81">
        <f>Decisiones!G66</f>
        <v>0</v>
      </c>
      <c r="E66" s="81">
        <f>COUNTIFS(Votaciones!$A$2:$A$336,B66,Votaciones!$D$2:$D$336,"Disenso restrictivo")</f>
        <v>0</v>
      </c>
      <c r="F66" s="81">
        <f>COUNTIFS(Votaciones!$A$2:$A$336,B66,Votaciones!$D$2:$D$336,"Disenso acomodaticio")</f>
        <v>0</v>
      </c>
    </row>
    <row r="67" spans="1:6">
      <c r="A67" s="73">
        <f>Decisiones!B67</f>
        <v>39108</v>
      </c>
      <c r="B67" s="76" t="str">
        <f>Decisiones!A67</f>
        <v>D20070126</v>
      </c>
      <c r="C67" s="80">
        <f>Decisiones!H67</f>
        <v>0</v>
      </c>
      <c r="D67" s="81">
        <f>Decisiones!G67</f>
        <v>0</v>
      </c>
      <c r="E67" s="81">
        <f>COUNTIFS(Votaciones!$A$2:$A$336,B67,Votaciones!$D$2:$D$336,"Disenso restrictivo")</f>
        <v>0</v>
      </c>
      <c r="F67" s="81">
        <f>COUNTIFS(Votaciones!$A$2:$A$336,B67,Votaciones!$D$2:$D$336,"Disenso acomodaticio")</f>
        <v>0</v>
      </c>
    </row>
    <row r="68" spans="1:6">
      <c r="A68" s="73">
        <f>Decisiones!B68</f>
        <v>39136</v>
      </c>
      <c r="B68" s="76" t="str">
        <f>Decisiones!A68</f>
        <v>D20070223</v>
      </c>
      <c r="C68" s="80">
        <f>Decisiones!H68</f>
        <v>0</v>
      </c>
      <c r="D68" s="81">
        <f>Decisiones!G68</f>
        <v>0</v>
      </c>
      <c r="E68" s="81">
        <f>COUNTIFS(Votaciones!$A$2:$A$336,B68,Votaciones!$D$2:$D$336,"Disenso restrictivo")</f>
        <v>0</v>
      </c>
      <c r="F68" s="81">
        <f>COUNTIFS(Votaciones!$A$2:$A$336,B68,Votaciones!$D$2:$D$336,"Disenso acomodaticio")</f>
        <v>0</v>
      </c>
    </row>
    <row r="69" spans="1:6">
      <c r="A69" s="73">
        <f>Decisiones!B69</f>
        <v>39164</v>
      </c>
      <c r="B69" s="76" t="str">
        <f>Decisiones!A69</f>
        <v>D20070323</v>
      </c>
      <c r="C69" s="80">
        <f>Decisiones!H69</f>
        <v>0</v>
      </c>
      <c r="D69" s="81">
        <f>Decisiones!G69</f>
        <v>0</v>
      </c>
      <c r="E69" s="81">
        <f>COUNTIFS(Votaciones!$A$2:$A$336,B69,Votaciones!$D$2:$D$336,"Disenso restrictivo")</f>
        <v>0</v>
      </c>
      <c r="F69" s="81">
        <f>COUNTIFS(Votaciones!$A$2:$A$336,B69,Votaciones!$D$2:$D$336,"Disenso acomodaticio")</f>
        <v>0</v>
      </c>
    </row>
    <row r="70" spans="1:6">
      <c r="A70" s="73">
        <f>Decisiones!B70</f>
        <v>39199</v>
      </c>
      <c r="B70" s="76" t="str">
        <f>Decisiones!A70</f>
        <v>D20070427</v>
      </c>
      <c r="C70" s="80">
        <f>Decisiones!H70</f>
        <v>0</v>
      </c>
      <c r="D70" s="81">
        <f>Decisiones!G70</f>
        <v>25</v>
      </c>
      <c r="E70" s="81">
        <f>COUNTIFS(Votaciones!$A$2:$A$336,B70,Votaciones!$D$2:$D$336,"Disenso restrictivo")</f>
        <v>0</v>
      </c>
      <c r="F70" s="81">
        <f>COUNTIFS(Votaciones!$A$2:$A$336,B70,Votaciones!$D$2:$D$336,"Disenso acomodaticio")</f>
        <v>0</v>
      </c>
    </row>
    <row r="71" spans="1:6">
      <c r="A71" s="73">
        <f>Decisiones!B71</f>
        <v>39227</v>
      </c>
      <c r="B71" s="76" t="str">
        <f>Decisiones!A71</f>
        <v>D20070525</v>
      </c>
      <c r="C71" s="80">
        <f>Decisiones!H71</f>
        <v>0</v>
      </c>
      <c r="D71" s="81">
        <f>Decisiones!G71</f>
        <v>0</v>
      </c>
      <c r="E71" s="81">
        <f>COUNTIFS(Votaciones!$A$2:$A$336,B71,Votaciones!$D$2:$D$336,"Disenso restrictivo")</f>
        <v>0</v>
      </c>
      <c r="F71" s="81">
        <f>COUNTIFS(Votaciones!$A$2:$A$336,B71,Votaciones!$D$2:$D$336,"Disenso acomodaticio")</f>
        <v>0</v>
      </c>
    </row>
    <row r="72" spans="1:6">
      <c r="A72" s="73">
        <f>Decisiones!B72</f>
        <v>39255</v>
      </c>
      <c r="B72" s="76" t="str">
        <f>Decisiones!A72</f>
        <v>D20070622</v>
      </c>
      <c r="C72" s="80">
        <f>Decisiones!H72</f>
        <v>0</v>
      </c>
      <c r="D72" s="81">
        <f>Decisiones!G72</f>
        <v>0</v>
      </c>
      <c r="E72" s="81">
        <f>COUNTIFS(Votaciones!$A$2:$A$336,B72,Votaciones!$D$2:$D$336,"Disenso restrictivo")</f>
        <v>0</v>
      </c>
      <c r="F72" s="81">
        <f>COUNTIFS(Votaciones!$A$2:$A$336,B72,Votaciones!$D$2:$D$336,"Disenso acomodaticio")</f>
        <v>0</v>
      </c>
    </row>
    <row r="73" spans="1:6">
      <c r="A73" s="73">
        <f>Decisiones!B73</f>
        <v>39290</v>
      </c>
      <c r="B73" s="76" t="str">
        <f>Decisiones!A73</f>
        <v>D20070727</v>
      </c>
      <c r="C73" s="80">
        <f>Decisiones!H73</f>
        <v>0</v>
      </c>
      <c r="D73" s="81">
        <f>Decisiones!G73</f>
        <v>0</v>
      </c>
      <c r="E73" s="81">
        <f>COUNTIFS(Votaciones!$A$2:$A$336,B73,Votaciones!$D$2:$D$336,"Disenso restrictivo")</f>
        <v>0</v>
      </c>
      <c r="F73" s="81">
        <f>COUNTIFS(Votaciones!$A$2:$A$336,B73,Votaciones!$D$2:$D$336,"Disenso acomodaticio")</f>
        <v>0</v>
      </c>
    </row>
    <row r="74" spans="1:6">
      <c r="A74" s="73">
        <f>Decisiones!B74</f>
        <v>39318</v>
      </c>
      <c r="B74" s="76" t="str">
        <f>Decisiones!A74</f>
        <v>D20070824</v>
      </c>
      <c r="C74" s="80">
        <f>Decisiones!H74</f>
        <v>0</v>
      </c>
      <c r="D74" s="81">
        <f>Decisiones!G74</f>
        <v>0</v>
      </c>
      <c r="E74" s="81">
        <f>COUNTIFS(Votaciones!$A$2:$A$336,B74,Votaciones!$D$2:$D$336,"Disenso restrictivo")</f>
        <v>0</v>
      </c>
      <c r="F74" s="81">
        <f>COUNTIFS(Votaciones!$A$2:$A$336,B74,Votaciones!$D$2:$D$336,"Disenso acomodaticio")</f>
        <v>0</v>
      </c>
    </row>
    <row r="75" spans="1:6">
      <c r="A75" s="73">
        <f>Decisiones!B75</f>
        <v>39346</v>
      </c>
      <c r="B75" s="76" t="str">
        <f>Decisiones!A75</f>
        <v>D20070921</v>
      </c>
      <c r="C75" s="80">
        <f>Decisiones!H75</f>
        <v>0</v>
      </c>
      <c r="D75" s="81">
        <f>Decisiones!G75</f>
        <v>0</v>
      </c>
      <c r="E75" s="81">
        <f>COUNTIFS(Votaciones!$A$2:$A$336,B75,Votaciones!$D$2:$D$336,"Disenso restrictivo")</f>
        <v>0</v>
      </c>
      <c r="F75" s="81">
        <f>COUNTIFS(Votaciones!$A$2:$A$336,B75,Votaciones!$D$2:$D$336,"Disenso acomodaticio")</f>
        <v>0</v>
      </c>
    </row>
    <row r="76" spans="1:6">
      <c r="A76" s="73">
        <f>Decisiones!B76</f>
        <v>39381</v>
      </c>
      <c r="B76" s="76" t="str">
        <f>Decisiones!A76</f>
        <v>D20071026</v>
      </c>
      <c r="C76" s="80">
        <f>Decisiones!H76</f>
        <v>0</v>
      </c>
      <c r="D76" s="81">
        <f>Decisiones!G76</f>
        <v>25</v>
      </c>
      <c r="E76" s="81">
        <f>COUNTIFS(Votaciones!$A$2:$A$336,B76,Votaciones!$D$2:$D$336,"Disenso restrictivo")</f>
        <v>0</v>
      </c>
      <c r="F76" s="81">
        <f>COUNTIFS(Votaciones!$A$2:$A$336,B76,Votaciones!$D$2:$D$336,"Disenso acomodaticio")</f>
        <v>0</v>
      </c>
    </row>
    <row r="77" spans="1:6">
      <c r="A77" s="73">
        <f>Decisiones!B77</f>
        <v>39409</v>
      </c>
      <c r="B77" s="76" t="str">
        <f>Decisiones!A77</f>
        <v>D20071123</v>
      </c>
      <c r="C77" s="80">
        <f>Decisiones!H77</f>
        <v>0</v>
      </c>
      <c r="D77" s="81">
        <f>Decisiones!G77</f>
        <v>0</v>
      </c>
      <c r="E77" s="81">
        <f>COUNTIFS(Votaciones!$A$2:$A$336,B77,Votaciones!$D$2:$D$336,"Disenso restrictivo")</f>
        <v>0</v>
      </c>
      <c r="F77" s="81">
        <f>COUNTIFS(Votaciones!$A$2:$A$336,B77,Votaciones!$D$2:$D$336,"Disenso acomodaticio")</f>
        <v>0</v>
      </c>
    </row>
    <row r="78" spans="1:6">
      <c r="A78" s="73">
        <f>Decisiones!B78</f>
        <v>39423</v>
      </c>
      <c r="B78" s="76" t="str">
        <f>Decisiones!A78</f>
        <v>D20071207</v>
      </c>
      <c r="C78" s="80">
        <f>Decisiones!H78</f>
        <v>0</v>
      </c>
      <c r="D78" s="81">
        <f>Decisiones!G78</f>
        <v>0</v>
      </c>
      <c r="E78" s="81">
        <f>COUNTIFS(Votaciones!$A$2:$A$336,B78,Votaciones!$D$2:$D$336,"Disenso restrictivo")</f>
        <v>0</v>
      </c>
      <c r="F78" s="81">
        <f>COUNTIFS(Votaciones!$A$2:$A$336,B78,Votaciones!$D$2:$D$336,"Disenso acomodaticio")</f>
        <v>0</v>
      </c>
    </row>
    <row r="79" spans="1:6">
      <c r="A79" s="73">
        <f>Decisiones!B79</f>
        <v>39465</v>
      </c>
      <c r="B79" s="76" t="str">
        <f>Decisiones!A79</f>
        <v>D20080118</v>
      </c>
      <c r="C79" s="80">
        <f>Decisiones!H79</f>
        <v>0</v>
      </c>
      <c r="D79" s="81">
        <f>Decisiones!G79</f>
        <v>0</v>
      </c>
      <c r="E79" s="81">
        <f>COUNTIFS(Votaciones!$A$2:$A$336,B79,Votaciones!$D$2:$D$336,"Disenso restrictivo")</f>
        <v>0</v>
      </c>
      <c r="F79" s="81">
        <f>COUNTIFS(Votaciones!$A$2:$A$336,B79,Votaciones!$D$2:$D$336,"Disenso acomodaticio")</f>
        <v>0</v>
      </c>
    </row>
    <row r="80" spans="1:6">
      <c r="A80" s="73">
        <f>Decisiones!B80</f>
        <v>39493</v>
      </c>
      <c r="B80" s="76" t="str">
        <f>Decisiones!A80</f>
        <v>D20080215</v>
      </c>
      <c r="C80" s="80">
        <f>Decisiones!H80</f>
        <v>7.5</v>
      </c>
      <c r="D80" s="81">
        <f>Decisiones!G80</f>
        <v>0</v>
      </c>
      <c r="E80" s="81">
        <f>COUNTIFS(Votaciones!$A$2:$A$336,B80,Votaciones!$D$2:$D$336,"Disenso restrictivo")</f>
        <v>0</v>
      </c>
      <c r="F80" s="81">
        <f>COUNTIFS(Votaciones!$A$2:$A$336,B80,Votaciones!$D$2:$D$336,"Disenso acomodaticio")</f>
        <v>0</v>
      </c>
    </row>
    <row r="81" spans="1:6">
      <c r="A81" s="73">
        <f>Decisiones!B81</f>
        <v>39521</v>
      </c>
      <c r="B81" s="76" t="str">
        <f>Decisiones!A81</f>
        <v>D20080314</v>
      </c>
      <c r="C81" s="80">
        <f>Decisiones!H81</f>
        <v>7.5</v>
      </c>
      <c r="D81" s="81">
        <f>Decisiones!G81</f>
        <v>0</v>
      </c>
      <c r="E81" s="81">
        <f>COUNTIFS(Votaciones!$A$2:$A$336,B81,Votaciones!$D$2:$D$336,"Disenso restrictivo")</f>
        <v>0</v>
      </c>
      <c r="F81" s="81">
        <f>COUNTIFS(Votaciones!$A$2:$A$336,B81,Votaciones!$D$2:$D$336,"Disenso acomodaticio")</f>
        <v>0</v>
      </c>
    </row>
    <row r="82" spans="1:6">
      <c r="A82" s="73">
        <f>Decisiones!B82</f>
        <v>39556</v>
      </c>
      <c r="B82" s="76" t="str">
        <f>Decisiones!A82</f>
        <v>D20080418</v>
      </c>
      <c r="C82" s="80">
        <f>Decisiones!H82</f>
        <v>7.5</v>
      </c>
      <c r="D82" s="81">
        <f>Decisiones!G82</f>
        <v>0</v>
      </c>
      <c r="E82" s="81">
        <f>COUNTIFS(Votaciones!$A$2:$A$336,B82,Votaciones!$D$2:$D$336,"Disenso restrictivo")</f>
        <v>0</v>
      </c>
      <c r="F82" s="81">
        <f>COUNTIFS(Votaciones!$A$2:$A$336,B82,Votaciones!$D$2:$D$336,"Disenso acomodaticio")</f>
        <v>0</v>
      </c>
    </row>
    <row r="83" spans="1:6">
      <c r="A83" s="73">
        <f>Decisiones!B83</f>
        <v>39584</v>
      </c>
      <c r="B83" s="76" t="str">
        <f>Decisiones!A83</f>
        <v>D20080516</v>
      </c>
      <c r="C83" s="80">
        <f>Decisiones!H83</f>
        <v>7.5</v>
      </c>
      <c r="D83" s="81">
        <f>Decisiones!G83</f>
        <v>0</v>
      </c>
      <c r="E83" s="81">
        <f>COUNTIFS(Votaciones!$A$2:$A$336,B83,Votaciones!$D$2:$D$336,"Disenso restrictivo")</f>
        <v>0</v>
      </c>
      <c r="F83" s="81">
        <f>COUNTIFS(Votaciones!$A$2:$A$336,B83,Votaciones!$D$2:$D$336,"Disenso acomodaticio")</f>
        <v>0</v>
      </c>
    </row>
    <row r="84" spans="1:6">
      <c r="A84" s="73">
        <f>Decisiones!B84</f>
        <v>39619</v>
      </c>
      <c r="B84" s="76" t="str">
        <f>Decisiones!A84</f>
        <v>D20080620</v>
      </c>
      <c r="C84" s="80">
        <f>Decisiones!H84</f>
        <v>7.75</v>
      </c>
      <c r="D84" s="81">
        <f>Decisiones!G84</f>
        <v>25</v>
      </c>
      <c r="E84" s="81">
        <f>COUNTIFS(Votaciones!$A$2:$A$336,B84,Votaciones!$D$2:$D$336,"Disenso restrictivo")</f>
        <v>0</v>
      </c>
      <c r="F84" s="81">
        <f>COUNTIFS(Votaciones!$A$2:$A$336,B84,Votaciones!$D$2:$D$336,"Disenso acomodaticio")</f>
        <v>0</v>
      </c>
    </row>
    <row r="85" spans="1:6">
      <c r="A85" s="73">
        <f>Decisiones!B85</f>
        <v>39647</v>
      </c>
      <c r="B85" s="76" t="str">
        <f>Decisiones!A85</f>
        <v>D20080718</v>
      </c>
      <c r="C85" s="80">
        <f>Decisiones!H85</f>
        <v>8</v>
      </c>
      <c r="D85" s="81">
        <f>Decisiones!G85</f>
        <v>25</v>
      </c>
      <c r="E85" s="81">
        <f>COUNTIFS(Votaciones!$A$2:$A$336,B85,Votaciones!$D$2:$D$336,"Disenso restrictivo")</f>
        <v>0</v>
      </c>
      <c r="F85" s="81">
        <f>COUNTIFS(Votaciones!$A$2:$A$336,B85,Votaciones!$D$2:$D$336,"Disenso acomodaticio")</f>
        <v>0</v>
      </c>
    </row>
    <row r="86" spans="1:6">
      <c r="A86" s="73">
        <f>Decisiones!B86</f>
        <v>39675</v>
      </c>
      <c r="B86" s="76" t="str">
        <f>Decisiones!A86</f>
        <v>D20080815</v>
      </c>
      <c r="C86" s="80">
        <f>Decisiones!H86</f>
        <v>8.25</v>
      </c>
      <c r="D86" s="81">
        <f>Decisiones!G86</f>
        <v>25</v>
      </c>
      <c r="E86" s="81">
        <f>COUNTIFS(Votaciones!$A$2:$A$336,B86,Votaciones!$D$2:$D$336,"Disenso restrictivo")</f>
        <v>0</v>
      </c>
      <c r="F86" s="81">
        <f>COUNTIFS(Votaciones!$A$2:$A$336,B86,Votaciones!$D$2:$D$336,"Disenso acomodaticio")</f>
        <v>0</v>
      </c>
    </row>
    <row r="87" spans="1:6">
      <c r="A87" s="73">
        <f>Decisiones!B87</f>
        <v>39710</v>
      </c>
      <c r="B87" s="76" t="str">
        <f>Decisiones!A87</f>
        <v>D20080919</v>
      </c>
      <c r="C87" s="80">
        <f>Decisiones!H87</f>
        <v>8.25</v>
      </c>
      <c r="D87" s="81">
        <f>Decisiones!G87</f>
        <v>0</v>
      </c>
      <c r="E87" s="81">
        <f>COUNTIFS(Votaciones!$A$2:$A$336,B87,Votaciones!$D$2:$D$336,"Disenso restrictivo")</f>
        <v>0</v>
      </c>
      <c r="F87" s="81">
        <f>COUNTIFS(Votaciones!$A$2:$A$336,B87,Votaciones!$D$2:$D$336,"Disenso acomodaticio")</f>
        <v>0</v>
      </c>
    </row>
    <row r="88" spans="1:6">
      <c r="A88" s="73">
        <f>Decisiones!B88</f>
        <v>39738</v>
      </c>
      <c r="B88" s="76" t="str">
        <f>Decisiones!A88</f>
        <v>D20081017</v>
      </c>
      <c r="C88" s="80">
        <f>Decisiones!H88</f>
        <v>8.25</v>
      </c>
      <c r="D88" s="81">
        <f>Decisiones!G88</f>
        <v>0</v>
      </c>
      <c r="E88" s="81">
        <f>COUNTIFS(Votaciones!$A$2:$A$336,B88,Votaciones!$D$2:$D$336,"Disenso restrictivo")</f>
        <v>0</v>
      </c>
      <c r="F88" s="81">
        <f>COUNTIFS(Votaciones!$A$2:$A$336,B88,Votaciones!$D$2:$D$336,"Disenso acomodaticio")</f>
        <v>0</v>
      </c>
    </row>
    <row r="89" spans="1:6">
      <c r="A89" s="73">
        <f>Decisiones!B89</f>
        <v>39780</v>
      </c>
      <c r="B89" s="76" t="str">
        <f>Decisiones!A89</f>
        <v>D20081128</v>
      </c>
      <c r="C89" s="80">
        <f>Decisiones!H89</f>
        <v>8.25</v>
      </c>
      <c r="D89" s="81">
        <f>Decisiones!G89</f>
        <v>0</v>
      </c>
      <c r="E89" s="81">
        <f>COUNTIFS(Votaciones!$A$2:$A$336,B89,Votaciones!$D$2:$D$336,"Disenso restrictivo")</f>
        <v>0</v>
      </c>
      <c r="F89" s="81">
        <f>COUNTIFS(Votaciones!$A$2:$A$336,B89,Votaciones!$D$2:$D$336,"Disenso acomodaticio")</f>
        <v>0</v>
      </c>
    </row>
    <row r="90" spans="1:6">
      <c r="A90" s="73">
        <f>Decisiones!B90</f>
        <v>39829</v>
      </c>
      <c r="B90" s="76" t="str">
        <f>Decisiones!A90</f>
        <v>D20090116</v>
      </c>
      <c r="C90" s="80">
        <f>Decisiones!H90</f>
        <v>7.75</v>
      </c>
      <c r="D90" s="81">
        <f>Decisiones!G90</f>
        <v>-50</v>
      </c>
      <c r="E90" s="81">
        <f>COUNTIFS(Votaciones!$A$2:$A$336,B90,Votaciones!$D$2:$D$336,"Disenso restrictivo")</f>
        <v>0</v>
      </c>
      <c r="F90" s="81">
        <f>COUNTIFS(Votaciones!$A$2:$A$336,B90,Votaciones!$D$2:$D$336,"Disenso acomodaticio")</f>
        <v>0</v>
      </c>
    </row>
    <row r="91" spans="1:6">
      <c r="A91" s="73">
        <f>Decisiones!B91</f>
        <v>39864</v>
      </c>
      <c r="B91" s="76" t="str">
        <f>Decisiones!A91</f>
        <v>D20090220</v>
      </c>
      <c r="C91" s="80">
        <f>Decisiones!H91</f>
        <v>7.5</v>
      </c>
      <c r="D91" s="81">
        <f>Decisiones!G91</f>
        <v>-25</v>
      </c>
      <c r="E91" s="81">
        <f>COUNTIFS(Votaciones!$A$2:$A$336,B91,Votaciones!$D$2:$D$336,"Disenso restrictivo")</f>
        <v>0</v>
      </c>
      <c r="F91" s="81">
        <f>COUNTIFS(Votaciones!$A$2:$A$336,B91,Votaciones!$D$2:$D$336,"Disenso acomodaticio")</f>
        <v>0</v>
      </c>
    </row>
    <row r="92" spans="1:6">
      <c r="A92" s="73">
        <f>Decisiones!B92</f>
        <v>39892</v>
      </c>
      <c r="B92" s="76" t="str">
        <f>Decisiones!A92</f>
        <v>D20090320</v>
      </c>
      <c r="C92" s="80">
        <f>Decisiones!H92</f>
        <v>6.75</v>
      </c>
      <c r="D92" s="81">
        <f>Decisiones!G92</f>
        <v>-75</v>
      </c>
      <c r="E92" s="81">
        <f>COUNTIFS(Votaciones!$A$2:$A$336,B92,Votaciones!$D$2:$D$336,"Disenso restrictivo")</f>
        <v>0</v>
      </c>
      <c r="F92" s="81">
        <f>COUNTIFS(Votaciones!$A$2:$A$336,B92,Votaciones!$D$2:$D$336,"Disenso acomodaticio")</f>
        <v>0</v>
      </c>
    </row>
    <row r="93" spans="1:6">
      <c r="A93" s="73">
        <f>Decisiones!B93</f>
        <v>39920</v>
      </c>
      <c r="B93" s="76" t="str">
        <f>Decisiones!A93</f>
        <v>D20090417</v>
      </c>
      <c r="C93" s="80">
        <f>Decisiones!H93</f>
        <v>6</v>
      </c>
      <c r="D93" s="81">
        <f>Decisiones!G93</f>
        <v>-75</v>
      </c>
      <c r="E93" s="81">
        <f>COUNTIFS(Votaciones!$A$2:$A$336,B93,Votaciones!$D$2:$D$336,"Disenso restrictivo")</f>
        <v>0</v>
      </c>
      <c r="F93" s="81">
        <f>COUNTIFS(Votaciones!$A$2:$A$336,B93,Votaciones!$D$2:$D$336,"Disenso acomodaticio")</f>
        <v>0</v>
      </c>
    </row>
    <row r="94" spans="1:6">
      <c r="A94" s="73">
        <f>Decisiones!B94</f>
        <v>39948</v>
      </c>
      <c r="B94" s="76" t="str">
        <f>Decisiones!A94</f>
        <v>D20090515</v>
      </c>
      <c r="C94" s="80">
        <f>Decisiones!H94</f>
        <v>5.25</v>
      </c>
      <c r="D94" s="81">
        <f>Decisiones!G94</f>
        <v>-75</v>
      </c>
      <c r="E94" s="81">
        <f>COUNTIFS(Votaciones!$A$2:$A$336,B94,Votaciones!$D$2:$D$336,"Disenso restrictivo")</f>
        <v>0</v>
      </c>
      <c r="F94" s="81">
        <f>COUNTIFS(Votaciones!$A$2:$A$336,B94,Votaciones!$D$2:$D$336,"Disenso acomodaticio")</f>
        <v>0</v>
      </c>
    </row>
    <row r="95" spans="1:6">
      <c r="A95" s="73">
        <f>Decisiones!B95</f>
        <v>39983</v>
      </c>
      <c r="B95" s="76" t="str">
        <f>Decisiones!A95</f>
        <v>D20090619</v>
      </c>
      <c r="C95" s="80">
        <f>Decisiones!H95</f>
        <v>4.75</v>
      </c>
      <c r="D95" s="81">
        <f>Decisiones!G95</f>
        <v>-50</v>
      </c>
      <c r="E95" s="81">
        <f>COUNTIFS(Votaciones!$A$2:$A$336,B95,Votaciones!$D$2:$D$336,"Disenso restrictivo")</f>
        <v>0</v>
      </c>
      <c r="F95" s="81">
        <f>COUNTIFS(Votaciones!$A$2:$A$336,B95,Votaciones!$D$2:$D$336,"Disenso acomodaticio")</f>
        <v>0</v>
      </c>
    </row>
    <row r="96" spans="1:6">
      <c r="A96" s="73">
        <f>Decisiones!B96</f>
        <v>40011</v>
      </c>
      <c r="B96" s="76" t="str">
        <f>Decisiones!A96</f>
        <v>D20090717</v>
      </c>
      <c r="C96" s="80">
        <f>Decisiones!H96</f>
        <v>4.5</v>
      </c>
      <c r="D96" s="81">
        <f>Decisiones!G96</f>
        <v>-25</v>
      </c>
      <c r="E96" s="81">
        <f>COUNTIFS(Votaciones!$A$2:$A$336,B96,Votaciones!$D$2:$D$336,"Disenso restrictivo")</f>
        <v>0</v>
      </c>
      <c r="F96" s="81">
        <f>COUNTIFS(Votaciones!$A$2:$A$336,B96,Votaciones!$D$2:$D$336,"Disenso acomodaticio")</f>
        <v>0</v>
      </c>
    </row>
    <row r="97" spans="1:6">
      <c r="A97" s="73">
        <f>Decisiones!B97</f>
        <v>40046</v>
      </c>
      <c r="B97" s="76" t="str">
        <f>Decisiones!A97</f>
        <v>D20090821</v>
      </c>
      <c r="C97" s="80">
        <f>Decisiones!H97</f>
        <v>4.5</v>
      </c>
      <c r="D97" s="81">
        <f>Decisiones!G97</f>
        <v>0</v>
      </c>
      <c r="E97" s="81">
        <f>COUNTIFS(Votaciones!$A$2:$A$336,B97,Votaciones!$D$2:$D$336,"Disenso restrictivo")</f>
        <v>0</v>
      </c>
      <c r="F97" s="81">
        <f>COUNTIFS(Votaciones!$A$2:$A$336,B97,Votaciones!$D$2:$D$336,"Disenso acomodaticio")</f>
        <v>0</v>
      </c>
    </row>
    <row r="98" spans="1:6">
      <c r="A98" s="73">
        <f>Decisiones!B98</f>
        <v>40074</v>
      </c>
      <c r="B98" s="76" t="str">
        <f>Decisiones!A98</f>
        <v>D20090918</v>
      </c>
      <c r="C98" s="80">
        <f>Decisiones!H98</f>
        <v>4.5</v>
      </c>
      <c r="D98" s="81">
        <f>Decisiones!G98</f>
        <v>0</v>
      </c>
      <c r="E98" s="81">
        <f>COUNTIFS(Votaciones!$A$2:$A$336,B98,Votaciones!$D$2:$D$336,"Disenso restrictivo")</f>
        <v>0</v>
      </c>
      <c r="F98" s="81">
        <f>COUNTIFS(Votaciones!$A$2:$A$336,B98,Votaciones!$D$2:$D$336,"Disenso acomodaticio")</f>
        <v>0</v>
      </c>
    </row>
    <row r="99" spans="1:6">
      <c r="A99" s="73">
        <f>Decisiones!B99</f>
        <v>40102</v>
      </c>
      <c r="B99" s="76" t="str">
        <f>Decisiones!A99</f>
        <v>D20091016</v>
      </c>
      <c r="C99" s="80">
        <f>Decisiones!H99</f>
        <v>4.5</v>
      </c>
      <c r="D99" s="81">
        <f>Decisiones!G99</f>
        <v>0</v>
      </c>
      <c r="E99" s="81">
        <f>COUNTIFS(Votaciones!$A$2:$A$336,B99,Votaciones!$D$2:$D$336,"Disenso restrictivo")</f>
        <v>0</v>
      </c>
      <c r="F99" s="81">
        <f>COUNTIFS(Votaciones!$A$2:$A$336,B99,Votaciones!$D$2:$D$336,"Disenso acomodaticio")</f>
        <v>0</v>
      </c>
    </row>
    <row r="100" spans="1:6">
      <c r="A100" s="73">
        <f>Decisiones!B100</f>
        <v>40144</v>
      </c>
      <c r="B100" s="76" t="str">
        <f>Decisiones!A100</f>
        <v>D20091127</v>
      </c>
      <c r="C100" s="80">
        <f>Decisiones!H100</f>
        <v>4.5</v>
      </c>
      <c r="D100" s="81">
        <f>Decisiones!G100</f>
        <v>0</v>
      </c>
      <c r="E100" s="81">
        <f>COUNTIFS(Votaciones!$A$2:$A$336,B100,Votaciones!$D$2:$D$336,"Disenso restrictivo")</f>
        <v>0</v>
      </c>
      <c r="F100" s="81">
        <f>COUNTIFS(Votaciones!$A$2:$A$336,B100,Votaciones!$D$2:$D$336,"Disenso acomodaticio")</f>
        <v>0</v>
      </c>
    </row>
    <row r="101" spans="1:6">
      <c r="A101" s="73">
        <f>Decisiones!B101</f>
        <v>40193</v>
      </c>
      <c r="B101" s="76" t="str">
        <f>Decisiones!A101</f>
        <v>D20100115</v>
      </c>
      <c r="C101" s="80">
        <f>Decisiones!H101</f>
        <v>4.5</v>
      </c>
      <c r="D101" s="81">
        <f>Decisiones!G101</f>
        <v>0</v>
      </c>
      <c r="E101" s="81">
        <f>COUNTIFS(Votaciones!$A$2:$A$336,B101,Votaciones!$D$2:$D$336,"Disenso restrictivo")</f>
        <v>0</v>
      </c>
      <c r="F101" s="81">
        <f>COUNTIFS(Votaciones!$A$2:$A$336,B101,Votaciones!$D$2:$D$336,"Disenso acomodaticio")</f>
        <v>0</v>
      </c>
    </row>
    <row r="102" spans="1:6">
      <c r="A102" s="73">
        <f>Decisiones!B102</f>
        <v>40228</v>
      </c>
      <c r="B102" s="76" t="str">
        <f>Decisiones!A102</f>
        <v>D20100219</v>
      </c>
      <c r="C102" s="80">
        <f>Decisiones!H102</f>
        <v>4.5</v>
      </c>
      <c r="D102" s="81">
        <f>Decisiones!G102</f>
        <v>0</v>
      </c>
      <c r="E102" s="81">
        <f>COUNTIFS(Votaciones!$A$2:$A$336,B102,Votaciones!$D$2:$D$336,"Disenso restrictivo")</f>
        <v>0</v>
      </c>
      <c r="F102" s="81">
        <f>COUNTIFS(Votaciones!$A$2:$A$336,B102,Votaciones!$D$2:$D$336,"Disenso acomodaticio")</f>
        <v>0</v>
      </c>
    </row>
    <row r="103" spans="1:6">
      <c r="A103" s="73">
        <f>Decisiones!B103</f>
        <v>40256</v>
      </c>
      <c r="B103" s="76" t="str">
        <f>Decisiones!A103</f>
        <v>D20100319</v>
      </c>
      <c r="C103" s="80">
        <f>Decisiones!H103</f>
        <v>4.5</v>
      </c>
      <c r="D103" s="81">
        <f>Decisiones!G103</f>
        <v>0</v>
      </c>
      <c r="E103" s="81">
        <f>COUNTIFS(Votaciones!$A$2:$A$336,B103,Votaciones!$D$2:$D$336,"Disenso restrictivo")</f>
        <v>0</v>
      </c>
      <c r="F103" s="81">
        <f>COUNTIFS(Votaciones!$A$2:$A$336,B103,Votaciones!$D$2:$D$336,"Disenso acomodaticio")</f>
        <v>0</v>
      </c>
    </row>
    <row r="104" spans="1:6">
      <c r="A104" s="73">
        <f>Decisiones!B104</f>
        <v>40284</v>
      </c>
      <c r="B104" s="76" t="str">
        <f>Decisiones!A104</f>
        <v>D20100416</v>
      </c>
      <c r="C104" s="80">
        <f>Decisiones!H104</f>
        <v>4.5</v>
      </c>
      <c r="D104" s="81">
        <f>Decisiones!G104</f>
        <v>0</v>
      </c>
      <c r="E104" s="81">
        <f>COUNTIFS(Votaciones!$A$2:$A$336,B104,Votaciones!$D$2:$D$336,"Disenso restrictivo")</f>
        <v>0</v>
      </c>
      <c r="F104" s="81">
        <f>COUNTIFS(Votaciones!$A$2:$A$336,B104,Votaciones!$D$2:$D$336,"Disenso acomodaticio")</f>
        <v>0</v>
      </c>
    </row>
    <row r="105" spans="1:6">
      <c r="A105" s="73">
        <f>Decisiones!B105</f>
        <v>40319</v>
      </c>
      <c r="B105" s="76" t="str">
        <f>Decisiones!A105</f>
        <v>D20100521</v>
      </c>
      <c r="C105" s="80">
        <f>Decisiones!H105</f>
        <v>4.5</v>
      </c>
      <c r="D105" s="81">
        <f>Decisiones!G105</f>
        <v>0</v>
      </c>
      <c r="E105" s="81">
        <f>COUNTIFS(Votaciones!$A$2:$A$336,B105,Votaciones!$D$2:$D$336,"Disenso restrictivo")</f>
        <v>0</v>
      </c>
      <c r="F105" s="81">
        <f>COUNTIFS(Votaciones!$A$2:$A$336,B105,Votaciones!$D$2:$D$336,"Disenso acomodaticio")</f>
        <v>0</v>
      </c>
    </row>
    <row r="106" spans="1:6">
      <c r="A106" s="73">
        <f>Decisiones!B106</f>
        <v>40347</v>
      </c>
      <c r="B106" s="76" t="str">
        <f>Decisiones!A106</f>
        <v>D20100618</v>
      </c>
      <c r="C106" s="80">
        <f>Decisiones!H106</f>
        <v>4.5</v>
      </c>
      <c r="D106" s="81">
        <f>Decisiones!G106</f>
        <v>0</v>
      </c>
      <c r="E106" s="81">
        <f>COUNTIFS(Votaciones!$A$2:$A$336,B106,Votaciones!$D$2:$D$336,"Disenso restrictivo")</f>
        <v>0</v>
      </c>
      <c r="F106" s="81">
        <f>COUNTIFS(Votaciones!$A$2:$A$336,B106,Votaciones!$D$2:$D$336,"Disenso acomodaticio")</f>
        <v>0</v>
      </c>
    </row>
    <row r="107" spans="1:6">
      <c r="A107" s="73">
        <f>Decisiones!B107</f>
        <v>40375</v>
      </c>
      <c r="B107" s="76" t="str">
        <f>Decisiones!A107</f>
        <v>D20100716</v>
      </c>
      <c r="C107" s="80">
        <f>Decisiones!H107</f>
        <v>4.5</v>
      </c>
      <c r="D107" s="81">
        <f>Decisiones!G107</f>
        <v>0</v>
      </c>
      <c r="E107" s="81">
        <f>COUNTIFS(Votaciones!$A$2:$A$336,B107,Votaciones!$D$2:$D$336,"Disenso restrictivo")</f>
        <v>0</v>
      </c>
      <c r="F107" s="81">
        <f>COUNTIFS(Votaciones!$A$2:$A$336,B107,Votaciones!$D$2:$D$336,"Disenso acomodaticio")</f>
        <v>0</v>
      </c>
    </row>
    <row r="108" spans="1:6">
      <c r="A108" s="73">
        <f>Decisiones!B108</f>
        <v>40410</v>
      </c>
      <c r="B108" s="76" t="str">
        <f>Decisiones!A108</f>
        <v>D20100820</v>
      </c>
      <c r="C108" s="80">
        <f>Decisiones!H108</f>
        <v>4.5</v>
      </c>
      <c r="D108" s="81">
        <f>Decisiones!G108</f>
        <v>0</v>
      </c>
      <c r="E108" s="81">
        <f>COUNTIFS(Votaciones!$A$2:$A$336,B108,Votaciones!$D$2:$D$336,"Disenso restrictivo")</f>
        <v>0</v>
      </c>
      <c r="F108" s="81">
        <f>COUNTIFS(Votaciones!$A$2:$A$336,B108,Votaciones!$D$2:$D$336,"Disenso acomodaticio")</f>
        <v>0</v>
      </c>
    </row>
    <row r="109" spans="1:6">
      <c r="A109" s="73">
        <f>Decisiones!B109</f>
        <v>40445</v>
      </c>
      <c r="B109" s="76" t="str">
        <f>Decisiones!A109</f>
        <v>D20100924</v>
      </c>
      <c r="C109" s="80">
        <f>Decisiones!H109</f>
        <v>4.5</v>
      </c>
      <c r="D109" s="81">
        <f>Decisiones!G109</f>
        <v>0</v>
      </c>
      <c r="E109" s="81">
        <f>COUNTIFS(Votaciones!$A$2:$A$336,B109,Votaciones!$D$2:$D$336,"Disenso restrictivo")</f>
        <v>0</v>
      </c>
      <c r="F109" s="81">
        <f>COUNTIFS(Votaciones!$A$2:$A$336,B109,Votaciones!$D$2:$D$336,"Disenso acomodaticio")</f>
        <v>0</v>
      </c>
    </row>
    <row r="110" spans="1:6">
      <c r="A110" s="73">
        <f>Decisiones!B110</f>
        <v>40466</v>
      </c>
      <c r="B110" s="76" t="str">
        <f>Decisiones!A110</f>
        <v>D20101015</v>
      </c>
      <c r="C110" s="80">
        <f>Decisiones!H110</f>
        <v>4.5</v>
      </c>
      <c r="D110" s="81">
        <f>Decisiones!G110</f>
        <v>0</v>
      </c>
      <c r="E110" s="81">
        <f>COUNTIFS(Votaciones!$A$2:$A$336,B110,Votaciones!$D$2:$D$336,"Disenso restrictivo")</f>
        <v>0</v>
      </c>
      <c r="F110" s="81">
        <f>COUNTIFS(Votaciones!$A$2:$A$336,B110,Votaciones!$D$2:$D$336,"Disenso acomodaticio")</f>
        <v>0</v>
      </c>
    </row>
    <row r="111" spans="1:6">
      <c r="A111" s="73">
        <f>Decisiones!B111</f>
        <v>40508</v>
      </c>
      <c r="B111" s="76" t="str">
        <f>Decisiones!A111</f>
        <v>D20101126</v>
      </c>
      <c r="C111" s="80">
        <f>Decisiones!H111</f>
        <v>4.5</v>
      </c>
      <c r="D111" s="81">
        <f>Decisiones!G111</f>
        <v>0</v>
      </c>
      <c r="E111" s="81">
        <f>COUNTIFS(Votaciones!$A$2:$A$336,B111,Votaciones!$D$2:$D$336,"Disenso restrictivo")</f>
        <v>0</v>
      </c>
      <c r="F111" s="81">
        <f>COUNTIFS(Votaciones!$A$2:$A$336,B111,Votaciones!$D$2:$D$336,"Disenso acomodaticio")</f>
        <v>0</v>
      </c>
    </row>
    <row r="112" spans="1:6">
      <c r="A112" s="73">
        <f>Decisiones!B112</f>
        <v>40564</v>
      </c>
      <c r="B112" s="76" t="str">
        <f>Decisiones!A112</f>
        <v>D20110121</v>
      </c>
      <c r="C112" s="80">
        <f>Decisiones!H112</f>
        <v>4.5</v>
      </c>
      <c r="D112" s="81">
        <f>Decisiones!G112</f>
        <v>0</v>
      </c>
      <c r="E112" s="81">
        <f>COUNTIFS(Votaciones!$A$2:$A$336,B112,Votaciones!$D$2:$D$336,"Disenso restrictivo")</f>
        <v>0</v>
      </c>
      <c r="F112" s="81">
        <f>COUNTIFS(Votaciones!$A$2:$A$336,B112,Votaciones!$D$2:$D$336,"Disenso acomodaticio")</f>
        <v>0</v>
      </c>
    </row>
    <row r="113" spans="1:6">
      <c r="A113" s="73">
        <f>Decisiones!B113</f>
        <v>40606</v>
      </c>
      <c r="B113" s="76" t="str">
        <f>Decisiones!A113</f>
        <v>D20110304</v>
      </c>
      <c r="C113" s="80">
        <f>Decisiones!H113</f>
        <v>4.5</v>
      </c>
      <c r="D113" s="81">
        <f>Decisiones!G113</f>
        <v>0</v>
      </c>
      <c r="E113" s="81">
        <f>COUNTIFS(Votaciones!$A$2:$A$336,B113,Votaciones!$D$2:$D$336,"Disenso restrictivo")</f>
        <v>0</v>
      </c>
      <c r="F113" s="81">
        <f>COUNTIFS(Votaciones!$A$2:$A$336,B113,Votaciones!$D$2:$D$336,"Disenso acomodaticio")</f>
        <v>0</v>
      </c>
    </row>
    <row r="114" spans="1:6">
      <c r="A114" s="73">
        <f>Decisiones!B114</f>
        <v>40648</v>
      </c>
      <c r="B114" s="76" t="str">
        <f>Decisiones!A114</f>
        <v>D20110415</v>
      </c>
      <c r="C114" s="80">
        <f>Decisiones!H114</f>
        <v>4.5</v>
      </c>
      <c r="D114" s="81">
        <f>Decisiones!G114</f>
        <v>0</v>
      </c>
      <c r="E114" s="81">
        <f>COUNTIFS(Votaciones!$A$2:$A$336,B114,Votaciones!$D$2:$D$336,"Disenso restrictivo")</f>
        <v>0</v>
      </c>
      <c r="F114" s="81">
        <f>COUNTIFS(Votaciones!$A$2:$A$336,B114,Votaciones!$D$2:$D$336,"Disenso acomodaticio")</f>
        <v>0</v>
      </c>
    </row>
    <row r="115" spans="1:6">
      <c r="A115" s="73">
        <f>Decisiones!B115</f>
        <v>40690</v>
      </c>
      <c r="B115" s="76" t="str">
        <f>Decisiones!A115</f>
        <v>D20110527</v>
      </c>
      <c r="C115" s="80">
        <f>Decisiones!H115</f>
        <v>4.5</v>
      </c>
      <c r="D115" s="81">
        <f>Decisiones!G115</f>
        <v>0</v>
      </c>
      <c r="E115" s="81">
        <f>COUNTIFS(Votaciones!$A$2:$A$336,B115,Votaciones!$D$2:$D$336,"Disenso restrictivo")</f>
        <v>0</v>
      </c>
      <c r="F115" s="81">
        <f>COUNTIFS(Votaciones!$A$2:$A$336,B115,Votaciones!$D$2:$D$336,"Disenso acomodaticio")</f>
        <v>0</v>
      </c>
    </row>
    <row r="116" spans="1:6">
      <c r="A116" s="73">
        <f>Decisiones!B116</f>
        <v>40732</v>
      </c>
      <c r="B116" s="76" t="str">
        <f>Decisiones!A116</f>
        <v>D20110708</v>
      </c>
      <c r="C116" s="80">
        <f>Decisiones!H116</f>
        <v>4.5</v>
      </c>
      <c r="D116" s="81">
        <f>Decisiones!G116</f>
        <v>0</v>
      </c>
      <c r="E116" s="81">
        <f>COUNTIFS(Votaciones!$A$2:$A$336,B116,Votaciones!$D$2:$D$336,"Disenso restrictivo")</f>
        <v>0</v>
      </c>
      <c r="F116" s="81">
        <f>COUNTIFS(Votaciones!$A$2:$A$336,B116,Votaciones!$D$2:$D$336,"Disenso acomodaticio")</f>
        <v>0</v>
      </c>
    </row>
    <row r="117" spans="1:6">
      <c r="A117" s="73">
        <f>Decisiones!B117</f>
        <v>40781</v>
      </c>
      <c r="B117" s="76" t="str">
        <f>Decisiones!A117</f>
        <v>D20110826</v>
      </c>
      <c r="C117" s="80">
        <f>Decisiones!H117</f>
        <v>4.5</v>
      </c>
      <c r="D117" s="81">
        <f>Decisiones!G117</f>
        <v>0</v>
      </c>
      <c r="E117" s="81">
        <f>COUNTIFS(Votaciones!$A$2:$A$336,B117,Votaciones!$D$2:$D$336,"Disenso restrictivo")</f>
        <v>0</v>
      </c>
      <c r="F117" s="81">
        <f>COUNTIFS(Votaciones!$A$2:$A$336,B117,Votaciones!$D$2:$D$336,"Disenso acomodaticio")</f>
        <v>0</v>
      </c>
    </row>
    <row r="118" spans="1:6">
      <c r="A118" s="73">
        <f>Decisiones!B118</f>
        <v>40830</v>
      </c>
      <c r="B118" s="76" t="str">
        <f>Decisiones!A118</f>
        <v>D20111014</v>
      </c>
      <c r="C118" s="80">
        <f>Decisiones!H118</f>
        <v>4.5</v>
      </c>
      <c r="D118" s="81">
        <f>Decisiones!G118</f>
        <v>0</v>
      </c>
      <c r="E118" s="81">
        <f>COUNTIFS(Votaciones!$A$2:$A$336,B118,Votaciones!$D$2:$D$336,"Disenso restrictivo")</f>
        <v>0</v>
      </c>
      <c r="F118" s="81">
        <f>COUNTIFS(Votaciones!$A$2:$A$336,B118,Votaciones!$D$2:$D$336,"Disenso acomodaticio")</f>
        <v>0</v>
      </c>
    </row>
    <row r="119" spans="1:6">
      <c r="A119" s="73">
        <f>Decisiones!B119</f>
        <v>40879</v>
      </c>
      <c r="B119" s="76" t="str">
        <f>Decisiones!A119</f>
        <v>D20111202</v>
      </c>
      <c r="C119" s="80">
        <f>Decisiones!H119</f>
        <v>4.5</v>
      </c>
      <c r="D119" s="81">
        <f>Decisiones!G119</f>
        <v>0</v>
      </c>
      <c r="E119" s="81">
        <f>COUNTIFS(Votaciones!$A$2:$A$336,B119,Votaciones!$D$2:$D$336,"Disenso restrictivo")</f>
        <v>0</v>
      </c>
      <c r="F119" s="81">
        <f>COUNTIFS(Votaciones!$A$2:$A$336,B119,Votaciones!$D$2:$D$336,"Disenso acomodaticio")</f>
        <v>0</v>
      </c>
    </row>
    <row r="120" spans="1:6">
      <c r="A120" s="73">
        <f>Decisiones!B120</f>
        <v>40928</v>
      </c>
      <c r="B120" s="76" t="str">
        <f>Decisiones!A120</f>
        <v>D20120120</v>
      </c>
      <c r="C120" s="80">
        <f>Decisiones!H120</f>
        <v>4.5</v>
      </c>
      <c r="D120" s="81">
        <f>Decisiones!G120</f>
        <v>0</v>
      </c>
      <c r="E120" s="81">
        <f>COUNTIFS(Votaciones!$A$2:$A$336,B120,Votaciones!$D$2:$D$336,"Disenso restrictivo")</f>
        <v>0</v>
      </c>
      <c r="F120" s="81">
        <f>COUNTIFS(Votaciones!$A$2:$A$336,B120,Votaciones!$D$2:$D$336,"Disenso acomodaticio")</f>
        <v>0</v>
      </c>
    </row>
    <row r="121" spans="1:6">
      <c r="A121" s="73">
        <f>Decisiones!B121</f>
        <v>40984</v>
      </c>
      <c r="B121" s="76" t="str">
        <f>Decisiones!A121</f>
        <v>D20120316</v>
      </c>
      <c r="C121" s="80">
        <f>Decisiones!H121</f>
        <v>4.5</v>
      </c>
      <c r="D121" s="81">
        <f>Decisiones!G121</f>
        <v>0</v>
      </c>
      <c r="E121" s="81">
        <f>COUNTIFS(Votaciones!$A$2:$A$336,B121,Votaciones!$D$2:$D$336,"Disenso restrictivo")</f>
        <v>0</v>
      </c>
      <c r="F121" s="81">
        <f>COUNTIFS(Votaciones!$A$2:$A$336,B121,Votaciones!$D$2:$D$336,"Disenso acomodaticio")</f>
        <v>0</v>
      </c>
    </row>
    <row r="122" spans="1:6">
      <c r="A122" s="73">
        <f>Decisiones!B122</f>
        <v>41026</v>
      </c>
      <c r="B122" s="76" t="str">
        <f>Decisiones!A122</f>
        <v>D20120427</v>
      </c>
      <c r="C122" s="80">
        <f>Decisiones!H122</f>
        <v>4.5</v>
      </c>
      <c r="D122" s="81">
        <f>Decisiones!G122</f>
        <v>0</v>
      </c>
      <c r="E122" s="81">
        <f>COUNTIFS(Votaciones!$A$2:$A$336,B122,Votaciones!$D$2:$D$336,"Disenso restrictivo")</f>
        <v>0</v>
      </c>
      <c r="F122" s="81">
        <f>COUNTIFS(Votaciones!$A$2:$A$336,B122,Votaciones!$D$2:$D$336,"Disenso acomodaticio")</f>
        <v>0</v>
      </c>
    </row>
    <row r="123" spans="1:6">
      <c r="A123" s="73">
        <f>Decisiones!B123</f>
        <v>41068</v>
      </c>
      <c r="B123" s="76" t="str">
        <f>Decisiones!A123</f>
        <v>D20120608</v>
      </c>
      <c r="C123" s="80">
        <f>Decisiones!H123</f>
        <v>4.5</v>
      </c>
      <c r="D123" s="81">
        <f>Decisiones!G123</f>
        <v>0</v>
      </c>
      <c r="E123" s="81">
        <f>COUNTIFS(Votaciones!$A$2:$A$336,B123,Votaciones!$D$2:$D$336,"Disenso restrictivo")</f>
        <v>0</v>
      </c>
      <c r="F123" s="81">
        <f>COUNTIFS(Votaciones!$A$2:$A$336,B123,Votaciones!$D$2:$D$336,"Disenso acomodaticio")</f>
        <v>0</v>
      </c>
    </row>
    <row r="124" spans="1:6">
      <c r="A124" s="73">
        <f>Decisiones!B124</f>
        <v>41110</v>
      </c>
      <c r="B124" s="76" t="str">
        <f>Decisiones!A124</f>
        <v>D20120720</v>
      </c>
      <c r="C124" s="80">
        <f>Decisiones!H124</f>
        <v>4.5</v>
      </c>
      <c r="D124" s="81">
        <f>Decisiones!G124</f>
        <v>0</v>
      </c>
      <c r="E124" s="81">
        <f>COUNTIFS(Votaciones!$A$2:$A$336,B124,Votaciones!$D$2:$D$336,"Disenso restrictivo")</f>
        <v>0</v>
      </c>
      <c r="F124" s="81">
        <f>COUNTIFS(Votaciones!$A$2:$A$336,B124,Votaciones!$D$2:$D$336,"Disenso acomodaticio")</f>
        <v>0</v>
      </c>
    </row>
    <row r="125" spans="1:6">
      <c r="A125" s="73">
        <f>Decisiones!B125</f>
        <v>41159</v>
      </c>
      <c r="B125" s="76" t="str">
        <f>Decisiones!A125</f>
        <v>D20120907</v>
      </c>
      <c r="C125" s="80">
        <f>Decisiones!H125</f>
        <v>4.5</v>
      </c>
      <c r="D125" s="81">
        <f>Decisiones!G125</f>
        <v>0</v>
      </c>
      <c r="E125" s="81">
        <f>COUNTIFS(Votaciones!$A$2:$A$336,B125,Votaciones!$D$2:$D$336,"Disenso restrictivo")</f>
        <v>0</v>
      </c>
      <c r="F125" s="81">
        <f>COUNTIFS(Votaciones!$A$2:$A$336,B125,Votaciones!$D$2:$D$336,"Disenso acomodaticio")</f>
        <v>0</v>
      </c>
    </row>
    <row r="126" spans="1:6">
      <c r="A126" s="73">
        <f>Decisiones!B126</f>
        <v>41208</v>
      </c>
      <c r="B126" s="76" t="str">
        <f>Decisiones!A126</f>
        <v>D20121026</v>
      </c>
      <c r="C126" s="80">
        <f>Decisiones!H126</f>
        <v>4.5</v>
      </c>
      <c r="D126" s="81">
        <f>Decisiones!G126</f>
        <v>0</v>
      </c>
      <c r="E126" s="81">
        <f>COUNTIFS(Votaciones!$A$2:$A$336,B126,Votaciones!$D$2:$D$336,"Disenso restrictivo")</f>
        <v>0</v>
      </c>
      <c r="F126" s="81">
        <f>COUNTIFS(Votaciones!$A$2:$A$336,B126,Votaciones!$D$2:$D$336,"Disenso acomodaticio")</f>
        <v>0</v>
      </c>
    </row>
    <row r="127" spans="1:6">
      <c r="A127" s="73">
        <f>Decisiones!B127</f>
        <v>41243</v>
      </c>
      <c r="B127" s="76" t="str">
        <f>Decisiones!A127</f>
        <v>D20121130</v>
      </c>
      <c r="C127" s="80">
        <f>Decisiones!H127</f>
        <v>4.5</v>
      </c>
      <c r="D127" s="81">
        <f>Decisiones!G127</f>
        <v>0</v>
      </c>
      <c r="E127" s="81">
        <f>COUNTIFS(Votaciones!$A$2:$A$336,B127,Votaciones!$D$2:$D$336,"Disenso restrictivo")</f>
        <v>0</v>
      </c>
      <c r="F127" s="81">
        <f>COUNTIFS(Votaciones!$A$2:$A$336,B127,Votaciones!$D$2:$D$336,"Disenso acomodaticio")</f>
        <v>0</v>
      </c>
    </row>
    <row r="128" spans="1:6">
      <c r="A128" s="73">
        <f>Decisiones!B128</f>
        <v>41292</v>
      </c>
      <c r="B128" s="76" t="str">
        <f>Decisiones!A128</f>
        <v>D20130118</v>
      </c>
      <c r="C128" s="80">
        <f>Decisiones!H128</f>
        <v>4.5</v>
      </c>
      <c r="D128" s="81">
        <f>Decisiones!G128</f>
        <v>0</v>
      </c>
      <c r="E128" s="81">
        <f>COUNTIFS(Votaciones!$A$2:$A$336,B128,Votaciones!$D$2:$D$336,"Disenso restrictivo")</f>
        <v>0</v>
      </c>
      <c r="F128" s="81">
        <f>COUNTIFS(Votaciones!$A$2:$A$336,B128,Votaciones!$D$2:$D$336,"Disenso acomodaticio")</f>
        <v>0</v>
      </c>
    </row>
    <row r="129" spans="1:6">
      <c r="A129" s="73">
        <f>Decisiones!B129</f>
        <v>41341</v>
      </c>
      <c r="B129" s="76" t="str">
        <f>Decisiones!A129</f>
        <v>D20130308</v>
      </c>
      <c r="C129" s="80">
        <f>Decisiones!H129</f>
        <v>4</v>
      </c>
      <c r="D129" s="81">
        <f>Decisiones!G129</f>
        <v>-50</v>
      </c>
      <c r="E129" s="81">
        <f>COUNTIFS(Votaciones!$A$2:$A$336,B129,Votaciones!$D$2:$D$336,"Disenso restrictivo")</f>
        <v>0</v>
      </c>
      <c r="F129" s="81">
        <f>COUNTIFS(Votaciones!$A$2:$A$336,B129,Votaciones!$D$2:$D$336,"Disenso acomodaticio")</f>
        <v>0</v>
      </c>
    </row>
    <row r="130" spans="1:6">
      <c r="A130" s="73">
        <f>Decisiones!B130</f>
        <v>41390</v>
      </c>
      <c r="B130" s="76" t="str">
        <f>Decisiones!A130</f>
        <v>D20130426</v>
      </c>
      <c r="C130" s="80">
        <f>Decisiones!H130</f>
        <v>4</v>
      </c>
      <c r="D130" s="81">
        <f>Decisiones!G130</f>
        <v>0</v>
      </c>
      <c r="E130" s="81">
        <f>COUNTIFS(Votaciones!$A$2:$A$336,B130,Votaciones!$D$2:$D$336,"Disenso restrictivo")</f>
        <v>0</v>
      </c>
      <c r="F130" s="81">
        <f>COUNTIFS(Votaciones!$A$2:$A$336,B130,Votaciones!$D$2:$D$336,"Disenso acomodaticio")</f>
        <v>0</v>
      </c>
    </row>
    <row r="131" spans="1:6">
      <c r="A131" s="73">
        <f>Decisiones!B131</f>
        <v>41432</v>
      </c>
      <c r="B131" s="76" t="str">
        <f>Decisiones!A131</f>
        <v>D20130607</v>
      </c>
      <c r="C131" s="80">
        <f>Decisiones!H131</f>
        <v>4</v>
      </c>
      <c r="D131" s="81">
        <f>Decisiones!G131</f>
        <v>0</v>
      </c>
      <c r="E131" s="81">
        <f>COUNTIFS(Votaciones!$A$2:$A$336,B131,Votaciones!$D$2:$D$336,"Disenso restrictivo")</f>
        <v>0</v>
      </c>
      <c r="F131" s="81">
        <f>COUNTIFS(Votaciones!$A$2:$A$336,B131,Votaciones!$D$2:$D$336,"Disenso acomodaticio")</f>
        <v>0</v>
      </c>
    </row>
    <row r="132" spans="1:6">
      <c r="A132" s="73">
        <f>Decisiones!B132</f>
        <v>41467</v>
      </c>
      <c r="B132" s="76" t="str">
        <f>Decisiones!A132</f>
        <v>D20130712</v>
      </c>
      <c r="C132" s="80">
        <f>Decisiones!H132</f>
        <v>4</v>
      </c>
      <c r="D132" s="81">
        <f>Decisiones!G132</f>
        <v>0</v>
      </c>
      <c r="E132" s="81">
        <f>COUNTIFS(Votaciones!$A$2:$A$336,B132,Votaciones!$D$2:$D$336,"Disenso restrictivo")</f>
        <v>0</v>
      </c>
      <c r="F132" s="81">
        <f>COUNTIFS(Votaciones!$A$2:$A$336,B132,Votaciones!$D$2:$D$336,"Disenso acomodaticio")</f>
        <v>0</v>
      </c>
    </row>
    <row r="133" spans="1:6">
      <c r="A133" s="73">
        <f>Decisiones!B133</f>
        <v>41523</v>
      </c>
      <c r="B133" s="76" t="str">
        <f>Decisiones!A133</f>
        <v>D20130906</v>
      </c>
      <c r="C133" s="80">
        <f>Decisiones!H133</f>
        <v>3.75</v>
      </c>
      <c r="D133" s="81">
        <f>Decisiones!G133</f>
        <v>-25</v>
      </c>
      <c r="E133" s="81">
        <f>COUNTIFS(Votaciones!$A$2:$A$336,B133,Votaciones!$D$2:$D$336,"Disenso restrictivo")</f>
        <v>0</v>
      </c>
      <c r="F133" s="81">
        <f>COUNTIFS(Votaciones!$A$2:$A$336,B133,Votaciones!$D$2:$D$336,"Disenso acomodaticio")</f>
        <v>0</v>
      </c>
    </row>
    <row r="134" spans="1:6">
      <c r="A134" s="73">
        <f>Decisiones!B134</f>
        <v>41572</v>
      </c>
      <c r="B134" s="76" t="str">
        <f>Decisiones!A134</f>
        <v>D20131025</v>
      </c>
      <c r="C134" s="80">
        <f>Decisiones!H134</f>
        <v>3.5</v>
      </c>
      <c r="D134" s="81">
        <f>Decisiones!G134</f>
        <v>-25</v>
      </c>
      <c r="E134" s="81">
        <f>COUNTIFS(Votaciones!$A$2:$A$336,B134,Votaciones!$D$2:$D$336,"Disenso restrictivo")</f>
        <v>0</v>
      </c>
      <c r="F134" s="81">
        <f>COUNTIFS(Votaciones!$A$2:$A$336,B134,Votaciones!$D$2:$D$336,"Disenso acomodaticio")</f>
        <v>0</v>
      </c>
    </row>
    <row r="135" spans="1:6">
      <c r="A135" s="73">
        <f>Decisiones!B135</f>
        <v>41614</v>
      </c>
      <c r="B135" s="76" t="str">
        <f>Decisiones!A135</f>
        <v>D20131206</v>
      </c>
      <c r="C135" s="80">
        <f>Decisiones!H135</f>
        <v>3.5</v>
      </c>
      <c r="D135" s="81">
        <f>Decisiones!G135</f>
        <v>0</v>
      </c>
      <c r="E135" s="81">
        <f>COUNTIFS(Votaciones!$A$2:$A$336,B135,Votaciones!$D$2:$D$336,"Disenso restrictivo")</f>
        <v>0</v>
      </c>
      <c r="F135" s="81">
        <f>COUNTIFS(Votaciones!$A$2:$A$336,B135,Votaciones!$D$2:$D$336,"Disenso acomodaticio")</f>
        <v>0</v>
      </c>
    </row>
    <row r="136" spans="1:6">
      <c r="A136" s="73">
        <f>Decisiones!B136</f>
        <v>41670</v>
      </c>
      <c r="B136" s="76" t="str">
        <f>Decisiones!A136</f>
        <v>D20140131</v>
      </c>
      <c r="C136" s="80">
        <f>Decisiones!H136</f>
        <v>3.5</v>
      </c>
      <c r="D136" s="81">
        <f>Decisiones!G136</f>
        <v>0</v>
      </c>
      <c r="E136" s="81">
        <f>COUNTIFS(Votaciones!$A$2:$A$336,B136,Votaciones!$D$2:$D$336,"Disenso restrictivo")</f>
        <v>0</v>
      </c>
      <c r="F136" s="81">
        <f>COUNTIFS(Votaciones!$A$2:$A$336,B136,Votaciones!$D$2:$D$336,"Disenso acomodaticio")</f>
        <v>0</v>
      </c>
    </row>
    <row r="137" spans="1:6">
      <c r="A137" s="73">
        <f>Decisiones!B137</f>
        <v>41719</v>
      </c>
      <c r="B137" s="76" t="str">
        <f>Decisiones!A137</f>
        <v>D20140321</v>
      </c>
      <c r="C137" s="80">
        <f>Decisiones!H137</f>
        <v>3.5</v>
      </c>
      <c r="D137" s="81">
        <f>Decisiones!G137</f>
        <v>0</v>
      </c>
      <c r="E137" s="81">
        <f>COUNTIFS(Votaciones!$A$2:$A$336,B137,Votaciones!$D$2:$D$336,"Disenso restrictivo")</f>
        <v>0</v>
      </c>
      <c r="F137" s="81">
        <f>COUNTIFS(Votaciones!$A$2:$A$336,B137,Votaciones!$D$2:$D$336,"Disenso acomodaticio")</f>
        <v>0</v>
      </c>
    </row>
    <row r="138" spans="1:6">
      <c r="A138" s="73">
        <f>Decisiones!B138</f>
        <v>41754</v>
      </c>
      <c r="B138" s="76" t="str">
        <f>Decisiones!A138</f>
        <v>D20140425</v>
      </c>
      <c r="C138" s="80">
        <f>Decisiones!H138</f>
        <v>3.5</v>
      </c>
      <c r="D138" s="81">
        <f>Decisiones!G138</f>
        <v>0</v>
      </c>
      <c r="E138" s="81">
        <f>COUNTIFS(Votaciones!$A$2:$A$336,B138,Votaciones!$D$2:$D$336,"Disenso restrictivo")</f>
        <v>0</v>
      </c>
      <c r="F138" s="81">
        <f>COUNTIFS(Votaciones!$A$2:$A$336,B138,Votaciones!$D$2:$D$336,"Disenso acomodaticio")</f>
        <v>0</v>
      </c>
    </row>
    <row r="139" spans="1:6">
      <c r="A139" s="73">
        <f>Decisiones!B139</f>
        <v>41796</v>
      </c>
      <c r="B139" s="76" t="str">
        <f>Decisiones!A139</f>
        <v>D20140606</v>
      </c>
      <c r="C139" s="80">
        <f>Decisiones!H139</f>
        <v>3</v>
      </c>
      <c r="D139" s="81">
        <f>Decisiones!G139</f>
        <v>-50</v>
      </c>
      <c r="E139" s="81">
        <f>COUNTIFS(Votaciones!$A$2:$A$336,B139,Votaciones!$D$2:$D$336,"Disenso restrictivo")</f>
        <v>0</v>
      </c>
      <c r="F139" s="81">
        <f>COUNTIFS(Votaciones!$A$2:$A$336,B139,Votaciones!$D$2:$D$336,"Disenso acomodaticio")</f>
        <v>0</v>
      </c>
    </row>
    <row r="140" spans="1:6">
      <c r="A140" s="73">
        <f>Decisiones!B140</f>
        <v>41831</v>
      </c>
      <c r="B140" s="76" t="str">
        <f>Decisiones!A140</f>
        <v>D20140711</v>
      </c>
      <c r="C140" s="80">
        <f>Decisiones!H140</f>
        <v>3</v>
      </c>
      <c r="D140" s="81">
        <f>Decisiones!G140</f>
        <v>0</v>
      </c>
      <c r="E140" s="81">
        <f>COUNTIFS(Votaciones!$A$2:$A$336,B140,Votaciones!$D$2:$D$336,"Disenso restrictivo")</f>
        <v>0</v>
      </c>
      <c r="F140" s="81">
        <f>COUNTIFS(Votaciones!$A$2:$A$336,B140,Votaciones!$D$2:$D$336,"Disenso acomodaticio")</f>
        <v>0</v>
      </c>
    </row>
    <row r="141" spans="1:6">
      <c r="A141" s="73">
        <f>Decisiones!B141</f>
        <v>41887</v>
      </c>
      <c r="B141" s="76" t="str">
        <f>Decisiones!A141</f>
        <v>D20140905</v>
      </c>
      <c r="C141" s="80">
        <f>Decisiones!H141</f>
        <v>3</v>
      </c>
      <c r="D141" s="81">
        <f>Decisiones!G141</f>
        <v>0</v>
      </c>
      <c r="E141" s="81">
        <f>COUNTIFS(Votaciones!$A$2:$A$336,B141,Votaciones!$D$2:$D$336,"Disenso restrictivo")</f>
        <v>0</v>
      </c>
      <c r="F141" s="81">
        <f>COUNTIFS(Votaciones!$A$2:$A$336,B141,Votaciones!$D$2:$D$336,"Disenso acomodaticio")</f>
        <v>0</v>
      </c>
    </row>
    <row r="142" spans="1:6">
      <c r="A142" s="73">
        <f>Decisiones!B142</f>
        <v>41943</v>
      </c>
      <c r="B142" s="76" t="str">
        <f>Decisiones!A142</f>
        <v>D20141031</v>
      </c>
      <c r="C142" s="80">
        <f>Decisiones!H142</f>
        <v>3</v>
      </c>
      <c r="D142" s="81">
        <f>Decisiones!G142</f>
        <v>0</v>
      </c>
      <c r="E142" s="81">
        <f>COUNTIFS(Votaciones!$A$2:$A$336,B142,Votaciones!$D$2:$D$336,"Disenso restrictivo")</f>
        <v>0</v>
      </c>
      <c r="F142" s="81">
        <f>COUNTIFS(Votaciones!$A$2:$A$336,B142,Votaciones!$D$2:$D$336,"Disenso acomodaticio")</f>
        <v>0</v>
      </c>
    </row>
    <row r="143" spans="1:6">
      <c r="A143" s="73">
        <f>Decisiones!B143</f>
        <v>41978</v>
      </c>
      <c r="B143" s="76" t="str">
        <f>Decisiones!A143</f>
        <v>D20141205</v>
      </c>
      <c r="C143" s="80">
        <f>Decisiones!H143</f>
        <v>3</v>
      </c>
      <c r="D143" s="81">
        <f>Decisiones!G143</f>
        <v>0</v>
      </c>
      <c r="E143" s="81">
        <f>COUNTIFS(Votaciones!$A$2:$A$336,B143,Votaciones!$D$2:$D$336,"Disenso restrictivo")</f>
        <v>0</v>
      </c>
      <c r="F143" s="81">
        <f>COUNTIFS(Votaciones!$A$2:$A$336,B143,Votaciones!$D$2:$D$336,"Disenso acomodaticio")</f>
        <v>0</v>
      </c>
    </row>
    <row r="144" spans="1:6">
      <c r="A144" s="73">
        <f>Decisiones!B144</f>
        <v>42033</v>
      </c>
      <c r="B144" s="76" t="str">
        <f>Decisiones!A144</f>
        <v>D20150129</v>
      </c>
      <c r="C144" s="80">
        <f>Decisiones!H144</f>
        <v>3</v>
      </c>
      <c r="D144" s="81">
        <f>Decisiones!G144</f>
        <v>0</v>
      </c>
      <c r="E144" s="81">
        <f>COUNTIFS(Votaciones!$A$2:$A$336,B144,Votaciones!$D$2:$D$336,"Disenso restrictivo")</f>
        <v>0</v>
      </c>
      <c r="F144" s="81">
        <f>COUNTIFS(Votaciones!$A$2:$A$336,B144,Votaciones!$D$2:$D$336,"Disenso acomodaticio")</f>
        <v>0</v>
      </c>
    </row>
    <row r="145" spans="1:6">
      <c r="A145" s="73">
        <f>Decisiones!B145</f>
        <v>42089</v>
      </c>
      <c r="B145" s="76" t="str">
        <f>Decisiones!A145</f>
        <v>D20150326</v>
      </c>
      <c r="C145" s="80">
        <f>Decisiones!H145</f>
        <v>3</v>
      </c>
      <c r="D145" s="81">
        <f>Decisiones!G145</f>
        <v>0</v>
      </c>
      <c r="E145" s="81">
        <f>COUNTIFS(Votaciones!$A$2:$A$336,B145,Votaciones!$D$2:$D$336,"Disenso restrictivo")</f>
        <v>0</v>
      </c>
      <c r="F145" s="81">
        <f>COUNTIFS(Votaciones!$A$2:$A$336,B145,Votaciones!$D$2:$D$336,"Disenso acomodaticio")</f>
        <v>0</v>
      </c>
    </row>
    <row r="146" spans="1:6">
      <c r="A146" s="73">
        <f>Decisiones!B146</f>
        <v>42124</v>
      </c>
      <c r="B146" s="76" t="str">
        <f>Decisiones!A146</f>
        <v>D20150430</v>
      </c>
      <c r="C146" s="80">
        <f>Decisiones!H146</f>
        <v>3</v>
      </c>
      <c r="D146" s="81">
        <f>Decisiones!G146</f>
        <v>0</v>
      </c>
      <c r="E146" s="81">
        <f>COUNTIFS(Votaciones!$A$2:$A$336,B146,Votaciones!$D$2:$D$336,"Disenso restrictivo")</f>
        <v>0</v>
      </c>
      <c r="F146" s="81">
        <f>COUNTIFS(Votaciones!$A$2:$A$336,B146,Votaciones!$D$2:$D$336,"Disenso acomodaticio")</f>
        <v>0</v>
      </c>
    </row>
    <row r="147" spans="1:6">
      <c r="A147" s="73">
        <f>Decisiones!B147</f>
        <v>42159</v>
      </c>
      <c r="B147" s="76" t="str">
        <f>Decisiones!A147</f>
        <v>D20150604</v>
      </c>
      <c r="C147" s="80">
        <f>Decisiones!H147</f>
        <v>3</v>
      </c>
      <c r="D147" s="81">
        <f>Decisiones!G147</f>
        <v>0</v>
      </c>
      <c r="E147" s="81">
        <f>COUNTIFS(Votaciones!$A$2:$A$336,B147,Votaciones!$D$2:$D$336,"Disenso restrictivo")</f>
        <v>0</v>
      </c>
      <c r="F147" s="81">
        <f>COUNTIFS(Votaciones!$A$2:$A$336,B147,Votaciones!$D$2:$D$336,"Disenso acomodaticio")</f>
        <v>0</v>
      </c>
    </row>
    <row r="148" spans="1:6">
      <c r="A148" s="73">
        <f>Decisiones!B148</f>
        <v>42215</v>
      </c>
      <c r="B148" s="76" t="str">
        <f>Decisiones!A148</f>
        <v>D20150730</v>
      </c>
      <c r="C148" s="80">
        <f>Decisiones!H148</f>
        <v>3</v>
      </c>
      <c r="D148" s="81">
        <f>Decisiones!G148</f>
        <v>0</v>
      </c>
      <c r="E148" s="81">
        <f>COUNTIFS(Votaciones!$A$2:$A$336,B148,Votaciones!$D$2:$D$336,"Disenso restrictivo")</f>
        <v>0</v>
      </c>
      <c r="F148" s="81">
        <f>COUNTIFS(Votaciones!$A$2:$A$336,B148,Votaciones!$D$2:$D$336,"Disenso acomodaticio")</f>
        <v>0</v>
      </c>
    </row>
    <row r="149" spans="1:6">
      <c r="A149" s="73">
        <f>Decisiones!B149</f>
        <v>42268</v>
      </c>
      <c r="B149" s="76" t="str">
        <f>Decisiones!A149</f>
        <v>D20150921</v>
      </c>
      <c r="C149" s="80">
        <f>Decisiones!H149</f>
        <v>3</v>
      </c>
      <c r="D149" s="81">
        <f>Decisiones!G149</f>
        <v>0</v>
      </c>
      <c r="E149" s="81">
        <f>COUNTIFS(Votaciones!$A$2:$A$336,B149,Votaciones!$D$2:$D$336,"Disenso restrictivo")</f>
        <v>0</v>
      </c>
      <c r="F149" s="81">
        <f>COUNTIFS(Votaciones!$A$2:$A$336,B149,Votaciones!$D$2:$D$336,"Disenso acomodaticio")</f>
        <v>0</v>
      </c>
    </row>
    <row r="150" spans="1:6">
      <c r="A150" s="73">
        <f>Decisiones!B150</f>
        <v>42306</v>
      </c>
      <c r="B150" s="76" t="str">
        <f>Decisiones!A150</f>
        <v>D20151029</v>
      </c>
      <c r="C150" s="80">
        <f>Decisiones!H150</f>
        <v>3</v>
      </c>
      <c r="D150" s="81">
        <f>Decisiones!G150</f>
        <v>0</v>
      </c>
      <c r="E150" s="81">
        <f>COUNTIFS(Votaciones!$A$2:$A$336,B150,Votaciones!$D$2:$D$336,"Disenso restrictivo")</f>
        <v>0</v>
      </c>
      <c r="F150" s="81">
        <f>COUNTIFS(Votaciones!$A$2:$A$336,B150,Votaciones!$D$2:$D$336,"Disenso acomodaticio")</f>
        <v>0</v>
      </c>
    </row>
    <row r="151" spans="1:6">
      <c r="A151" s="73">
        <f>Decisiones!B151</f>
        <v>42355</v>
      </c>
      <c r="B151" s="76" t="str">
        <f>Decisiones!A151</f>
        <v>D20151217</v>
      </c>
      <c r="C151" s="80">
        <f>Decisiones!H151</f>
        <v>3.25</v>
      </c>
      <c r="D151" s="81">
        <f>Decisiones!G151</f>
        <v>25</v>
      </c>
      <c r="E151" s="81">
        <f>COUNTIFS(Votaciones!$A$2:$A$336,B151,Votaciones!$D$2:$D$336,"Disenso restrictivo")</f>
        <v>0</v>
      </c>
      <c r="F151" s="81">
        <f>COUNTIFS(Votaciones!$A$2:$A$336,B151,Votaciones!$D$2:$D$336,"Disenso acomodaticio")</f>
        <v>0</v>
      </c>
    </row>
    <row r="152" spans="1:6">
      <c r="A152" s="73">
        <f>Decisiones!B152</f>
        <v>42404</v>
      </c>
      <c r="B152" s="76" t="str">
        <f>Decisiones!A152</f>
        <v>D20160204</v>
      </c>
      <c r="C152" s="80">
        <f>Decisiones!H152</f>
        <v>3.25</v>
      </c>
      <c r="D152" s="81">
        <f>Decisiones!G152</f>
        <v>0</v>
      </c>
      <c r="E152" s="81">
        <f>COUNTIFS(Votaciones!$A$2:$A$336,B152,Votaciones!$D$2:$D$336,"Disenso restrictivo")</f>
        <v>0</v>
      </c>
      <c r="F152" s="81">
        <f>COUNTIFS(Votaciones!$A$2:$A$336,B152,Votaciones!$D$2:$D$336,"Disenso acomodaticio")</f>
        <v>0</v>
      </c>
    </row>
    <row r="153" spans="1:6">
      <c r="A153" s="73">
        <f>Decisiones!B153</f>
        <v>42417</v>
      </c>
      <c r="B153" s="76" t="str">
        <f>Decisiones!A153</f>
        <v>D20160217</v>
      </c>
      <c r="C153" s="80">
        <f>Decisiones!H153</f>
        <v>3.75</v>
      </c>
      <c r="D153" s="81">
        <f>Decisiones!G153</f>
        <v>50</v>
      </c>
      <c r="E153" s="81">
        <f>COUNTIFS(Votaciones!$A$2:$A$336,B153,Votaciones!$D$2:$D$336,"Disenso restrictivo")</f>
        <v>0</v>
      </c>
      <c r="F153" s="81">
        <f>COUNTIFS(Votaciones!$A$2:$A$336,B153,Votaciones!$D$2:$D$336,"Disenso acomodaticio")</f>
        <v>0</v>
      </c>
    </row>
    <row r="154" spans="1:6">
      <c r="A154" s="73">
        <f>Decisiones!B154</f>
        <v>42447</v>
      </c>
      <c r="B154" s="76" t="str">
        <f>Decisiones!A154</f>
        <v>D20160318</v>
      </c>
      <c r="C154" s="80">
        <f>Decisiones!H154</f>
        <v>3.75</v>
      </c>
      <c r="D154" s="81">
        <f>Decisiones!G154</f>
        <v>0</v>
      </c>
      <c r="E154" s="81">
        <f>COUNTIFS(Votaciones!$A$2:$A$336,B154,Votaciones!$D$2:$D$336,"Disenso restrictivo")</f>
        <v>0</v>
      </c>
      <c r="F154" s="81">
        <f>COUNTIFS(Votaciones!$A$2:$A$336,B154,Votaciones!$D$2:$D$336,"Disenso acomodaticio")</f>
        <v>0</v>
      </c>
    </row>
    <row r="155" spans="1:6">
      <c r="A155" s="73">
        <f>Decisiones!B155</f>
        <v>42495</v>
      </c>
      <c r="B155" s="76" t="str">
        <f>Decisiones!A155</f>
        <v>D20160505</v>
      </c>
      <c r="C155" s="80">
        <f>Decisiones!H155</f>
        <v>3.75</v>
      </c>
      <c r="D155" s="81">
        <f>Decisiones!G155</f>
        <v>0</v>
      </c>
      <c r="E155" s="81">
        <f>COUNTIFS(Votaciones!$A$2:$A$336,B155,Votaciones!$D$2:$D$336,"Disenso restrictivo")</f>
        <v>0</v>
      </c>
      <c r="F155" s="81">
        <f>COUNTIFS(Votaciones!$A$2:$A$336,B155,Votaciones!$D$2:$D$336,"Disenso acomodaticio")</f>
        <v>0</v>
      </c>
    </row>
    <row r="156" spans="1:6">
      <c r="A156" s="73">
        <f>Decisiones!B156</f>
        <v>42551</v>
      </c>
      <c r="B156" s="76" t="str">
        <f>Decisiones!A156</f>
        <v>D20160630</v>
      </c>
      <c r="C156" s="80">
        <f>Decisiones!H156</f>
        <v>4.25</v>
      </c>
      <c r="D156" s="81">
        <f>Decisiones!G156</f>
        <v>50</v>
      </c>
      <c r="E156" s="81">
        <f>COUNTIFS(Votaciones!$A$2:$A$336,B156,Votaciones!$D$2:$D$336,"Disenso restrictivo")</f>
        <v>0</v>
      </c>
      <c r="F156" s="81">
        <f>COUNTIFS(Votaciones!$A$2:$A$336,B156,Votaciones!$D$2:$D$336,"Disenso acomodaticio")</f>
        <v>0</v>
      </c>
    </row>
    <row r="157" spans="1:6">
      <c r="A157" s="73">
        <f>Decisiones!B157</f>
        <v>42593</v>
      </c>
      <c r="B157" s="76" t="str">
        <f>Decisiones!A157</f>
        <v>D20160811</v>
      </c>
      <c r="C157" s="80">
        <f>Decisiones!H157</f>
        <v>4.25</v>
      </c>
      <c r="D157" s="81">
        <f>Decisiones!G157</f>
        <v>0</v>
      </c>
      <c r="E157" s="81">
        <f>COUNTIFS(Votaciones!$A$2:$A$336,B157,Votaciones!$D$2:$D$336,"Disenso restrictivo")</f>
        <v>0</v>
      </c>
      <c r="F157" s="81">
        <f>COUNTIFS(Votaciones!$A$2:$A$336,B157,Votaciones!$D$2:$D$336,"Disenso acomodaticio")</f>
        <v>0</v>
      </c>
    </row>
    <row r="158" spans="1:6">
      <c r="A158" s="73">
        <f>Decisiones!B158</f>
        <v>42642</v>
      </c>
      <c r="B158" s="76" t="str">
        <f>Decisiones!A158</f>
        <v>D20160929</v>
      </c>
      <c r="C158" s="80">
        <f>Decisiones!H158</f>
        <v>4.75</v>
      </c>
      <c r="D158" s="81">
        <f>Decisiones!G158</f>
        <v>50</v>
      </c>
      <c r="E158" s="81">
        <f>COUNTIFS(Votaciones!$A$2:$A$336,B158,Votaciones!$D$2:$D$336,"Disenso restrictivo")</f>
        <v>0</v>
      </c>
      <c r="F158" s="81">
        <f>COUNTIFS(Votaciones!$A$2:$A$336,B158,Votaciones!$D$2:$D$336,"Disenso acomodaticio")</f>
        <v>0</v>
      </c>
    </row>
    <row r="159" spans="1:6">
      <c r="A159" s="73">
        <f>Decisiones!B159</f>
        <v>42691</v>
      </c>
      <c r="B159" s="76" t="str">
        <f>Decisiones!A159</f>
        <v>D20161117</v>
      </c>
      <c r="C159" s="80">
        <f>Decisiones!H159</f>
        <v>5.25</v>
      </c>
      <c r="D159" s="81">
        <f>Decisiones!G159</f>
        <v>50</v>
      </c>
      <c r="E159" s="81">
        <f>COUNTIFS(Votaciones!$A$2:$A$336,B159,Votaciones!$D$2:$D$336,"Disenso restrictivo")</f>
        <v>0</v>
      </c>
      <c r="F159" s="81">
        <f>COUNTIFS(Votaciones!$A$2:$A$336,B159,Votaciones!$D$2:$D$336,"Disenso acomodaticio")</f>
        <v>0</v>
      </c>
    </row>
    <row r="160" spans="1:6">
      <c r="A160" s="73">
        <f>Decisiones!B160</f>
        <v>42719</v>
      </c>
      <c r="B160" s="76" t="str">
        <f>Decisiones!A160</f>
        <v>D20161215</v>
      </c>
      <c r="C160" s="80">
        <f>Decisiones!H160</f>
        <v>5.75</v>
      </c>
      <c r="D160" s="81">
        <f>Decisiones!G160</f>
        <v>50</v>
      </c>
      <c r="E160" s="81">
        <f>COUNTIFS(Votaciones!$A$2:$A$336,B160,Votaciones!$D$2:$D$336,"Disenso restrictivo")</f>
        <v>0</v>
      </c>
      <c r="F160" s="81">
        <f>COUNTIFS(Votaciones!$A$2:$A$336,B160,Votaciones!$D$2:$D$336,"Disenso acomodaticio")</f>
        <v>0</v>
      </c>
    </row>
    <row r="161" spans="1:6">
      <c r="A161" s="73">
        <f>Decisiones!B161</f>
        <v>42775</v>
      </c>
      <c r="B161" s="76" t="str">
        <f>Decisiones!A161</f>
        <v>D20170209</v>
      </c>
      <c r="C161" s="80">
        <f>Decisiones!H161</f>
        <v>6.25</v>
      </c>
      <c r="D161" s="81">
        <f>Decisiones!G161</f>
        <v>50</v>
      </c>
      <c r="E161" s="81">
        <f>COUNTIFS(Votaciones!$A$2:$A$336,B161,Votaciones!$D$2:$D$336,"Disenso restrictivo")</f>
        <v>0</v>
      </c>
      <c r="F161" s="81">
        <f>COUNTIFS(Votaciones!$A$2:$A$336,B161,Votaciones!$D$2:$D$336,"Disenso acomodaticio")</f>
        <v>0</v>
      </c>
    </row>
    <row r="162" spans="1:6">
      <c r="A162" s="73">
        <f>Decisiones!B162</f>
        <v>42824</v>
      </c>
      <c r="B162" s="76" t="str">
        <f>Decisiones!A162</f>
        <v>D20170330</v>
      </c>
      <c r="C162" s="80">
        <f>Decisiones!H162</f>
        <v>6.5</v>
      </c>
      <c r="D162" s="81">
        <f>Decisiones!G162</f>
        <v>25</v>
      </c>
      <c r="E162" s="81">
        <f>COUNTIFS(Votaciones!$A$2:$A$336,B162,Votaciones!$D$2:$D$336,"Disenso restrictivo")</f>
        <v>0</v>
      </c>
      <c r="F162" s="81">
        <f>COUNTIFS(Votaciones!$A$2:$A$336,B162,Votaciones!$D$2:$D$336,"Disenso acomodaticio")</f>
        <v>0</v>
      </c>
    </row>
    <row r="163" spans="1:6">
      <c r="A163" s="73">
        <f>Decisiones!B163</f>
        <v>42873</v>
      </c>
      <c r="B163" s="76" t="str">
        <f>Decisiones!A163</f>
        <v>D20170518</v>
      </c>
      <c r="C163" s="80">
        <f>Decisiones!H163</f>
        <v>6.75</v>
      </c>
      <c r="D163" s="81">
        <f>Decisiones!G163</f>
        <v>25</v>
      </c>
      <c r="E163" s="81">
        <f>COUNTIFS(Votaciones!$A$2:$A$336,B163,Votaciones!$D$2:$D$336,"Disenso restrictivo")</f>
        <v>0</v>
      </c>
      <c r="F163" s="81">
        <f>COUNTIFS(Votaciones!$A$2:$A$336,B163,Votaciones!$D$2:$D$336,"Disenso acomodaticio")</f>
        <v>0</v>
      </c>
    </row>
    <row r="164" spans="1:6">
      <c r="A164" s="73">
        <f>Decisiones!B164</f>
        <v>42908</v>
      </c>
      <c r="B164" s="76" t="str">
        <f>Decisiones!A164</f>
        <v>D20170622</v>
      </c>
      <c r="C164" s="80">
        <f>Decisiones!H164</f>
        <v>7</v>
      </c>
      <c r="D164" s="81">
        <f>Decisiones!G164</f>
        <v>25</v>
      </c>
      <c r="E164" s="81">
        <f>COUNTIFS(Votaciones!$A$2:$A$336,B164,Votaciones!$D$2:$D$336,"Disenso restrictivo")</f>
        <v>0</v>
      </c>
      <c r="F164" s="81">
        <f>COUNTIFS(Votaciones!$A$2:$A$336,B164,Votaciones!$D$2:$D$336,"Disenso acomodaticio")</f>
        <v>0</v>
      </c>
    </row>
    <row r="165" spans="1:6">
      <c r="A165" s="73">
        <f>Decisiones!B165</f>
        <v>42957</v>
      </c>
      <c r="B165" s="76" t="str">
        <f>Decisiones!A165</f>
        <v>D20170810</v>
      </c>
      <c r="C165" s="80">
        <f>Decisiones!H165</f>
        <v>7</v>
      </c>
      <c r="D165" s="81">
        <f>Decisiones!G165</f>
        <v>0</v>
      </c>
      <c r="E165" s="81">
        <f>COUNTIFS(Votaciones!$A$2:$A$336,B165,Votaciones!$D$2:$D$336,"Disenso restrictivo")</f>
        <v>0</v>
      </c>
      <c r="F165" s="81">
        <f>COUNTIFS(Votaciones!$A$2:$A$336,B165,Votaciones!$D$2:$D$336,"Disenso acomodaticio")</f>
        <v>0</v>
      </c>
    </row>
    <row r="166" spans="1:6">
      <c r="A166" s="73">
        <f>Decisiones!B166</f>
        <v>43006</v>
      </c>
      <c r="B166" s="76" t="str">
        <f>Decisiones!A166</f>
        <v>D20170928</v>
      </c>
      <c r="C166" s="80">
        <f>Decisiones!H166</f>
        <v>7</v>
      </c>
      <c r="D166" s="81">
        <f>Decisiones!G166</f>
        <v>0</v>
      </c>
      <c r="E166" s="81">
        <f>COUNTIFS(Votaciones!$A$2:$A$336,B166,Votaciones!$D$2:$D$336,"Disenso restrictivo")</f>
        <v>0</v>
      </c>
      <c r="F166" s="81">
        <f>COUNTIFS(Votaciones!$A$2:$A$336,B166,Votaciones!$D$2:$D$336,"Disenso acomodaticio")</f>
        <v>0</v>
      </c>
    </row>
    <row r="167" spans="1:6">
      <c r="A167" s="73">
        <f>Decisiones!B167</f>
        <v>43048</v>
      </c>
      <c r="B167" s="76" t="str">
        <f>Decisiones!A167</f>
        <v>D20171109</v>
      </c>
      <c r="C167" s="80">
        <f>Decisiones!H167</f>
        <v>7</v>
      </c>
      <c r="D167" s="81">
        <f>Decisiones!G167</f>
        <v>0</v>
      </c>
      <c r="E167" s="81">
        <f>COUNTIFS(Votaciones!$A$2:$A$336,B167,Votaciones!$D$2:$D$336,"Disenso restrictivo")</f>
        <v>0</v>
      </c>
      <c r="F167" s="81">
        <f>COUNTIFS(Votaciones!$A$2:$A$336,B167,Votaciones!$D$2:$D$336,"Disenso acomodaticio")</f>
        <v>0</v>
      </c>
    </row>
    <row r="168" spans="1:6">
      <c r="A168" s="73">
        <f>Decisiones!B168</f>
        <v>43083</v>
      </c>
      <c r="B168" s="76" t="str">
        <f>Decisiones!A168</f>
        <v>D20171214</v>
      </c>
      <c r="C168" s="80">
        <f>Decisiones!H168</f>
        <v>7.25</v>
      </c>
      <c r="D168" s="81">
        <f>Decisiones!G168</f>
        <v>25</v>
      </c>
      <c r="E168" s="81">
        <f>COUNTIFS(Votaciones!$A$2:$A$336,B168,Votaciones!$D$2:$D$336,"Disenso restrictivo")</f>
        <v>0</v>
      </c>
      <c r="F168" s="81">
        <f>COUNTIFS(Votaciones!$A$2:$A$336,B168,Votaciones!$D$2:$D$336,"Disenso acomodaticio")</f>
        <v>0</v>
      </c>
    </row>
    <row r="169" spans="1:6">
      <c r="A169" s="73">
        <f>Decisiones!B169</f>
        <v>43139</v>
      </c>
      <c r="B169" s="76" t="str">
        <f>Decisiones!A169</f>
        <v>D20180208</v>
      </c>
      <c r="C169" s="80">
        <f>Decisiones!H169</f>
        <v>7.5</v>
      </c>
      <c r="D169" s="81">
        <f>Decisiones!G169</f>
        <v>25</v>
      </c>
      <c r="E169" s="81">
        <f>COUNTIFS(Votaciones!$A$2:$A$336,B169,Votaciones!$D$2:$D$336,"Disenso restrictivo")</f>
        <v>0</v>
      </c>
      <c r="F169" s="81">
        <f>COUNTIFS(Votaciones!$A$2:$A$336,B169,Votaciones!$D$2:$D$336,"Disenso acomodaticio")</f>
        <v>0</v>
      </c>
    </row>
    <row r="170" spans="1:6">
      <c r="A170" s="73">
        <f>Decisiones!B170</f>
        <v>43202</v>
      </c>
      <c r="B170" s="76" t="str">
        <f>Decisiones!A170</f>
        <v>D20180412</v>
      </c>
      <c r="C170" s="80">
        <f>Decisiones!H170</f>
        <v>7.5</v>
      </c>
      <c r="D170" s="81">
        <f>Decisiones!G170</f>
        <v>0</v>
      </c>
      <c r="E170" s="81">
        <f>COUNTIFS(Votaciones!$A$2:$A$336,B170,Votaciones!$D$2:$D$336,"Disenso restrictivo")</f>
        <v>0</v>
      </c>
      <c r="F170" s="81">
        <f>COUNTIFS(Votaciones!$A$2:$A$336,B170,Votaciones!$D$2:$D$336,"Disenso acomodaticio")</f>
        <v>0</v>
      </c>
    </row>
    <row r="171" spans="1:6">
      <c r="A171" s="73">
        <f>Decisiones!B171</f>
        <v>43237</v>
      </c>
      <c r="B171" s="76" t="str">
        <f>Decisiones!A171</f>
        <v>D20180517</v>
      </c>
      <c r="C171" s="80">
        <f>Decisiones!H171</f>
        <v>7.5</v>
      </c>
      <c r="D171" s="81">
        <f>Decisiones!G171</f>
        <v>0</v>
      </c>
      <c r="E171" s="81">
        <f>COUNTIFS(Votaciones!$A$2:$A$336,B171,Votaciones!$D$2:$D$336,"Disenso restrictivo")</f>
        <v>0</v>
      </c>
      <c r="F171" s="81">
        <f>COUNTIFS(Votaciones!$A$2:$A$336,B171,Votaciones!$D$2:$D$336,"Disenso acomodaticio")</f>
        <v>0</v>
      </c>
    </row>
    <row r="172" spans="1:6">
      <c r="A172" s="73">
        <f>Decisiones!B172</f>
        <v>43272</v>
      </c>
      <c r="B172" s="76" t="str">
        <f>Decisiones!A172</f>
        <v>D20180621</v>
      </c>
      <c r="C172" s="80">
        <f>Decisiones!H172</f>
        <v>7.75</v>
      </c>
      <c r="D172" s="81">
        <f>Decisiones!G172</f>
        <v>25</v>
      </c>
      <c r="E172" s="81">
        <f>COUNTIFS(Votaciones!$A$2:$A$336,B172,Votaciones!$D$2:$D$336,"Disenso restrictivo")</f>
        <v>0</v>
      </c>
      <c r="F172" s="81">
        <f>COUNTIFS(Votaciones!$A$2:$A$336,B172,Votaciones!$D$2:$D$336,"Disenso acomodaticio")</f>
        <v>0</v>
      </c>
    </row>
    <row r="173" spans="1:6">
      <c r="A173" s="73">
        <f>Decisiones!B173</f>
        <v>43314</v>
      </c>
      <c r="B173" s="76" t="str">
        <f>Decisiones!A173</f>
        <v>D20180802</v>
      </c>
      <c r="C173" s="80">
        <f>Decisiones!H173</f>
        <v>7.75</v>
      </c>
      <c r="D173" s="81">
        <f>Decisiones!G173</f>
        <v>0</v>
      </c>
      <c r="E173" s="81">
        <f>COUNTIFS(Votaciones!$A$2:$A$336,B173,Votaciones!$D$2:$D$336,"Disenso restrictivo")</f>
        <v>0</v>
      </c>
      <c r="F173" s="81">
        <f>COUNTIFS(Votaciones!$A$2:$A$336,B173,Votaciones!$D$2:$D$336,"Disenso acomodaticio")</f>
        <v>0</v>
      </c>
    </row>
    <row r="174" spans="1:6">
      <c r="A174" s="73">
        <f>Decisiones!B174</f>
        <v>43377</v>
      </c>
      <c r="B174" s="76" t="str">
        <f>Decisiones!A174</f>
        <v>D20181004</v>
      </c>
      <c r="C174" s="80">
        <f>Decisiones!H174</f>
        <v>7.75</v>
      </c>
      <c r="D174" s="81">
        <f>Decisiones!G174</f>
        <v>0</v>
      </c>
      <c r="E174" s="81">
        <f>COUNTIFS(Votaciones!$A$2:$A$336,B174,Votaciones!$D$2:$D$336,"Disenso restrictivo")</f>
        <v>1</v>
      </c>
      <c r="F174" s="81">
        <f>COUNTIFS(Votaciones!$A$2:$A$336,B174,Votaciones!$D$2:$D$336,"Disenso acomodaticio")</f>
        <v>0</v>
      </c>
    </row>
    <row r="175" spans="1:6">
      <c r="A175" s="73">
        <f>Decisiones!B175</f>
        <v>43419</v>
      </c>
      <c r="B175" s="76" t="str">
        <f>Decisiones!A175</f>
        <v>D20181115</v>
      </c>
      <c r="C175" s="80">
        <f>Decisiones!H175</f>
        <v>8</v>
      </c>
      <c r="D175" s="81">
        <f>Decisiones!G175</f>
        <v>25</v>
      </c>
      <c r="E175" s="81">
        <f>COUNTIFS(Votaciones!$A$2:$A$336,B175,Votaciones!$D$2:$D$336,"Disenso restrictivo")</f>
        <v>1</v>
      </c>
      <c r="F175" s="81">
        <f>COUNTIFS(Votaciones!$A$2:$A$336,B175,Votaciones!$D$2:$D$336,"Disenso acomodaticio")</f>
        <v>0</v>
      </c>
    </row>
    <row r="176" spans="1:6">
      <c r="A176" s="73">
        <f>Decisiones!B176</f>
        <v>43454</v>
      </c>
      <c r="B176" s="76" t="str">
        <f>Decisiones!A176</f>
        <v>D20181220</v>
      </c>
      <c r="C176" s="80">
        <f>Decisiones!H176</f>
        <v>8.25</v>
      </c>
      <c r="D176" s="81">
        <f>Decisiones!G176</f>
        <v>25</v>
      </c>
      <c r="E176" s="81">
        <f>COUNTIFS(Votaciones!$A$2:$A$336,B176,Votaciones!$D$2:$D$336,"Disenso restrictivo")</f>
        <v>0</v>
      </c>
      <c r="F176" s="81">
        <f>COUNTIFS(Votaciones!$A$2:$A$336,B176,Votaciones!$D$2:$D$336,"Disenso acomodaticio")</f>
        <v>0</v>
      </c>
    </row>
    <row r="177" spans="1:6">
      <c r="A177" s="73">
        <f>Decisiones!B177</f>
        <v>43503</v>
      </c>
      <c r="B177" s="76" t="str">
        <f>Decisiones!A177</f>
        <v>D20190207</v>
      </c>
      <c r="C177" s="80">
        <f>Decisiones!H177</f>
        <v>8.25</v>
      </c>
      <c r="D177" s="81">
        <f>Decisiones!G177</f>
        <v>0</v>
      </c>
      <c r="E177" s="81">
        <f>COUNTIFS(Votaciones!$A$2:$A$336,B177,Votaciones!$D$2:$D$336,"Disenso restrictivo")</f>
        <v>0</v>
      </c>
      <c r="F177" s="81">
        <f>COUNTIFS(Votaciones!$A$2:$A$336,B177,Votaciones!$D$2:$D$336,"Disenso acomodaticio")</f>
        <v>0</v>
      </c>
    </row>
    <row r="178" spans="1:6">
      <c r="A178" s="73">
        <f>Decisiones!B178</f>
        <v>43552</v>
      </c>
      <c r="B178" s="76" t="str">
        <f>Decisiones!A178</f>
        <v>D20190328</v>
      </c>
      <c r="C178" s="80">
        <f>Decisiones!H178</f>
        <v>8.25</v>
      </c>
      <c r="D178" s="81">
        <f>Decisiones!G178</f>
        <v>0</v>
      </c>
      <c r="E178" s="81">
        <f>COUNTIFS(Votaciones!$A$2:$A$336,B178,Votaciones!$D$2:$D$336,"Disenso restrictivo")</f>
        <v>0</v>
      </c>
      <c r="F178" s="81">
        <f>COUNTIFS(Votaciones!$A$2:$A$336,B178,Votaciones!$D$2:$D$336,"Disenso acomodaticio")</f>
        <v>0</v>
      </c>
    </row>
    <row r="179" spans="1:6">
      <c r="A179" s="73">
        <f>Decisiones!B179</f>
        <v>43601</v>
      </c>
      <c r="B179" s="76" t="str">
        <f>Decisiones!A179</f>
        <v>D20190516</v>
      </c>
      <c r="C179" s="80">
        <f>Decisiones!H179</f>
        <v>8.25</v>
      </c>
      <c r="D179" s="81">
        <f>Decisiones!G179</f>
        <v>0</v>
      </c>
      <c r="E179" s="81">
        <f>COUNTIFS(Votaciones!$A$2:$A$336,B179,Votaciones!$D$2:$D$336,"Disenso restrictivo")</f>
        <v>0</v>
      </c>
      <c r="F179" s="81">
        <f>COUNTIFS(Votaciones!$A$2:$A$336,B179,Votaciones!$D$2:$D$336,"Disenso acomodaticio")</f>
        <v>0</v>
      </c>
    </row>
    <row r="180" spans="1:6">
      <c r="A180" s="73">
        <f>Decisiones!B180</f>
        <v>43643</v>
      </c>
      <c r="B180" s="76" t="str">
        <f>Decisiones!A180</f>
        <v>D20190627</v>
      </c>
      <c r="C180" s="80">
        <f>Decisiones!H180</f>
        <v>8.25</v>
      </c>
      <c r="D180" s="81">
        <f>Decisiones!G180</f>
        <v>0</v>
      </c>
      <c r="E180" s="81">
        <f>COUNTIFS(Votaciones!$A$2:$A$336,B180,Votaciones!$D$2:$D$336,"Disenso restrictivo")</f>
        <v>0</v>
      </c>
      <c r="F180" s="81">
        <f>COUNTIFS(Votaciones!$A$2:$A$336,B180,Votaciones!$D$2:$D$336,"Disenso acomodaticio")</f>
        <v>1</v>
      </c>
    </row>
    <row r="181" spans="1:6">
      <c r="A181" s="73">
        <f>Decisiones!B181</f>
        <v>43692</v>
      </c>
      <c r="B181" s="76" t="str">
        <f>Decisiones!A181</f>
        <v>D20190815</v>
      </c>
      <c r="C181" s="80">
        <f>Decisiones!H181</f>
        <v>8</v>
      </c>
      <c r="D181" s="81">
        <f>Decisiones!G181</f>
        <v>-25</v>
      </c>
      <c r="E181" s="81">
        <f>COUNTIFS(Votaciones!$A$2:$A$336,B181,Votaciones!$D$2:$D$336,"Disenso restrictivo")</f>
        <v>1</v>
      </c>
      <c r="F181" s="81">
        <f>COUNTIFS(Votaciones!$A$2:$A$336,B181,Votaciones!$D$2:$D$336,"Disenso acomodaticio")</f>
        <v>0</v>
      </c>
    </row>
    <row r="182" spans="1:6">
      <c r="A182" s="73">
        <f>Decisiones!B182</f>
        <v>43734</v>
      </c>
      <c r="B182" s="76" t="str">
        <f>Decisiones!A182</f>
        <v>D20190926</v>
      </c>
      <c r="C182" s="80">
        <f>Decisiones!H182</f>
        <v>7.75</v>
      </c>
      <c r="D182" s="81">
        <f>Decisiones!G182</f>
        <v>-25</v>
      </c>
      <c r="E182" s="81">
        <f>COUNTIFS(Votaciones!$A$2:$A$336,B182,Votaciones!$D$2:$D$336,"Disenso restrictivo")</f>
        <v>0</v>
      </c>
      <c r="F182" s="81">
        <f>COUNTIFS(Votaciones!$A$2:$A$336,B182,Votaciones!$D$2:$D$336,"Disenso acomodaticio")</f>
        <v>2</v>
      </c>
    </row>
    <row r="183" spans="1:6">
      <c r="A183" s="73">
        <f>Decisiones!B183</f>
        <v>43783</v>
      </c>
      <c r="B183" s="76" t="str">
        <f>Decisiones!A183</f>
        <v>D20191114</v>
      </c>
      <c r="C183" s="80">
        <f>Decisiones!H183</f>
        <v>7.5</v>
      </c>
      <c r="D183" s="81">
        <f>Decisiones!G183</f>
        <v>-25</v>
      </c>
      <c r="E183" s="81">
        <f>COUNTIFS(Votaciones!$A$2:$A$336,B183,Votaciones!$D$2:$D$336,"Disenso restrictivo")</f>
        <v>0</v>
      </c>
      <c r="F183" s="81">
        <f>COUNTIFS(Votaciones!$A$2:$A$336,B183,Votaciones!$D$2:$D$336,"Disenso acomodaticio")</f>
        <v>2</v>
      </c>
    </row>
    <row r="184" spans="1:6">
      <c r="A184" s="73">
        <f>Decisiones!B184</f>
        <v>43818</v>
      </c>
      <c r="B184" s="76" t="str">
        <f>Decisiones!A184</f>
        <v>D20191219</v>
      </c>
      <c r="C184" s="80">
        <f>Decisiones!H184</f>
        <v>7.25</v>
      </c>
      <c r="D184" s="81">
        <f>Decisiones!G184</f>
        <v>-25</v>
      </c>
      <c r="E184" s="81">
        <f>COUNTIFS(Votaciones!$A$2:$A$336,B184,Votaciones!$D$2:$D$336,"Disenso restrictivo")</f>
        <v>0</v>
      </c>
      <c r="F184" s="81">
        <f>COUNTIFS(Votaciones!$A$2:$A$336,B184,Votaciones!$D$2:$D$336,"Disenso acomodaticio")</f>
        <v>1</v>
      </c>
    </row>
    <row r="185" spans="1:6">
      <c r="A185" s="73">
        <f>Decisiones!B185</f>
        <v>43874</v>
      </c>
      <c r="B185" s="76" t="str">
        <f>Decisiones!A185</f>
        <v>D20200213</v>
      </c>
      <c r="C185" s="80">
        <f>Decisiones!H185</f>
        <v>7</v>
      </c>
      <c r="D185" s="81">
        <f>Decisiones!G185</f>
        <v>-25</v>
      </c>
      <c r="E185" s="81">
        <f>COUNTIFS(Votaciones!$A$2:$A$336,B185,Votaciones!$D$2:$D$336,"Disenso restrictivo")</f>
        <v>0</v>
      </c>
      <c r="F185" s="81">
        <f>COUNTIFS(Votaciones!$A$2:$A$336,B185,Votaciones!$D$2:$D$336,"Disenso acomodaticio")</f>
        <v>0</v>
      </c>
    </row>
    <row r="186" spans="1:6">
      <c r="A186" s="73">
        <f>Decisiones!B186</f>
        <v>43910</v>
      </c>
      <c r="B186" s="76" t="str">
        <f>Decisiones!A186</f>
        <v>D20200320</v>
      </c>
      <c r="C186" s="80">
        <f>Decisiones!H186</f>
        <v>6.5</v>
      </c>
      <c r="D186" s="81">
        <f>Decisiones!G186</f>
        <v>-50</v>
      </c>
      <c r="E186" s="81">
        <f>COUNTIFS(Votaciones!$A$2:$A$336,B186,Votaciones!$D$2:$D$336,"Disenso restrictivo")</f>
        <v>1</v>
      </c>
      <c r="F186" s="81">
        <f>COUNTIFS(Votaciones!$A$2:$A$336,B186,Votaciones!$D$2:$D$336,"Disenso acomodaticio")</f>
        <v>0</v>
      </c>
    </row>
    <row r="187" spans="1:6">
      <c r="A187" s="73">
        <f>Decisiones!B187</f>
        <v>43942</v>
      </c>
      <c r="B187" s="76" t="str">
        <f>Decisiones!A187</f>
        <v>D20200421</v>
      </c>
      <c r="C187" s="80">
        <f>Decisiones!H187</f>
        <v>6</v>
      </c>
      <c r="D187" s="81">
        <f>Decisiones!G187</f>
        <v>-50</v>
      </c>
      <c r="E187" s="81">
        <f>COUNTIFS(Votaciones!$A$2:$A$336,B187,Votaciones!$D$2:$D$336,"Disenso restrictivo")</f>
        <v>0</v>
      </c>
      <c r="F187" s="81">
        <f>COUNTIFS(Votaciones!$A$2:$A$336,B187,Votaciones!$D$2:$D$336,"Disenso acomodaticio")</f>
        <v>0</v>
      </c>
    </row>
    <row r="188" spans="1:6">
      <c r="A188" s="73">
        <f>Decisiones!B188</f>
        <v>43965</v>
      </c>
      <c r="B188" s="76" t="str">
        <f>Decisiones!A188</f>
        <v>D20200514</v>
      </c>
      <c r="C188" s="80">
        <f>Decisiones!H188</f>
        <v>5.5</v>
      </c>
      <c r="D188" s="81">
        <f>Decisiones!G188</f>
        <v>-50</v>
      </c>
      <c r="E188" s="81">
        <f>COUNTIFS(Votaciones!$A$2:$A$336,B188,Votaciones!$D$2:$D$336,"Disenso restrictivo")</f>
        <v>0</v>
      </c>
      <c r="F188" s="81">
        <f>COUNTIFS(Votaciones!$A$2:$A$336,B188,Votaciones!$D$2:$D$336,"Disenso acomodaticio")</f>
        <v>0</v>
      </c>
    </row>
    <row r="189" spans="1:6">
      <c r="A189" s="73">
        <f>Decisiones!B189</f>
        <v>44007</v>
      </c>
      <c r="B189" s="76" t="str">
        <f>Decisiones!A189</f>
        <v>D20200625</v>
      </c>
      <c r="C189" s="80">
        <f>Decisiones!H189</f>
        <v>5</v>
      </c>
      <c r="D189" s="81">
        <f>Decisiones!G189</f>
        <v>-50</v>
      </c>
      <c r="E189" s="81">
        <f>COUNTIFS(Votaciones!$A$2:$A$336,B189,Votaciones!$D$2:$D$336,"Disenso restrictivo")</f>
        <v>0</v>
      </c>
      <c r="F189" s="81">
        <f>COUNTIFS(Votaciones!$A$2:$A$336,B189,Votaciones!$D$2:$D$336,"Disenso acomodaticio")</f>
        <v>0</v>
      </c>
    </row>
    <row r="190" spans="1:6">
      <c r="A190" s="73">
        <f>Decisiones!B190</f>
        <v>44056</v>
      </c>
      <c r="B190" s="76" t="str">
        <f>Decisiones!A190</f>
        <v>D20200813</v>
      </c>
      <c r="C190" s="80">
        <f>Decisiones!H190</f>
        <v>4.5</v>
      </c>
      <c r="D190" s="81">
        <f>Decisiones!G190</f>
        <v>-50</v>
      </c>
      <c r="E190" s="81">
        <f>COUNTIFS(Votaciones!$A$2:$A$336,B190,Votaciones!$D$2:$D$336,"Disenso restrictivo")</f>
        <v>1</v>
      </c>
      <c r="F190" s="81">
        <f>COUNTIFS(Votaciones!$A$2:$A$336,B190,Votaciones!$D$2:$D$336,"Disenso acomodaticio")</f>
        <v>0</v>
      </c>
    </row>
    <row r="191" spans="1:6">
      <c r="A191" s="73">
        <f>Decisiones!B191</f>
        <v>44098</v>
      </c>
      <c r="B191" s="76" t="str">
        <f>Decisiones!A191</f>
        <v>D20200924</v>
      </c>
      <c r="C191" s="80">
        <f>Decisiones!H191</f>
        <v>4.25</v>
      </c>
      <c r="D191" s="81">
        <f>Decisiones!G191</f>
        <v>-25</v>
      </c>
      <c r="E191" s="81">
        <f>COUNTIFS(Votaciones!$A$2:$A$336,B191,Votaciones!$D$2:$D$336,"Disenso restrictivo")</f>
        <v>0</v>
      </c>
      <c r="F191" s="81">
        <f>COUNTIFS(Votaciones!$A$2:$A$336,B191,Votaciones!$D$2:$D$336,"Disenso acomodaticio")</f>
        <v>0</v>
      </c>
    </row>
    <row r="192" spans="1:6">
      <c r="A192" s="73">
        <f>Decisiones!B192</f>
        <v>44147</v>
      </c>
      <c r="B192" s="76" t="str">
        <f>Decisiones!A192</f>
        <v>D20201112</v>
      </c>
      <c r="C192" s="80">
        <f>Decisiones!H192</f>
        <v>4.25</v>
      </c>
      <c r="D192" s="81">
        <f>Decisiones!G192</f>
        <v>0</v>
      </c>
      <c r="E192" s="81">
        <f>COUNTIFS(Votaciones!$A$2:$A$336,B192,Votaciones!$D$2:$D$336,"Disenso restrictivo")</f>
        <v>0</v>
      </c>
      <c r="F192" s="81">
        <f>COUNTIFS(Votaciones!$A$2:$A$336,B192,Votaciones!$D$2:$D$336,"Disenso acomodaticio")</f>
        <v>1</v>
      </c>
    </row>
    <row r="193" spans="1:6">
      <c r="A193" s="73">
        <f>Decisiones!B193</f>
        <v>44182</v>
      </c>
      <c r="B193" s="76" t="str">
        <f>Decisiones!A193</f>
        <v>D20201217</v>
      </c>
      <c r="C193" s="80">
        <f>Decisiones!H193</f>
        <v>4.25</v>
      </c>
      <c r="D193" s="81">
        <f>Decisiones!G193</f>
        <v>0</v>
      </c>
      <c r="E193" s="81">
        <f>COUNTIFS(Votaciones!$A$2:$A$336,B193,Votaciones!$D$2:$D$336,"Disenso restrictivo")</f>
        <v>0</v>
      </c>
      <c r="F193" s="81">
        <f>COUNTIFS(Votaciones!$A$2:$A$336,B193,Votaciones!$D$2:$D$336,"Disenso acomodaticio")</f>
        <v>2</v>
      </c>
    </row>
    <row r="194" spans="1:6">
      <c r="A194" s="73">
        <f>Decisiones!B194</f>
        <v>44238</v>
      </c>
      <c r="B194" s="76" t="str">
        <f>Decisiones!A194</f>
        <v>D20210211</v>
      </c>
      <c r="C194" s="80">
        <f>Decisiones!H194</f>
        <v>4</v>
      </c>
      <c r="D194" s="81">
        <f>Decisiones!G194</f>
        <v>-25</v>
      </c>
      <c r="E194" s="81">
        <f>COUNTIFS(Votaciones!$A$2:$A$336,B194,Votaciones!$D$2:$D$336,"Disenso restrictivo")</f>
        <v>0</v>
      </c>
      <c r="F194" s="81">
        <f>COUNTIFS(Votaciones!$A$2:$A$336,B194,Votaciones!$D$2:$D$336,"Disenso acomodaticio")</f>
        <v>0</v>
      </c>
    </row>
    <row r="195" spans="1:6">
      <c r="A195" s="73">
        <f>Decisiones!B195</f>
        <v>44280</v>
      </c>
      <c r="B195" s="76" t="str">
        <f>Decisiones!A195</f>
        <v>D20210325</v>
      </c>
      <c r="C195" s="80">
        <f>Decisiones!H195</f>
        <v>4</v>
      </c>
      <c r="D195" s="81">
        <f>Decisiones!G195</f>
        <v>0</v>
      </c>
      <c r="E195" s="81">
        <f>COUNTIFS(Votaciones!$A$2:$A$336,B195,Votaciones!$D$2:$D$336,"Disenso restrictivo")</f>
        <v>0</v>
      </c>
      <c r="F195" s="81">
        <f>COUNTIFS(Votaciones!$A$2:$A$336,B195,Votaciones!$D$2:$D$336,"Disenso acomodaticio")</f>
        <v>0</v>
      </c>
    </row>
    <row r="196" spans="1:6">
      <c r="A196" s="73">
        <f>Decisiones!B196</f>
        <v>44329</v>
      </c>
      <c r="B196" s="76" t="str">
        <f>Decisiones!A196</f>
        <v>D20210513</v>
      </c>
      <c r="C196" s="80">
        <f>Decisiones!H196</f>
        <v>4</v>
      </c>
      <c r="D196" s="81">
        <f>Decisiones!G196</f>
        <v>0</v>
      </c>
      <c r="E196" s="81">
        <f>COUNTIFS(Votaciones!$A$2:$A$336,B196,Votaciones!$D$2:$D$336,"Disenso restrictivo")</f>
        <v>0</v>
      </c>
      <c r="F196" s="81">
        <f>COUNTIFS(Votaciones!$A$2:$A$336,B196,Votaciones!$D$2:$D$336,"Disenso acomodaticio")</f>
        <v>0</v>
      </c>
    </row>
    <row r="197" spans="1:6">
      <c r="A197" s="73">
        <f>Decisiones!B197</f>
        <v>44371</v>
      </c>
      <c r="B197" s="76" t="str">
        <f>Decisiones!A197</f>
        <v>D20210624</v>
      </c>
      <c r="C197" s="80">
        <f>Decisiones!H197</f>
        <v>4.25</v>
      </c>
      <c r="D197" s="81">
        <f>Decisiones!G197</f>
        <v>25</v>
      </c>
      <c r="E197" s="81">
        <f>COUNTIFS(Votaciones!$A$2:$A$336,B197,Votaciones!$D$2:$D$336,"Disenso restrictivo")</f>
        <v>0</v>
      </c>
      <c r="F197" s="81">
        <f>COUNTIFS(Votaciones!$A$2:$A$336,B197,Votaciones!$D$2:$D$336,"Disenso acomodaticio")</f>
        <v>2</v>
      </c>
    </row>
    <row r="198" spans="1:6">
      <c r="A198" s="73">
        <f>Decisiones!B198</f>
        <v>44420</v>
      </c>
      <c r="B198" s="76" t="str">
        <f>Decisiones!A198</f>
        <v>D20210812</v>
      </c>
      <c r="C198" s="80">
        <f>Decisiones!H198</f>
        <v>4.5</v>
      </c>
      <c r="D198" s="81">
        <f>Decisiones!G198</f>
        <v>25</v>
      </c>
      <c r="E198" s="81">
        <f>COUNTIFS(Votaciones!$A$2:$A$336,B198,Votaciones!$D$2:$D$336,"Disenso restrictivo")</f>
        <v>0</v>
      </c>
      <c r="F198" s="81">
        <f>COUNTIFS(Votaciones!$A$2:$A$336,B198,Votaciones!$D$2:$D$336,"Disenso acomodaticio")</f>
        <v>2</v>
      </c>
    </row>
    <row r="199" spans="1:6">
      <c r="A199" s="73">
        <f>Decisiones!B199</f>
        <v>44469</v>
      </c>
      <c r="B199" s="76" t="str">
        <f>Decisiones!A199</f>
        <v>D20210930</v>
      </c>
      <c r="C199" s="80">
        <f>Decisiones!H199</f>
        <v>4.75</v>
      </c>
      <c r="D199" s="81">
        <f>Decisiones!G199</f>
        <v>25</v>
      </c>
      <c r="E199" s="81">
        <f>COUNTIFS(Votaciones!$A$2:$A$336,B199,Votaciones!$D$2:$D$336,"Disenso restrictivo")</f>
        <v>0</v>
      </c>
      <c r="F199" s="81">
        <f>COUNTIFS(Votaciones!$A$2:$A$336,B199,Votaciones!$D$2:$D$336,"Disenso acomodaticio")</f>
        <v>1</v>
      </c>
    </row>
    <row r="200" spans="1:6">
      <c r="A200" s="73">
        <f>Decisiones!B200</f>
        <v>44511</v>
      </c>
      <c r="B200" s="76" t="str">
        <f>Decisiones!A200</f>
        <v>D20211111</v>
      </c>
      <c r="C200" s="80">
        <f>Decisiones!H200</f>
        <v>5</v>
      </c>
      <c r="D200" s="81">
        <f>Decisiones!G200</f>
        <v>25</v>
      </c>
      <c r="E200" s="81">
        <f>COUNTIFS(Votaciones!$A$2:$A$336,B200,Votaciones!$D$2:$D$336,"Disenso restrictivo")</f>
        <v>0</v>
      </c>
      <c r="F200" s="81">
        <f>COUNTIFS(Votaciones!$A$2:$A$336,B200,Votaciones!$D$2:$D$336,"Disenso acomodaticio")</f>
        <v>1</v>
      </c>
    </row>
    <row r="201" spans="1:6">
      <c r="A201" s="73">
        <f>Decisiones!B201</f>
        <v>44546</v>
      </c>
      <c r="B201" s="76" t="str">
        <f>Decisiones!A201</f>
        <v>D20211216</v>
      </c>
      <c r="C201" s="80">
        <f>Decisiones!H201</f>
        <v>5.5</v>
      </c>
      <c r="D201" s="81">
        <f>Decisiones!G201</f>
        <v>50</v>
      </c>
      <c r="E201" s="81">
        <f>COUNTIFS(Votaciones!$A$2:$A$336,B201,Votaciones!$D$2:$D$336,"Disenso restrictivo")</f>
        <v>0</v>
      </c>
      <c r="F201" s="81">
        <f>COUNTIFS(Votaciones!$A$2:$A$336,B201,Votaciones!$D$2:$D$336,"Disenso acomodaticio")</f>
        <v>1</v>
      </c>
    </row>
    <row r="202" spans="1:6">
      <c r="A202" s="73">
        <f>Decisiones!B202</f>
        <v>44602</v>
      </c>
      <c r="B202" s="76" t="str">
        <f>Decisiones!A202</f>
        <v>D20220210</v>
      </c>
      <c r="C202" s="80">
        <f>Decisiones!H202</f>
        <v>6</v>
      </c>
      <c r="D202" s="81">
        <f>Decisiones!G202</f>
        <v>50</v>
      </c>
      <c r="E202" s="81">
        <f>COUNTIFS(Votaciones!$A$2:$A$336,B202,Votaciones!$D$2:$D$336,"Disenso restrictivo")</f>
        <v>0</v>
      </c>
      <c r="F202" s="81">
        <f>COUNTIFS(Votaciones!$A$2:$A$336,B202,Votaciones!$D$2:$D$336,"Disenso acomodaticio")</f>
        <v>1</v>
      </c>
    </row>
    <row r="203" spans="1:6">
      <c r="A203" s="73">
        <f>Decisiones!B203</f>
        <v>44644</v>
      </c>
      <c r="B203" s="76" t="str">
        <f>Decisiones!A203</f>
        <v>D20220324</v>
      </c>
      <c r="C203" s="80">
        <f>Decisiones!H203</f>
        <v>6.5</v>
      </c>
      <c r="D203" s="81">
        <f>Decisiones!G203</f>
        <v>50</v>
      </c>
      <c r="E203" s="81">
        <f>COUNTIFS(Votaciones!$A$2:$A$336,B203,Votaciones!$D$2:$D$336,"Disenso restrictivo")</f>
        <v>0</v>
      </c>
      <c r="F203" s="81">
        <f>COUNTIFS(Votaciones!$A$2:$A$336,B203,Votaciones!$D$2:$D$336,"Disenso acomodaticio")</f>
        <v>0</v>
      </c>
    </row>
    <row r="204" spans="1:6">
      <c r="A204" s="73">
        <f>Decisiones!B204</f>
        <v>44693</v>
      </c>
      <c r="B204" s="76" t="str">
        <f>Decisiones!A204</f>
        <v>D20220512</v>
      </c>
      <c r="C204" s="80">
        <f>Decisiones!H204</f>
        <v>7</v>
      </c>
      <c r="D204" s="81">
        <f>Decisiones!G204</f>
        <v>50</v>
      </c>
      <c r="E204" s="81">
        <f>COUNTIFS(Votaciones!$A$2:$A$336,B204,Votaciones!$D$2:$D$336,"Disenso restrictivo")</f>
        <v>1</v>
      </c>
      <c r="F204" s="81">
        <f>COUNTIFS(Votaciones!$A$2:$A$336,B204,Votaciones!$D$2:$D$336,"Disenso acomodaticio")</f>
        <v>0</v>
      </c>
    </row>
    <row r="205" spans="1:6">
      <c r="A205" s="73">
        <f>Decisiones!B205</f>
        <v>44735</v>
      </c>
      <c r="B205" s="76" t="str">
        <f>Decisiones!A205</f>
        <v>D20220623</v>
      </c>
      <c r="C205" s="80">
        <f>Decisiones!H205</f>
        <v>7.75</v>
      </c>
      <c r="D205" s="81">
        <f>Decisiones!G205</f>
        <v>75</v>
      </c>
      <c r="E205" s="81">
        <f>COUNTIFS(Votaciones!$A$2:$A$336,B205,Votaciones!$D$2:$D$336,"Disenso restrictivo")</f>
        <v>0</v>
      </c>
      <c r="F205" s="81">
        <f>COUNTIFS(Votaciones!$A$2:$A$336,B205,Votaciones!$D$2:$D$336,"Disenso acomodaticio")</f>
        <v>0</v>
      </c>
    </row>
    <row r="206" spans="1:6">
      <c r="A206" s="73">
        <f>Decisiones!B206</f>
        <v>44784</v>
      </c>
      <c r="B206" s="76" t="str">
        <f>Decisiones!A206</f>
        <v>D20220811</v>
      </c>
      <c r="C206" s="80">
        <f>Decisiones!H206</f>
        <v>8.5</v>
      </c>
      <c r="D206" s="81">
        <f>Decisiones!G206</f>
        <v>75</v>
      </c>
      <c r="E206" s="81">
        <f>COUNTIFS(Votaciones!$A$2:$A$336,B206,Votaciones!$D$2:$D$336,"Disenso restrictivo")</f>
        <v>0</v>
      </c>
      <c r="F206" s="81">
        <f>COUNTIFS(Votaciones!$A$2:$A$336,B206,Votaciones!$D$2:$D$336,"Disenso acomodaticio")</f>
        <v>0</v>
      </c>
    </row>
    <row r="207" spans="1:6">
      <c r="A207" s="73">
        <f>Decisiones!B207</f>
        <v>44833</v>
      </c>
      <c r="B207" s="76" t="str">
        <f>Decisiones!A207</f>
        <v>D20220929</v>
      </c>
      <c r="C207" s="80">
        <f>Decisiones!H207</f>
        <v>9.25</v>
      </c>
      <c r="D207" s="81">
        <f>Decisiones!G207</f>
        <v>75</v>
      </c>
      <c r="E207" s="81">
        <f>COUNTIFS(Votaciones!$A$2:$A$336,B207,Votaciones!$D$2:$D$336,"Disenso restrictivo")</f>
        <v>0</v>
      </c>
      <c r="F207" s="81">
        <f>COUNTIFS(Votaciones!$A$2:$A$336,B207,Votaciones!$D$2:$D$336,"Disenso acomodaticio")</f>
        <v>0</v>
      </c>
    </row>
    <row r="208" spans="1:6">
      <c r="A208" s="73">
        <f>Decisiones!B208</f>
        <v>44875</v>
      </c>
      <c r="B208" s="76" t="str">
        <f>Decisiones!A208</f>
        <v>D20221110</v>
      </c>
      <c r="C208" s="80">
        <f>Decisiones!H208</f>
        <v>10</v>
      </c>
      <c r="D208" s="81">
        <f>Decisiones!G208</f>
        <v>75</v>
      </c>
      <c r="E208" s="81">
        <f>COUNTIFS(Votaciones!$A$2:$A$336,B208,Votaciones!$D$2:$D$336,"Disenso restrictivo")</f>
        <v>0</v>
      </c>
      <c r="F208" s="81">
        <f>COUNTIFS(Votaciones!$A$2:$A$336,B208,Votaciones!$D$2:$D$336,"Disenso acomodaticio")</f>
        <v>1</v>
      </c>
    </row>
    <row r="209" spans="1:6">
      <c r="A209" s="73">
        <f>Decisiones!B209</f>
        <v>44910</v>
      </c>
      <c r="B209" s="76" t="str">
        <f>Decisiones!A209</f>
        <v>D20221215</v>
      </c>
      <c r="C209" s="80">
        <f>Decisiones!H209</f>
        <v>10.5</v>
      </c>
      <c r="D209" s="81">
        <f>Decisiones!G209</f>
        <v>50</v>
      </c>
      <c r="E209" s="81">
        <f>COUNTIFS(Votaciones!$A$2:$A$336,B209,Votaciones!$D$2:$D$336,"Disenso restrictivo")</f>
        <v>0</v>
      </c>
      <c r="F209" s="81">
        <f>COUNTIFS(Votaciones!$A$2:$A$336,B209,Votaciones!$D$2:$D$336,"Disenso acomodaticio")</f>
        <v>1</v>
      </c>
    </row>
    <row r="210" spans="1:6">
      <c r="A210" s="73">
        <f>Decisiones!B210</f>
        <v>44966</v>
      </c>
      <c r="B210" s="76" t="str">
        <f>Decisiones!A210</f>
        <v>D20230209</v>
      </c>
      <c r="C210" s="80">
        <f>Decisiones!H210</f>
        <v>11</v>
      </c>
      <c r="D210" s="81">
        <f>Decisiones!G210</f>
        <v>50</v>
      </c>
      <c r="E210" s="81">
        <f>COUNTIFS(Votaciones!$A$2:$A$336,B210,Votaciones!$D$2:$D$336,"Disenso restrictivo")</f>
        <v>0</v>
      </c>
      <c r="F210" s="81">
        <f>COUNTIFS(Votaciones!$A$2:$A$336,B210,Votaciones!$D$2:$D$336,"Disenso acomodaticio")</f>
        <v>0</v>
      </c>
    </row>
    <row r="211" spans="1:6">
      <c r="A211" s="73">
        <f>Decisiones!B211</f>
        <v>45015</v>
      </c>
      <c r="B211" s="76" t="str">
        <f>Decisiones!A211</f>
        <v>D20230330</v>
      </c>
      <c r="C211" s="80">
        <f>Decisiones!H211</f>
        <v>11.25</v>
      </c>
      <c r="D211" s="81">
        <f>Decisiones!G211</f>
        <v>25</v>
      </c>
      <c r="E211" s="81">
        <f>COUNTIFS(Votaciones!$A$2:$A$336,B211,Votaciones!$D$2:$D$336,"Disenso restrictivo")</f>
        <v>0</v>
      </c>
      <c r="F211" s="81">
        <f>COUNTIFS(Votaciones!$A$2:$A$336,B211,Votaciones!$D$2:$D$336,"Disenso acomodaticio")</f>
        <v>0</v>
      </c>
    </row>
    <row r="212" spans="1:6">
      <c r="A212" s="73">
        <f>Decisiones!B212</f>
        <v>45064</v>
      </c>
      <c r="B212" s="76" t="str">
        <f>Decisiones!A212</f>
        <v>D20230518</v>
      </c>
      <c r="C212" s="80">
        <f>Decisiones!H212</f>
        <v>11.25</v>
      </c>
      <c r="D212" s="81">
        <f>Decisiones!G212</f>
        <v>0</v>
      </c>
      <c r="E212" s="81">
        <f>COUNTIFS(Votaciones!$A$2:$A$336,B212,Votaciones!$D$2:$D$336,"Disenso restrictivo")</f>
        <v>0</v>
      </c>
      <c r="F212" s="81">
        <f>COUNTIFS(Votaciones!$A$2:$A$336,B212,Votaciones!$D$2:$D$336,"Disenso acomodaticio")</f>
        <v>0</v>
      </c>
    </row>
    <row r="213" spans="1:6">
      <c r="A213" s="73">
        <f>Decisiones!B213</f>
        <v>45099</v>
      </c>
      <c r="B213" s="76" t="str">
        <f>Decisiones!A213</f>
        <v>D20230622</v>
      </c>
      <c r="C213" s="80">
        <f>Decisiones!H213</f>
        <v>11.25</v>
      </c>
      <c r="D213" s="81">
        <f>Decisiones!G213</f>
        <v>0</v>
      </c>
      <c r="E213" s="81">
        <f>COUNTIFS(Votaciones!$A$2:$A$336,B213,Votaciones!$D$2:$D$336,"Disenso restrictivo")</f>
        <v>0</v>
      </c>
      <c r="F213" s="81">
        <f>COUNTIFS(Votaciones!$A$2:$A$336,B213,Votaciones!$D$2:$D$336,"Disenso acomodaticio")</f>
        <v>0</v>
      </c>
    </row>
    <row r="214" spans="1:6">
      <c r="A214" s="73">
        <f>Decisiones!B214</f>
        <v>45148</v>
      </c>
      <c r="B214" s="76" t="str">
        <f>Decisiones!A214</f>
        <v>D20230810</v>
      </c>
      <c r="C214" s="80">
        <f>Decisiones!H214</f>
        <v>11.25</v>
      </c>
      <c r="D214" s="81">
        <f>Decisiones!G214</f>
        <v>0</v>
      </c>
      <c r="E214" s="81">
        <f>COUNTIFS(Votaciones!$A$2:$A$336,B214,Votaciones!$D$2:$D$336,"Disenso restrictivo")</f>
        <v>0</v>
      </c>
      <c r="F214" s="81">
        <f>COUNTIFS(Votaciones!$A$2:$A$336,B214,Votaciones!$D$2:$D$336,"Disenso acomodaticio")</f>
        <v>0</v>
      </c>
    </row>
    <row r="215" spans="1:6">
      <c r="A215" s="73">
        <f>Decisiones!B215</f>
        <v>45197</v>
      </c>
      <c r="B215" s="76" t="str">
        <f>Decisiones!A215</f>
        <v>D20230928</v>
      </c>
      <c r="C215" s="80">
        <f>Decisiones!H215</f>
        <v>11.25</v>
      </c>
      <c r="D215" s="81">
        <f>Decisiones!G215</f>
        <v>0</v>
      </c>
      <c r="E215" s="81">
        <f>COUNTIFS(Votaciones!$A$2:$A$336,B215,Votaciones!$D$2:$D$336,"Disenso restrictivo")</f>
        <v>0</v>
      </c>
      <c r="F215" s="81">
        <f>COUNTIFS(Votaciones!$A$2:$A$336,B215,Votaciones!$D$2:$D$336,"Disenso acomodaticio")</f>
        <v>0</v>
      </c>
    </row>
    <row r="216" spans="1:6">
      <c r="A216" s="73">
        <f>Decisiones!B216</f>
        <v>45239</v>
      </c>
      <c r="B216" s="76" t="str">
        <f>Decisiones!A216</f>
        <v>D20231109</v>
      </c>
      <c r="C216" s="80">
        <f>Decisiones!H216</f>
        <v>11.25</v>
      </c>
      <c r="D216" s="81">
        <f>Decisiones!G216</f>
        <v>0</v>
      </c>
      <c r="E216" s="81">
        <f>COUNTIFS(Votaciones!$A$2:$A$336,B216,Votaciones!$D$2:$D$336,"Disenso restrictivo")</f>
        <v>0</v>
      </c>
      <c r="F216" s="81">
        <f>COUNTIFS(Votaciones!$A$2:$A$336,B216,Votaciones!$D$2:$D$336,"Disenso acomodaticio")</f>
        <v>0</v>
      </c>
    </row>
    <row r="217" spans="1:6">
      <c r="A217" s="73">
        <f>Decisiones!B217</f>
        <v>45274</v>
      </c>
      <c r="B217" s="76" t="str">
        <f>Decisiones!A217</f>
        <v>D20231214</v>
      </c>
      <c r="C217" s="80">
        <f>Decisiones!H217</f>
        <v>11.25</v>
      </c>
      <c r="D217" s="81">
        <f>Decisiones!G217</f>
        <v>0</v>
      </c>
      <c r="E217" s="81">
        <f>COUNTIFS(Votaciones!$A$2:$A$336,B217,Votaciones!$D$2:$D$336,"Disenso restrictivo")</f>
        <v>0</v>
      </c>
      <c r="F217" s="81">
        <f>COUNTIFS(Votaciones!$A$2:$A$336,B217,Votaciones!$D$2:$D$336,"Disenso acomodaticio")</f>
        <v>0</v>
      </c>
    </row>
    <row r="218" spans="1:6">
      <c r="A218" s="73">
        <f>Decisiones!B218</f>
        <v>45330</v>
      </c>
      <c r="B218" s="76" t="str">
        <f>Decisiones!A218</f>
        <v>D20240208</v>
      </c>
      <c r="C218" s="80">
        <f>Decisiones!H218</f>
        <v>11.25</v>
      </c>
      <c r="D218" s="81">
        <f>Decisiones!G218</f>
        <v>0</v>
      </c>
      <c r="E218" s="81">
        <f>COUNTIFS(Votaciones!$A$2:$A$336,B218,Votaciones!$D$2:$D$336,"Disenso restrictivo")</f>
        <v>0</v>
      </c>
      <c r="F218" s="81">
        <f>COUNTIFS(Votaciones!$A$2:$A$336,B218,Votaciones!$D$2:$D$336,"Disenso acomodaticio")</f>
        <v>0</v>
      </c>
    </row>
    <row r="219" spans="1:6">
      <c r="A219" s="73">
        <f>Decisiones!B219</f>
        <v>45372</v>
      </c>
      <c r="B219" s="76" t="str">
        <f>Decisiones!A219</f>
        <v>D20240321</v>
      </c>
      <c r="C219" s="80">
        <f>Decisiones!H219</f>
        <v>11</v>
      </c>
      <c r="D219" s="81">
        <f>Decisiones!G219</f>
        <v>-25</v>
      </c>
      <c r="E219" s="81">
        <f>COUNTIFS(Votaciones!$A$2:$A$336,B219,Votaciones!$D$2:$D$336,"Disenso restrictivo")</f>
        <v>1</v>
      </c>
      <c r="F219" s="81">
        <f>COUNTIFS(Votaciones!$A$2:$A$336,B219,Votaciones!$D$2:$D$336,"Disenso acomodaticio")</f>
        <v>0</v>
      </c>
    </row>
    <row r="220" spans="1:6">
      <c r="A220" s="73">
        <f>Decisiones!B220</f>
        <v>45421</v>
      </c>
      <c r="B220" s="76" t="str">
        <f>Decisiones!A220</f>
        <v>D20240509</v>
      </c>
      <c r="C220" s="80">
        <f>Decisiones!H220</f>
        <v>11</v>
      </c>
      <c r="D220" s="81">
        <f>Decisiones!G220</f>
        <v>0</v>
      </c>
      <c r="E220" s="81">
        <f>COUNTIFS(Votaciones!$A$2:$A$336,B220,Votaciones!$D$2:$D$336,"Disenso restrictivo")</f>
        <v>0</v>
      </c>
      <c r="F220" s="81">
        <f>COUNTIFS(Votaciones!$A$2:$A$336,B220,Votaciones!$D$2:$D$336,"Disenso acomodaticio")</f>
        <v>0</v>
      </c>
    </row>
    <row r="221" spans="1:6">
      <c r="A221" s="73">
        <f>Decisiones!B221</f>
        <v>45470</v>
      </c>
      <c r="B221" s="76" t="str">
        <f>Decisiones!A221</f>
        <v>D20240627</v>
      </c>
      <c r="C221" s="80">
        <f>Decisiones!H221</f>
        <v>11</v>
      </c>
      <c r="D221" s="81">
        <f>Decisiones!G221</f>
        <v>0</v>
      </c>
      <c r="E221" s="81">
        <f>COUNTIFS(Votaciones!$A$2:$A$336,B221,Votaciones!$D$2:$D$336,"Disenso restrictivo")</f>
        <v>0</v>
      </c>
      <c r="F221" s="81">
        <f>COUNTIFS(Votaciones!$A$2:$A$336,B221,Votaciones!$D$2:$D$336,"Disenso acomodaticio")</f>
        <v>1</v>
      </c>
    </row>
    <row r="222" spans="1:6">
      <c r="A222" s="73">
        <f>Decisiones!B222</f>
        <v>45512</v>
      </c>
      <c r="B222" s="76" t="str">
        <f>Decisiones!A222</f>
        <v>D20240808</v>
      </c>
      <c r="C222" s="80">
        <f>Decisiones!H222</f>
        <v>10.75</v>
      </c>
      <c r="D222" s="81">
        <f>Decisiones!G222</f>
        <v>-25</v>
      </c>
      <c r="E222" s="81">
        <f>COUNTIFS(Votaciones!$A$2:$A$336,B222,Votaciones!$D$2:$D$336,"Disenso restrictivo")</f>
        <v>2</v>
      </c>
      <c r="F222" s="81">
        <f>COUNTIFS(Votaciones!$A$2:$A$336,B222,Votaciones!$D$2:$D$336,"Disenso acomodaticio")</f>
        <v>0</v>
      </c>
    </row>
    <row r="223" spans="1:6">
      <c r="A223" s="73">
        <f>Decisiones!B223</f>
        <v>45561</v>
      </c>
      <c r="B223" s="76" t="str">
        <f>Decisiones!A223</f>
        <v>D20240926</v>
      </c>
      <c r="C223" s="80">
        <f>Decisiones!H223</f>
        <v>10.5</v>
      </c>
      <c r="D223" s="81">
        <f>Decisiones!G223</f>
        <v>-25</v>
      </c>
      <c r="E223" s="81">
        <f>COUNTIFS(Votaciones!$A$2:$A$336,B223,Votaciones!$D$2:$D$336,"Disenso restrictivo")</f>
        <v>1</v>
      </c>
      <c r="F223" s="81">
        <f>COUNTIFS(Votaciones!$A$2:$A$336,B223,Votaciones!$D$2:$D$336,"Disenso acomodaticio")</f>
        <v>0</v>
      </c>
    </row>
    <row r="224" spans="1:6">
      <c r="A224" s="73">
        <f>Decisiones!B224</f>
        <v>45610</v>
      </c>
      <c r="B224" s="76" t="str">
        <f>Decisiones!A224</f>
        <v>D20241114</v>
      </c>
      <c r="C224" s="80">
        <f>Decisiones!H224</f>
        <v>10.25</v>
      </c>
      <c r="D224" s="81">
        <f>Decisiones!G224</f>
        <v>-25</v>
      </c>
      <c r="E224" s="81">
        <f>COUNTIFS(Votaciones!$A$2:$A$336,B224,Votaciones!$D$2:$D$336,"Disenso restrictivo")</f>
        <v>0</v>
      </c>
      <c r="F224" s="81">
        <f>COUNTIFS(Votaciones!$A$2:$A$336,B224,Votaciones!$D$2:$D$336,"Disenso acomodaticio")</f>
        <v>0</v>
      </c>
    </row>
    <row r="225" spans="1:6">
      <c r="A225" s="73">
        <f>Decisiones!B225</f>
        <v>45645</v>
      </c>
      <c r="B225" s="76" t="str">
        <f>Decisiones!A225</f>
        <v>D20241219</v>
      </c>
      <c r="C225" s="80">
        <f>Decisiones!H225</f>
        <v>10</v>
      </c>
      <c r="D225" s="81">
        <f>Decisiones!G225</f>
        <v>-25</v>
      </c>
      <c r="E225" s="81">
        <f>COUNTIFS(Votaciones!$A$2:$A$336,B225,Votaciones!$D$2:$D$336,"Disenso restrictivo")</f>
        <v>0</v>
      </c>
      <c r="F225" s="81">
        <f>COUNTIFS(Votaciones!$A$2:$A$336,B225,Votaciones!$D$2:$D$336,"Disenso acomodaticio")</f>
        <v>0</v>
      </c>
    </row>
    <row r="226" spans="1:6">
      <c r="A226" s="73">
        <f>Decisiones!B226</f>
        <v>45694</v>
      </c>
      <c r="B226" s="76" t="str">
        <f>Decisiones!A226</f>
        <v>D20250206</v>
      </c>
      <c r="C226" s="80">
        <f>Decisiones!H226</f>
        <v>9.5</v>
      </c>
      <c r="D226" s="81">
        <f>Decisiones!G226</f>
        <v>-50</v>
      </c>
      <c r="E226" s="81">
        <f>COUNTIFS(Votaciones!$A$2:$A$336,B226,Votaciones!$D$2:$D$336,"Disenso restrictivo")</f>
        <v>1</v>
      </c>
      <c r="F226" s="81">
        <f>COUNTIFS(Votaciones!$A$2:$A$336,B226,Votaciones!$D$2:$D$336,"Disenso acomodaticio")</f>
        <v>0</v>
      </c>
    </row>
    <row r="227" spans="1:6">
      <c r="A227" s="73">
        <f>Decisiones!B227</f>
        <v>45743</v>
      </c>
      <c r="B227" s="76" t="str">
        <f>Decisiones!A227</f>
        <v>D20250327</v>
      </c>
      <c r="C227" s="80">
        <f>Decisiones!H227</f>
        <v>9</v>
      </c>
      <c r="D227" s="81">
        <f>Decisiones!G227</f>
        <v>-50</v>
      </c>
      <c r="E227" s="81">
        <f>COUNTIFS(Votaciones!$A$2:$A$336,B227,Votaciones!$D$2:$D$336,"Disenso restrictivo")</f>
        <v>0</v>
      </c>
      <c r="F227" s="81">
        <f>COUNTIFS(Votaciones!$A$2:$A$336,B227,Votaciones!$D$2:$D$336,"Disenso acomodaticio")</f>
        <v>0</v>
      </c>
    </row>
    <row r="228" spans="1:6">
      <c r="A228" s="73">
        <f>Decisiones!B228</f>
        <v>45792</v>
      </c>
      <c r="B228" s="76" t="str">
        <f>Decisiones!A228</f>
        <v>D20250515</v>
      </c>
      <c r="C228" s="80">
        <f>Decisiones!H228</f>
        <v>8.5</v>
      </c>
      <c r="D228" s="81">
        <f>Decisiones!G228</f>
        <v>-50</v>
      </c>
      <c r="E228" s="81">
        <f>COUNTIFS(Votaciones!$A$2:$A$336,B228,Votaciones!$D$2:$D$336,"Disenso restrictivo")</f>
        <v>0</v>
      </c>
      <c r="F228" s="81">
        <f>COUNTIFS(Votaciones!$A$2:$A$336,B228,Votaciones!$D$2:$D$336,"Disenso acomodaticio")</f>
        <v>0</v>
      </c>
    </row>
    <row r="229" spans="1:6">
      <c r="A229" s="73">
        <f>Decisiones!B229</f>
        <v>45834</v>
      </c>
      <c r="B229" s="76" t="str">
        <f>Decisiones!A229</f>
        <v>D20250626</v>
      </c>
      <c r="C229" s="80">
        <f>Decisiones!H229</f>
        <v>8</v>
      </c>
      <c r="D229" s="81">
        <f>Decisiones!G229</f>
        <v>-50</v>
      </c>
      <c r="E229" s="81">
        <f>COUNTIFS(Votaciones!$A$2:$A$336,B229,Votaciones!$D$2:$D$336,"Disenso restrictivo")</f>
        <v>1</v>
      </c>
      <c r="F229" s="81">
        <f>COUNTIFS(Votaciones!$A$2:$A$336,B229,Votaciones!$D$2:$D$336,"Disenso acomodaticio")</f>
        <v>0</v>
      </c>
    </row>
    <row r="230" spans="1:6">
      <c r="A230" s="73">
        <f>Decisiones!B230</f>
        <v>45876</v>
      </c>
      <c r="B230" s="76" t="str">
        <f>Decisiones!A230</f>
        <v>D20250807</v>
      </c>
      <c r="C230" s="80">
        <f>Decisiones!H230</f>
        <v>7.75</v>
      </c>
      <c r="D230" s="81">
        <f>Decisiones!G230</f>
        <v>-25</v>
      </c>
      <c r="E230" s="81">
        <f>COUNTIFS(Votaciones!$A$2:$A$336,B230,Votaciones!$D$2:$D$336,"Disenso restrictivo")</f>
        <v>1</v>
      </c>
      <c r="F230" s="81">
        <f>COUNTIFS(Votaciones!$A$2:$A$336,B230,Votaciones!$D$2:$D$336,"Disenso acomodaticio")</f>
        <v>0</v>
      </c>
    </row>
    <row r="231" spans="1:6">
      <c r="A231" s="73">
        <f>Decisiones!B231</f>
        <v>45925</v>
      </c>
      <c r="B231" s="76" t="str">
        <f>Decisiones!A231</f>
        <v>D20250925</v>
      </c>
      <c r="C231" s="80">
        <f>Decisiones!H231</f>
        <v>7.5</v>
      </c>
      <c r="D231" s="81">
        <f>Decisiones!G231</f>
        <v>-25</v>
      </c>
      <c r="E231" s="81">
        <f>COUNTIFS(Votaciones!$A$2:$A$336,B231,Votaciones!$D$2:$D$336,"Disenso restrictivo")</f>
        <v>1</v>
      </c>
      <c r="F231" s="81">
        <f>COUNTIFS(Votaciones!$A$2:$A$336,B231,Votaciones!$D$2:$D$336,"Disenso acomodaticio")</f>
        <v>0</v>
      </c>
    </row>
    <row r="232" spans="1:6">
      <c r="A232" s="73">
        <f>Decisiones!B232</f>
        <v>45967</v>
      </c>
      <c r="B232" s="76" t="str">
        <f>Decisiones!A232</f>
        <v>D20251106</v>
      </c>
      <c r="C232" s="80">
        <f>Decisiones!H232</f>
        <v>7.25</v>
      </c>
      <c r="D232" s="81">
        <f>Decisiones!G232</f>
        <v>-25</v>
      </c>
      <c r="E232" s="81">
        <f>COUNTIFS(Votaciones!$A$2:$A$336,B232,Votaciones!$D$2:$D$336,"Disenso restrictivo")</f>
        <v>1</v>
      </c>
      <c r="F232" s="81">
        <f>COUNTIFS(Votaciones!$A$2:$A$336,B232,Votaciones!$D$2:$D$336,"Disenso acomodaticio")</f>
        <v>0</v>
      </c>
    </row>
    <row r="233" spans="1:6">
      <c r="A233" s="73">
        <f>Decisiones!B233</f>
        <v>46009</v>
      </c>
      <c r="B233" s="76" t="str">
        <f>Decisiones!A233</f>
        <v>D20251218</v>
      </c>
      <c r="C233" s="80">
        <f>Decisiones!H233</f>
        <v>7</v>
      </c>
      <c r="D233" s="81">
        <f>Decisiones!G233</f>
        <v>-25</v>
      </c>
      <c r="E233" s="81">
        <f>COUNTIFS(Votaciones!$A$2:$A$336,B233,Votaciones!$D$2:$D$336,"Disenso restrictivo")</f>
        <v>1</v>
      </c>
      <c r="F233" s="81">
        <f>COUNTIFS(Votaciones!$A$2:$A$336,B233,Votaciones!$D$2:$D$336,"Disenso acomodaticio")</f>
        <v>0</v>
      </c>
    </row>
    <row r="234" spans="1:6">
      <c r="A234" s="73">
        <f>Decisiones!B234</f>
        <v>46058</v>
      </c>
      <c r="B234" s="76" t="str">
        <f>Decisiones!A234</f>
        <v>D20260205</v>
      </c>
      <c r="C234" s="80">
        <f>Decisiones!H234</f>
        <v>7</v>
      </c>
      <c r="D234" s="81">
        <f>Decisiones!G234</f>
        <v>0</v>
      </c>
      <c r="E234" s="81">
        <f>COUNTIFS(Votaciones!$A$2:$A$336,B234,Votaciones!$D$2:$D$336,"Disenso restrictivo")</f>
        <v>0</v>
      </c>
      <c r="F234" s="81">
        <f>COUNTIFS(Votaciones!$A$2:$A$336,B234,Votaciones!$D$2:$D$336,"Disenso acomodaticio")</f>
        <v>0</v>
      </c>
    </row>
    <row r="235" spans="1:6">
      <c r="A235" s="73">
        <f>Decisiones!B235</f>
        <v>46107</v>
      </c>
      <c r="B235" s="76" t="str">
        <f>Decisiones!A235</f>
        <v>D20260326</v>
      </c>
      <c r="C235" s="80">
        <f>Decisiones!H235</f>
        <v>6.75</v>
      </c>
      <c r="D235" s="81">
        <f>Decisiones!G235</f>
        <v>-25</v>
      </c>
      <c r="E235" s="81">
        <f>COUNTIFS(Votaciones!$A$2:$A$336,B235,Votaciones!$D$2:$D$336,"Disenso restrictivo")</f>
        <v>2</v>
      </c>
      <c r="F235" s="81">
        <f>COUNTIFS(Votaciones!$A$2:$A$336,B235,Votaciones!$D$2:$D$336,"Disenso acomodaticio")</f>
        <v>0</v>
      </c>
    </row>
    <row r="236" spans="1:6">
      <c r="A236" s="73">
        <f>Decisiones!B236</f>
        <v>46149</v>
      </c>
      <c r="B236" s="76" t="str">
        <f>Decisiones!A236</f>
        <v>D20260507</v>
      </c>
      <c r="C236" s="80">
        <f>Decisiones!H236</f>
        <v>6.5</v>
      </c>
      <c r="D236" s="81">
        <f>Decisiones!G236</f>
        <v>-25</v>
      </c>
      <c r="E236" s="81">
        <f>COUNTIFS(Votaciones!$A$2:$A$336,B236,Votaciones!$D$2:$D$336,"Disenso restrictivo")</f>
        <v>2</v>
      </c>
      <c r="F236" s="81">
        <f>COUNTIFS(Votaciones!$A$2:$A$336,B236,Votaciones!$D$2:$D$336,"Disenso acomodaticio")</f>
        <v>0</v>
      </c>
    </row>
    <row r="237" spans="1:6">
      <c r="A237" s="74">
        <f>Decisiones!B237</f>
        <v>46198</v>
      </c>
      <c r="B237" s="77" t="str">
        <f>Decisiones!A237</f>
        <v>D20260625</v>
      </c>
      <c r="C237" s="82">
        <f>Decisiones!H237</f>
        <v>6.5</v>
      </c>
      <c r="D237" s="83">
        <f>Decisiones!G237</f>
        <v>0</v>
      </c>
      <c r="E237" s="83">
        <f>COUNTIFS(Votaciones!$A$2:$A$336,B237,Votaciones!$D$2:$D$336,"Disenso restrictivo")</f>
        <v>0</v>
      </c>
      <c r="F237" s="83">
        <f>COUNTIFS(Votaciones!$A$2:$A$336,B237,Votaciones!$D$2:$D$336,"Disenso acomodaticio")</f>
        <v>0</v>
      </c>
    </row>
    <row r="238" spans="1:6">
      <c r="A238" s="87">
        <v>46240</v>
      </c>
      <c r="B238" t="s">
        <v>1143</v>
      </c>
      <c r="C238">
        <v>6.5</v>
      </c>
      <c r="D238">
        <v>0</v>
      </c>
      <c r="E238">
        <v>0</v>
      </c>
      <c r="F238" t="s">
        <v>47</v>
      </c>
    </row>
    <row r="239" spans="1:6">
      <c r="A239" s="87">
        <v>46289</v>
      </c>
      <c r="B239" t="s">
        <v>1176</v>
      </c>
      <c r="C239">
        <v>6.5</v>
      </c>
      <c r="D239">
        <v>0</v>
      </c>
      <c r="E239">
        <v>0</v>
      </c>
      <c r="F239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>
      <selection sqref="A1:F1"/>
    </sheetView>
  </sheetViews>
  <sheetFormatPr defaultRowHeight="13.8"/>
  <cols>
    <col min="1" max="1" width="22" customWidth="1"/>
    <col min="2" max="2" width="46" customWidth="1"/>
    <col min="3" max="3" width="34" customWidth="1"/>
    <col min="4" max="4" width="20" customWidth="1"/>
    <col min="5" max="5" width="22" customWidth="1"/>
    <col min="6" max="6" width="56" customWidth="1"/>
  </cols>
  <sheetData>
    <row r="1" spans="1:6" ht="19.2" customHeight="1">
      <c r="A1" s="138" t="s">
        <v>1147</v>
      </c>
      <c r="B1" s="138"/>
      <c r="C1" s="138"/>
      <c r="D1" s="138"/>
      <c r="E1" s="138"/>
      <c r="F1" s="138"/>
    </row>
    <row r="2" spans="1:6" ht="15" customHeight="1">
      <c r="A2" s="88"/>
      <c r="B2" s="88"/>
      <c r="C2" s="88"/>
      <c r="D2" s="88"/>
      <c r="E2" s="88"/>
      <c r="F2" s="88"/>
    </row>
    <row r="3" spans="1:6" ht="15" customHeight="1">
      <c r="A3" s="89" t="s">
        <v>1148</v>
      </c>
      <c r="B3" s="89" t="s">
        <v>1149</v>
      </c>
      <c r="C3" s="89" t="s">
        <v>1150</v>
      </c>
      <c r="D3" s="89" t="s">
        <v>1151</v>
      </c>
      <c r="E3" s="89" t="s">
        <v>863</v>
      </c>
      <c r="F3" s="89" t="s">
        <v>1152</v>
      </c>
    </row>
    <row r="4" spans="1:6" ht="15" customHeight="1">
      <c r="A4" s="90" t="s">
        <v>1153</v>
      </c>
      <c r="B4" s="90" t="s">
        <v>1154</v>
      </c>
      <c r="C4" s="90" t="s">
        <v>1155</v>
      </c>
      <c r="D4" s="90" t="s">
        <v>1156</v>
      </c>
      <c r="E4" s="90" t="s">
        <v>1157</v>
      </c>
      <c r="F4" s="90" t="s">
        <v>1158</v>
      </c>
    </row>
    <row r="5" spans="1:6" ht="15" customHeight="1">
      <c r="A5" s="90" t="s">
        <v>1159</v>
      </c>
      <c r="B5" s="90" t="s">
        <v>1160</v>
      </c>
      <c r="C5" s="90" t="s">
        <v>1161</v>
      </c>
      <c r="D5" s="90" t="s">
        <v>1162</v>
      </c>
      <c r="E5" s="90" t="s">
        <v>1163</v>
      </c>
      <c r="F5" s="90" t="s">
        <v>1164</v>
      </c>
    </row>
    <row r="6" spans="1:6" ht="15" customHeight="1">
      <c r="A6" s="88"/>
      <c r="B6" s="88"/>
      <c r="C6" s="88"/>
      <c r="D6" s="88"/>
      <c r="E6" s="88"/>
      <c r="F6" s="88"/>
    </row>
    <row r="7" spans="1:6" ht="15" customHeight="1">
      <c r="A7" s="139" t="s">
        <v>1165</v>
      </c>
      <c r="B7" s="139"/>
      <c r="C7" s="139"/>
      <c r="D7" s="139"/>
      <c r="E7" s="139"/>
      <c r="F7" s="139"/>
    </row>
    <row r="8" spans="1:6" ht="15" customHeight="1">
      <c r="A8" s="88"/>
      <c r="B8" s="88"/>
      <c r="C8" s="88"/>
      <c r="D8" s="88"/>
      <c r="E8" s="88"/>
      <c r="F8" s="88"/>
    </row>
    <row r="9" spans="1:6" ht="26.4" customHeight="1">
      <c r="A9" s="91" t="s">
        <v>1166</v>
      </c>
      <c r="B9" s="92" t="s">
        <v>1167</v>
      </c>
      <c r="C9" s="92"/>
      <c r="D9" s="92"/>
      <c r="E9" s="92"/>
      <c r="F9" s="92"/>
    </row>
    <row r="10" spans="1:6" ht="26.4" customHeight="1">
      <c r="A10" s="91" t="s">
        <v>1168</v>
      </c>
      <c r="B10" s="92" t="s">
        <v>1169</v>
      </c>
      <c r="C10" s="92"/>
      <c r="D10" s="92"/>
      <c r="E10" s="92"/>
      <c r="F10" s="92"/>
    </row>
    <row r="11" spans="1:6" ht="26.4" customHeight="1">
      <c r="A11" s="91" t="s">
        <v>1170</v>
      </c>
      <c r="B11" s="92" t="s">
        <v>1171</v>
      </c>
      <c r="C11" s="92"/>
      <c r="D11" s="92"/>
      <c r="E11" s="92"/>
      <c r="F11" s="92"/>
    </row>
    <row r="12" spans="1:6" ht="26.4" customHeight="1">
      <c r="A12" s="91" t="s">
        <v>1172</v>
      </c>
      <c r="B12" s="92" t="s">
        <v>1173</v>
      </c>
      <c r="C12" s="92"/>
      <c r="D12" s="92"/>
      <c r="E12" s="92"/>
      <c r="F12" s="92"/>
    </row>
    <row r="13" spans="1:6" ht="26.4" customHeight="1">
      <c r="A13" s="91" t="s">
        <v>1174</v>
      </c>
      <c r="B13" s="92" t="s">
        <v>1175</v>
      </c>
      <c r="C13" s="92"/>
      <c r="D13" s="92"/>
      <c r="E13" s="92"/>
      <c r="F13" s="92"/>
    </row>
    <row r="14" spans="1:6" ht="15" customHeight="1">
      <c r="A14" s="88"/>
      <c r="B14" s="88"/>
      <c r="C14" s="88"/>
      <c r="D14" s="88"/>
      <c r="E14" s="88"/>
      <c r="F14" s="88"/>
    </row>
    <row r="15" spans="1:6" ht="15" customHeight="1">
      <c r="A15" s="140" t="s">
        <v>1179</v>
      </c>
      <c r="B15" s="140"/>
      <c r="C15" s="140"/>
      <c r="D15" s="140"/>
      <c r="E15" s="140"/>
      <c r="F15" s="140"/>
    </row>
  </sheetData>
  <mergeCells count="3">
    <mergeCell ref="A1:F1"/>
    <mergeCell ref="A7:F7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Decisiones</vt:lpstr>
      <vt:lpstr>Participacion_Junta</vt:lpstr>
      <vt:lpstr>Votaciones</vt:lpstr>
      <vt:lpstr>Personas</vt:lpstr>
      <vt:lpstr>Validaciones</vt:lpstr>
      <vt:lpstr>Cobertura</vt:lpstr>
      <vt:lpstr>Explorador_Decisiones</vt:lpstr>
      <vt:lpstr>Explorador_Integrantes</vt:lpstr>
      <vt:lpstr>GRAPH_DATA_INTEGRANTE</vt:lpstr>
      <vt:lpstr>GRAPH_DATA</vt:lpstr>
      <vt:lpstr>Instrucciones_Dropdowns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 gutierrez</dc:creator>
  <cp:lastModifiedBy>ramse gutierrez</cp:lastModifiedBy>
  <dcterms:created xsi:type="dcterms:W3CDTF">2026-08-13T03:40:05Z</dcterms:created>
  <dcterms:modified xsi:type="dcterms:W3CDTF">2026-09-26T18:22:55Z</dcterms:modified>
</cp:coreProperties>
</file>